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시보드" sheetId="1" state="visible" r:id="rId3"/>
    <sheet name="사용법" sheetId="2" state="visible" r:id="rId4"/>
    <sheet name="거래내역" sheetId="3" state="visible" r:id="rId5"/>
    <sheet name="스냅샷" sheetId="4" state="visible" r:id="rId6"/>
    <sheet name="계좌" sheetId="5" state="visible" r:id="rId7"/>
    <sheet name="투자" sheetId="6" state="visible" r:id="rId8"/>
    <sheet name="부채" sheetId="7" state="visible" r:id="rId9"/>
    <sheet name="목표" sheetId="8" state="visible" r:id="rId10"/>
    <sheet name="보험" sheetId="9" state="visible" r:id="rId11"/>
    <sheet name="일정" sheetId="10" state="visible" r:id="rId12"/>
    <sheet name="예산" sheetId="11" state="visible" r:id="rId13"/>
    <sheet name="손익" sheetId="12" state="visible" r:id="rId14"/>
    <sheet name="재무상태표" sheetId="13" state="visible" r:id="rId15"/>
    <sheet name="현금흐름" sheetId="14" state="visible" r:id="rId16"/>
    <sheet name="설정" sheetId="15" state="visible" r:id="rId17"/>
    <sheet name="카테고리" sheetId="16" state="visible" r:id="rId18"/>
    <sheet name="분류규칙" sheetId="17" state="visible" r:id="rId19"/>
  </sheets>
  <definedNames>
    <definedName function="false" hidden="true" localSheetId="2" name="_xlnm._FilterDatabase" vbProcedure="false">거래내역!$A$1:$K$689</definedName>
    <definedName function="false" hidden="true" localSheetId="3" name="_xlnm._FilterDatabase" vbProcedure="false">스냅샷!$A$1:$G$205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WenQuanYi Zen Hei"/>
            <family val="2"/>
          </rPr>
          <t xml:space="preserve">수식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설정의 비상자금 목표 개월수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WenQuanYi Zen Hei"/>
            <family val="2"/>
          </rPr>
          <t xml:space="preserve">최근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개월 평균 필수지출</t>
        </r>
      </text>
    </comment>
  </commentList>
</comments>
</file>

<file path=xl/sharedStrings.xml><?xml version="1.0" encoding="utf-8"?>
<sst xmlns="http://schemas.openxmlformats.org/spreadsheetml/2006/main" count="4811" uniqueCount="625">
  <si>
    <r>
      <rPr>
        <b val="true"/>
        <sz val="20"/>
        <color rgb="FF1F2A44"/>
        <rFont val="WenQuanYi Zen Hei"/>
        <family val="2"/>
      </rPr>
      <t xml:space="preserve">🏠 우리집 주식회사 </t>
    </r>
    <r>
      <rPr>
        <b val="true"/>
        <sz val="20"/>
        <color rgb="FF1F2A44"/>
        <rFont val="맑은 고딕"/>
        <family val="0"/>
        <charset val="1"/>
      </rPr>
      <t xml:space="preserve">· </t>
    </r>
    <r>
      <rPr>
        <b val="true"/>
        <sz val="20"/>
        <color rgb="FF1F2A44"/>
        <rFont val="WenQuanYi Zen Hei"/>
        <family val="2"/>
      </rPr>
      <t xml:space="preserve">자산관리 대시보드</t>
    </r>
  </si>
  <si>
    <r>
      <rPr>
        <b val="true"/>
        <sz val="10"/>
        <rFont val="WenQuanYi Zen Hei"/>
        <family val="2"/>
      </rPr>
      <t xml:space="preserve">기준월 </t>
    </r>
    <r>
      <rPr>
        <b val="true"/>
        <sz val="10"/>
        <rFont val="맑은 고딕"/>
        <family val="0"/>
        <charset val="1"/>
      </rPr>
      <t xml:space="preserve">(yyyy-mm)</t>
    </r>
  </si>
  <si>
    <t xml:space="preserve">2026-09</t>
  </si>
  <si>
    <t xml:space="preserve">보기</t>
  </si>
  <si>
    <t xml:space="preserve">전체</t>
  </si>
  <si>
    <t xml:space="preserve">오늘</t>
  </si>
  <si>
    <t xml:space="preserve">← 노란 칸을 바꾸면 모든 시트가 다시 계산됩니다</t>
  </si>
  <si>
    <t xml:space="preserve">순자산</t>
  </si>
  <si>
    <r>
      <rPr>
        <b val="true"/>
        <sz val="10"/>
        <color rgb="FF475467"/>
        <rFont val="WenQuanYi Zen Hei"/>
        <family val="2"/>
      </rPr>
      <t xml:space="preserve">저축률 </t>
    </r>
    <r>
      <rPr>
        <b val="true"/>
        <sz val="10"/>
        <color rgb="FF475467"/>
        <rFont val="맑은 고딕"/>
        <family val="0"/>
        <charset val="1"/>
      </rPr>
      <t xml:space="preserve">(</t>
    </r>
    <r>
      <rPr>
        <b val="true"/>
        <sz val="10"/>
        <color rgb="FF475467"/>
        <rFont val="WenQuanYi Zen Hei"/>
        <family val="2"/>
      </rPr>
      <t xml:space="preserve">이번 달</t>
    </r>
    <r>
      <rPr>
        <b val="true"/>
        <sz val="10"/>
        <color rgb="FF475467"/>
        <rFont val="맑은 고딕"/>
        <family val="0"/>
        <charset val="1"/>
      </rPr>
      <t xml:space="preserve">)</t>
    </r>
  </si>
  <si>
    <t xml:space="preserve">월 투자 납입액</t>
  </si>
  <si>
    <r>
      <rPr>
        <b val="true"/>
        <sz val="10"/>
        <color rgb="FF475467"/>
        <rFont val="WenQuanYi Zen Hei"/>
        <family val="2"/>
      </rPr>
      <t xml:space="preserve">투자</t>
    </r>
    <r>
      <rPr>
        <b val="true"/>
        <sz val="10"/>
        <color rgb="FF475467"/>
        <rFont val="맑은 고딕"/>
        <family val="0"/>
        <charset val="1"/>
      </rPr>
      <t xml:space="preserve">+</t>
    </r>
    <r>
      <rPr>
        <b val="true"/>
        <sz val="10"/>
        <color rgb="FF475467"/>
        <rFont val="WenQuanYi Zen Hei"/>
        <family val="2"/>
      </rPr>
      <t xml:space="preserve">연금 자산</t>
    </r>
  </si>
  <si>
    <t xml:space="preserve">소비 예산 집행률</t>
  </si>
  <si>
    <t xml:space="preserve">비상자금</t>
  </si>
  <si>
    <t xml:space="preserve">부채비율</t>
  </si>
  <si>
    <t xml:space="preserve">DSR</t>
  </si>
  <si>
    <r>
      <rPr>
        <b val="true"/>
        <sz val="10"/>
        <color rgb="FF475467"/>
        <rFont val="WenQuanYi Zen Hei"/>
        <family val="2"/>
      </rPr>
      <t xml:space="preserve">목표 달성률 </t>
    </r>
    <r>
      <rPr>
        <b val="true"/>
        <sz val="10"/>
        <color rgb="FF475467"/>
        <rFont val="맑은 고딕"/>
        <family val="0"/>
        <charset val="1"/>
      </rPr>
      <t xml:space="preserve">(</t>
    </r>
    <r>
      <rPr>
        <b val="true"/>
        <sz val="10"/>
        <color rgb="FF475467"/>
        <rFont val="WenQuanYi Zen Hei"/>
        <family val="2"/>
      </rPr>
      <t xml:space="preserve">가중</t>
    </r>
    <r>
      <rPr>
        <b val="true"/>
        <sz val="10"/>
        <color rgb="FF475467"/>
        <rFont val="맑은 고딕"/>
        <family val="0"/>
        <charset val="1"/>
      </rPr>
      <t xml:space="preserve">)</t>
    </r>
  </si>
  <si>
    <t xml:space="preserve">재무자립도</t>
  </si>
  <si>
    <r>
      <rPr>
        <b val="true"/>
        <sz val="10"/>
        <color rgb="FFFFFFFF"/>
        <rFont val="WenQuanYi Zen Hei"/>
        <family val="2"/>
      </rPr>
      <t xml:space="preserve">🔔 이번 달 알림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내부통제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</si>
  <si>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👨‍👩‍👧 구성원별 순자산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기준월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</si>
  <si>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구성원</t>
  </si>
  <si>
    <t xml:space="preserve">자산</t>
  </si>
  <si>
    <t xml:space="preserve">부채</t>
  </si>
  <si>
    <t xml:space="preserve">🎯 목표 진척</t>
  </si>
  <si>
    <t xml:space="preserve">목표</t>
  </si>
  <si>
    <t xml:space="preserve">진척률</t>
  </si>
  <si>
    <t xml:space="preserve">상태</t>
  </si>
  <si>
    <t xml:space="preserve">필요 월적립</t>
  </si>
  <si>
    <r>
      <rPr>
        <b val="true"/>
        <sz val="16"/>
        <color rgb="FF1F2A44"/>
        <rFont val="WenQuanYi Zen Hei"/>
        <family val="2"/>
      </rPr>
      <t xml:space="preserve">우리집 주식회사 자산관리 대시보드 </t>
    </r>
    <r>
      <rPr>
        <b val="true"/>
        <sz val="16"/>
        <color rgb="FF1F2A44"/>
        <rFont val="맑은 고딕"/>
        <family val="0"/>
        <charset val="1"/>
      </rPr>
      <t xml:space="preserve">- </t>
    </r>
    <r>
      <rPr>
        <b val="true"/>
        <sz val="16"/>
        <color rgb="FF1F2A44"/>
        <rFont val="WenQuanYi Zen Hei"/>
        <family val="2"/>
      </rPr>
      <t xml:space="preserve">사용법</t>
    </r>
  </si>
  <si>
    <r>
      <rPr>
        <i val="true"/>
        <sz val="9"/>
        <color rgb="FF666666"/>
        <rFont val="WenQuanYi Zen Hei"/>
        <family val="2"/>
      </rPr>
      <t xml:space="preserve">가정을 기업처럼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재무상태표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얼마 가졌나</t>
    </r>
    <r>
      <rPr>
        <i val="true"/>
        <sz val="9"/>
        <color rgb="FF666666"/>
        <rFont val="맑은 고딕"/>
        <family val="0"/>
        <charset val="1"/>
      </rPr>
      <t xml:space="preserve">) · </t>
    </r>
    <r>
      <rPr>
        <i val="true"/>
        <sz val="9"/>
        <color rgb="FF666666"/>
        <rFont val="WenQuanYi Zen Hei"/>
        <family val="2"/>
      </rPr>
      <t xml:space="preserve">손익계산서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얼마 남나</t>
    </r>
    <r>
      <rPr>
        <i val="true"/>
        <sz val="9"/>
        <color rgb="FF666666"/>
        <rFont val="맑은 고딕"/>
        <family val="0"/>
        <charset val="1"/>
      </rPr>
      <t xml:space="preserve">) · </t>
    </r>
    <r>
      <rPr>
        <i val="true"/>
        <sz val="9"/>
        <color rgb="FF666666"/>
        <rFont val="WenQuanYi Zen Hei"/>
        <family val="2"/>
      </rPr>
      <t xml:space="preserve">현금흐름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모자라지 않나</t>
    </r>
    <r>
      <rPr>
        <i val="true"/>
        <sz val="9"/>
        <color rgb="FF666666"/>
        <rFont val="맑은 고딕"/>
        <family val="0"/>
        <charset val="1"/>
      </rPr>
      <t xml:space="preserve">) · </t>
    </r>
    <r>
      <rPr>
        <i val="true"/>
        <sz val="9"/>
        <color rgb="FF666666"/>
        <rFont val="WenQuanYi Zen Hei"/>
        <family val="2"/>
      </rPr>
      <t xml:space="preserve">예산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계획대로 쓰나</t>
    </r>
    <r>
      <rPr>
        <i val="true"/>
        <sz val="9"/>
        <color rgb="FF666666"/>
        <rFont val="맑은 고딕"/>
        <family val="0"/>
        <charset val="1"/>
      </rPr>
      <t xml:space="preserve">) · </t>
    </r>
    <r>
      <rPr>
        <i val="true"/>
        <sz val="9"/>
        <color rgb="FF666666"/>
        <rFont val="WenQuanYi Zen Hei"/>
        <family val="2"/>
      </rPr>
      <t xml:space="preserve">목표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어디까지 왔나</t>
    </r>
    <r>
      <rPr>
        <i val="true"/>
        <sz val="9"/>
        <color rgb="FF666666"/>
        <rFont val="맑은 고딕"/>
        <family val="0"/>
        <charset val="1"/>
      </rPr>
      <t xml:space="preserve">) · </t>
    </r>
    <r>
      <rPr>
        <i val="true"/>
        <sz val="9"/>
        <color rgb="FF666666"/>
        <rFont val="WenQuanYi Zen Hei"/>
        <family val="2"/>
      </rPr>
      <t xml:space="preserve">리스크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버틸 수 있나</t>
    </r>
    <r>
      <rPr>
        <i val="true"/>
        <sz val="9"/>
        <color rgb="FF666666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</si>
  <si>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※ 이 파일은 가상의 </t>
    </r>
    <r>
      <rPr>
        <i val="true"/>
        <sz val="9"/>
        <color rgb="FF666666"/>
        <rFont val="맑은 고딕"/>
        <family val="0"/>
        <charset val="1"/>
      </rPr>
      <t xml:space="preserve">3</t>
    </r>
    <r>
      <rPr>
        <i val="true"/>
        <sz val="9"/>
        <color rgb="FF666666"/>
        <rFont val="WenQuanYi Zen Hei"/>
        <family val="2"/>
      </rPr>
      <t xml:space="preserve">인 가구 샘플 데이터입니다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실제 사용은 </t>
    </r>
    <r>
      <rPr>
        <i val="true"/>
        <sz val="9"/>
        <color rgb="FF666666"/>
        <rFont val="맑은 고딕"/>
        <family val="0"/>
        <charset val="1"/>
      </rPr>
      <t xml:space="preserve">--blank </t>
    </r>
    <r>
      <rPr>
        <i val="true"/>
        <sz val="9"/>
        <color rgb="FF666666"/>
        <rFont val="WenQuanYi Zen Hei"/>
        <family val="2"/>
      </rPr>
      <t xml:space="preserve">템플릿으로 시작하세요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</si>
  <si>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■ 색 규칙</t>
  </si>
  <si>
    <r>
      <rPr>
        <sz val="10"/>
        <rFont val="WenQuanYi Zen Hei"/>
        <family val="2"/>
      </rPr>
      <t xml:space="preserve">파란 글씨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직접 입력하는 칸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검정 글씨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수식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수정 금지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노란 칸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핵심 설정값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파란 헤더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입력 시트 열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남색 헤더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자동 계산 열</t>
    </r>
  </si>
  <si>
    <r>
      <rPr>
        <b val="true"/>
        <sz val="11"/>
        <color rgb="FF1F2A44"/>
        <rFont val="WenQuanYi Zen Hei"/>
        <family val="2"/>
      </rPr>
      <t xml:space="preserve">■ 처음 시작할 때 </t>
    </r>
    <r>
      <rPr>
        <b val="true"/>
        <sz val="11"/>
        <color rgb="FF1F2A44"/>
        <rFont val="맑은 고딕"/>
        <family val="0"/>
        <charset val="1"/>
      </rPr>
      <t xml:space="preserve">(1</t>
    </r>
    <r>
      <rPr>
        <b val="true"/>
        <sz val="11"/>
        <color rgb="FF1F2A44"/>
        <rFont val="WenQuanYi Zen Hei"/>
        <family val="2"/>
      </rPr>
      <t xml:space="preserve">회</t>
    </r>
    <r>
      <rPr>
        <b val="true"/>
        <sz val="11"/>
        <color rgb="FF1F2A44"/>
        <rFont val="맑은 고딕"/>
        <family val="0"/>
        <charset val="1"/>
      </rPr>
      <t xml:space="preserve">, </t>
    </r>
    <r>
      <rPr>
        <b val="true"/>
        <sz val="11"/>
        <color rgb="FF1F2A44"/>
        <rFont val="WenQuanYi Zen Hei"/>
        <family val="2"/>
      </rPr>
      <t xml:space="preserve">약 </t>
    </r>
    <r>
      <rPr>
        <b val="true"/>
        <sz val="11"/>
        <color rgb="FF1F2A44"/>
        <rFont val="맑은 고딕"/>
        <family val="0"/>
        <charset val="1"/>
      </rPr>
      <t xml:space="preserve">1</t>
    </r>
    <r>
      <rPr>
        <b val="true"/>
        <sz val="11"/>
        <color rgb="FF1F2A44"/>
        <rFont val="WenQuanYi Zen Hei"/>
        <family val="2"/>
      </rPr>
      <t xml:space="preserve">시간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</si>
  <si>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1. [</t>
    </r>
    <r>
      <rPr>
        <sz val="10"/>
        <rFont val="WenQuanYi Zen Hei"/>
        <family val="2"/>
      </rPr>
      <t xml:space="preserve">계좌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가족의 모든 계좌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부채를 등록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계좌</t>
    </r>
    <r>
      <rPr>
        <sz val="10"/>
        <rFont val="맑은 고딕"/>
        <family val="0"/>
        <charset val="1"/>
      </rPr>
      <t xml:space="preserve">ID</t>
    </r>
    <r>
      <rPr>
        <sz val="10"/>
        <rFont val="WenQuanYi Zen Hei"/>
        <family val="2"/>
      </rPr>
      <t xml:space="preserve">는 </t>
    </r>
    <r>
      <rPr>
        <sz val="10"/>
        <rFont val="맑은 고딕"/>
        <family val="0"/>
        <charset val="1"/>
      </rPr>
      <t xml:space="preserve">A01, I01</t>
    </r>
    <r>
      <rPr>
        <sz val="10"/>
        <rFont val="WenQuanYi Zen Hei"/>
        <family val="2"/>
      </rPr>
      <t xml:space="preserve">처럼 짧고 고유하게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</si>
  <si>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2. [</t>
    </r>
    <r>
      <rPr>
        <sz val="10"/>
        <rFont val="WenQuanYi Zen Hei"/>
        <family val="2"/>
      </rPr>
      <t xml:space="preserve">스냅샷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지난달 말 기준 계좌별 잔액 입력 → 재무상태표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순자산이 바로 나옵니다</t>
    </r>
  </si>
  <si>
    <r>
      <rPr>
        <sz val="10"/>
        <rFont val="맑은 고딕"/>
        <family val="0"/>
        <charset val="1"/>
      </rPr>
      <t xml:space="preserve">3. [</t>
    </r>
    <r>
      <rPr>
        <sz val="10"/>
        <rFont val="WenQuanYi Zen Hei"/>
        <family val="2"/>
      </rPr>
      <t xml:space="preserve">예산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카테고리별 월 예산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비정기비는 연 예산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확정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부부가 함께 정하세요</t>
    </r>
  </si>
  <si>
    <r>
      <rPr>
        <sz val="10"/>
        <rFont val="맑은 고딕"/>
        <family val="0"/>
        <charset val="1"/>
      </rPr>
      <t xml:space="preserve">4. [</t>
    </r>
    <r>
      <rPr>
        <sz val="10"/>
        <rFont val="WenQuanYi Zen Hei"/>
        <family val="2"/>
      </rPr>
      <t xml:space="preserve">투자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보유 종목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목표 자산배분</t>
    </r>
    <r>
      <rPr>
        <sz val="10"/>
        <rFont val="맑은 고딕"/>
        <family val="0"/>
        <charset val="1"/>
      </rPr>
      <t xml:space="preserve">, [</t>
    </r>
    <r>
      <rPr>
        <sz val="10"/>
        <rFont val="WenQuanYi Zen Hei"/>
        <family val="2"/>
      </rPr>
      <t xml:space="preserve">부채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대출 금리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만기</t>
    </r>
    <r>
      <rPr>
        <sz val="10"/>
        <rFont val="맑은 고딕"/>
        <family val="0"/>
        <charset val="1"/>
      </rPr>
      <t xml:space="preserve">, [</t>
    </r>
    <r>
      <rPr>
        <sz val="10"/>
        <rFont val="WenQuanYi Zen Hei"/>
        <family val="2"/>
      </rPr>
      <t xml:space="preserve">목표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재무 목표</t>
    </r>
    <r>
      <rPr>
        <sz val="10"/>
        <rFont val="맑은 고딕"/>
        <family val="0"/>
        <charset val="1"/>
      </rPr>
      <t xml:space="preserve">, [</t>
    </r>
    <r>
      <rPr>
        <sz val="10"/>
        <rFont val="WenQuanYi Zen Hei"/>
        <family val="2"/>
      </rPr>
      <t xml:space="preserve">보험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보장 내역 입력</t>
    </r>
  </si>
  <si>
    <r>
      <rPr>
        <sz val="10"/>
        <rFont val="맑은 고딕"/>
        <family val="0"/>
        <charset val="1"/>
      </rPr>
      <t xml:space="preserve">5. [</t>
    </r>
    <r>
      <rPr>
        <sz val="10"/>
        <rFont val="WenQuanYi Zen Hei"/>
        <family val="2"/>
      </rPr>
      <t xml:space="preserve">설정</t>
    </r>
    <r>
      <rPr>
        <sz val="10"/>
        <rFont val="맑은 고딕"/>
        <family val="0"/>
        <charset val="1"/>
      </rPr>
      <t xml:space="preserve">] </t>
    </r>
    <r>
      <rPr>
        <sz val="10"/>
        <rFont val="WenQuanYi Zen Hei"/>
        <family val="2"/>
      </rPr>
      <t xml:space="preserve">목표 저축률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비상자금 개월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월 투자 납입 목표 등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경영 목표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확인</t>
    </r>
  </si>
  <si>
    <r>
      <rPr>
        <b val="true"/>
        <sz val="11"/>
        <color rgb="FF1F2A44"/>
        <rFont val="WenQuanYi Zen Hei"/>
        <family val="2"/>
      </rPr>
      <t xml:space="preserve">■ 운영 리듬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거버넌스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</si>
  <si>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주간 </t>
    </r>
    <r>
      <rPr>
        <sz val="10"/>
        <rFont val="맑은 고딕"/>
        <family val="0"/>
        <charset val="1"/>
      </rPr>
      <t xml:space="preserve">10</t>
    </r>
    <r>
      <rPr>
        <sz val="10"/>
        <rFont val="WenQuanYi Zen Hei"/>
        <family val="2"/>
      </rPr>
      <t xml:space="preserve">분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카드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은행 </t>
    </r>
    <r>
      <rPr>
        <sz val="10"/>
        <rFont val="맑은 고딕"/>
        <family val="0"/>
        <charset val="1"/>
      </rPr>
      <t xml:space="preserve">CSV </t>
    </r>
    <r>
      <rPr>
        <sz val="10"/>
        <rFont val="WenQuanYi Zen Hei"/>
        <family val="2"/>
      </rPr>
      <t xml:space="preserve">가져오기 →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거래내역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에서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미분류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카테고리 지정</t>
    </r>
  </si>
  <si>
    <r>
      <rPr>
        <sz val="10"/>
        <rFont val="WenQuanYi Zen Hei"/>
        <family val="2"/>
      </rPr>
      <t xml:space="preserve">월말 </t>
    </r>
    <r>
      <rPr>
        <sz val="10"/>
        <rFont val="맑은 고딕"/>
        <family val="0"/>
        <charset val="1"/>
      </rPr>
      <t xml:space="preserve">30</t>
    </r>
    <r>
      <rPr>
        <sz val="10"/>
        <rFont val="WenQuanYi Zen Hei"/>
        <family val="2"/>
      </rPr>
      <t xml:space="preserve">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월간 결산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새 달 스냅샷 생성</t>
    </r>
    <r>
      <rPr>
        <sz val="10"/>
        <rFont val="맑은 고딕"/>
        <family val="0"/>
        <charset val="1"/>
      </rPr>
      <t xml:space="preserve">(new-month) → </t>
    </r>
    <r>
      <rPr>
        <sz val="10"/>
        <rFont val="WenQuanYi Zen Hei"/>
        <family val="2"/>
      </rPr>
      <t xml:space="preserve">잔액 갱신 → 대시보드 기준월 변경 → 알림 확인 → 다음 달 예산 조정</t>
    </r>
  </si>
  <si>
    <r>
      <rPr>
        <sz val="10"/>
        <rFont val="WenQuanYi Zen Hei"/>
        <family val="2"/>
      </rPr>
      <t xml:space="preserve">분기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시간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이사회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리밸런싱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목표 진척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보험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구독 점검</t>
    </r>
  </si>
  <si>
    <r>
      <rPr>
        <sz val="10"/>
        <rFont val="WenQuanYi Zen Hei"/>
        <family val="2"/>
      </rPr>
      <t xml:space="preserve">연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가족 주총</t>
    </r>
    <r>
      <rPr>
        <sz val="10"/>
        <rFont val="맑은 고딕"/>
        <family val="0"/>
        <charset val="1"/>
      </rPr>
      <t xml:space="preserve">): </t>
    </r>
    <r>
      <rPr>
        <sz val="10"/>
        <rFont val="WenQuanYi Zen Hei"/>
        <family val="2"/>
      </rPr>
      <t xml:space="preserve">연간 결산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내년 목표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예산 수립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연말정산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절세 한도 점검</t>
    </r>
  </si>
  <si>
    <r>
      <rPr>
        <b val="true"/>
        <sz val="11"/>
        <color rgb="FF1F2A44"/>
        <rFont val="WenQuanYi Zen Hei"/>
        <family val="2"/>
      </rPr>
      <t xml:space="preserve">■ 자동화 </t>
    </r>
    <r>
      <rPr>
        <b val="true"/>
        <sz val="11"/>
        <color rgb="FF1F2A44"/>
        <rFont val="맑은 고딕"/>
        <family val="0"/>
        <charset val="1"/>
      </rPr>
      <t xml:space="preserve">(python -m household_finance ...)</t>
    </r>
  </si>
  <si>
    <r>
      <rPr>
        <sz val="10"/>
        <rFont val="맑은 고딕"/>
        <family val="0"/>
        <charset val="1"/>
      </rPr>
      <t xml:space="preserve">import   : </t>
    </r>
    <r>
      <rPr>
        <sz val="10"/>
        <rFont val="WenQuanYi Zen Hei"/>
        <family val="2"/>
      </rPr>
      <t xml:space="preserve">카드사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은행 </t>
    </r>
    <r>
      <rPr>
        <sz val="10"/>
        <rFont val="맑은 고딕"/>
        <family val="0"/>
        <charset val="1"/>
      </rPr>
      <t xml:space="preserve">CSV(</t>
    </r>
    <r>
      <rPr>
        <sz val="10"/>
        <rFont val="WenQuanYi Zen Hei"/>
        <family val="2"/>
      </rPr>
      <t xml:space="preserve">엑셀에서 </t>
    </r>
    <r>
      <rPr>
        <sz val="10"/>
        <rFont val="맑은 고딕"/>
        <family val="0"/>
        <charset val="1"/>
      </rPr>
      <t xml:space="preserve">CSV</t>
    </r>
    <r>
      <rPr>
        <sz val="10"/>
        <rFont val="WenQuanYi Zen Hei"/>
        <family val="2"/>
      </rPr>
      <t xml:space="preserve">로 저장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를 읽어 분류규칙으로 자동 분류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중복 제거 후 거래내역에 추가</t>
    </r>
  </si>
  <si>
    <r>
      <rPr>
        <sz val="10"/>
        <rFont val="맑은 고딕"/>
        <family val="0"/>
        <charset val="1"/>
      </rPr>
      <t xml:space="preserve">new-month: </t>
    </r>
    <r>
      <rPr>
        <sz val="10"/>
        <rFont val="WenQuanYi Zen Hei"/>
        <family val="2"/>
      </rPr>
      <t xml:space="preserve">지난달 스냅샷을 복사해 새 달 행을 만들고 대시보드 기준월을 바꿈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잔액만 고치면 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</si>
  <si>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build    : </t>
    </r>
    <r>
      <rPr>
        <sz val="10"/>
        <rFont val="WenQuanYi Zen Hei"/>
        <family val="2"/>
      </rPr>
      <t xml:space="preserve">새 빈 템플릿</t>
    </r>
    <r>
      <rPr>
        <sz val="10"/>
        <rFont val="맑은 고딕"/>
        <family val="0"/>
        <charset val="1"/>
      </rPr>
      <t xml:space="preserve">(--blank) </t>
    </r>
    <r>
      <rPr>
        <sz val="10"/>
        <rFont val="WenQuanYi Zen Hei"/>
        <family val="2"/>
      </rPr>
      <t xml:space="preserve">또는 샘플 파일 생성</t>
    </r>
  </si>
  <si>
    <r>
      <rPr>
        <sz val="10"/>
        <rFont val="WenQuanYi Zen Hei"/>
        <family val="2"/>
      </rPr>
      <t xml:space="preserve">구글 시트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파일 업로드 후 그대로 사용 가능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투자 현재가에 </t>
    </r>
    <r>
      <rPr>
        <sz val="10"/>
        <rFont val="맑은 고딕"/>
        <family val="0"/>
        <charset val="1"/>
      </rPr>
      <t xml:space="preserve">=GOOGLEFINANCE("KRX:005930") </t>
    </r>
    <r>
      <rPr>
        <sz val="10"/>
        <rFont val="WenQuanYi Zen Hei"/>
        <family val="2"/>
      </rPr>
      <t xml:space="preserve">형태로 시세 자동 반영 가능</t>
    </r>
  </si>
  <si>
    <r>
      <rPr>
        <i val="true"/>
        <sz val="9"/>
        <color rgb="FF666666"/>
        <rFont val="WenQuanYi Zen Hei"/>
        <family val="2"/>
      </rPr>
      <t xml:space="preserve">주의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도구로 저장하면 대시보드 차트 </t>
    </r>
    <r>
      <rPr>
        <i val="true"/>
        <sz val="9"/>
        <color rgb="FF666666"/>
        <rFont val="맑은 고딕"/>
        <family val="0"/>
        <charset val="1"/>
      </rPr>
      <t xml:space="preserve">4</t>
    </r>
    <r>
      <rPr>
        <i val="true"/>
        <sz val="9"/>
        <color rgb="FF666666"/>
        <rFont val="WenQuanYi Zen Hei"/>
        <family val="2"/>
      </rPr>
      <t xml:space="preserve">종은 자동 복원되지만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직접 추가한 차트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서식은 사라질 수 있습니다</t>
    </r>
  </si>
  <si>
    <t xml:space="preserve">■ 구성원별 보기</t>
  </si>
  <si>
    <r>
      <rPr>
        <sz val="10"/>
        <rFont val="WenQuanYi Zen Hei"/>
        <family val="2"/>
      </rPr>
      <t xml:space="preserve">대시보드 </t>
    </r>
    <r>
      <rPr>
        <sz val="10"/>
        <rFont val="맑은 고딕"/>
        <family val="0"/>
        <charset val="1"/>
      </rPr>
      <t xml:space="preserve">E4</t>
    </r>
    <r>
      <rPr>
        <sz val="10"/>
        <rFont val="WenQuanYi Zen Hei"/>
        <family val="2"/>
      </rPr>
      <t xml:space="preserve">에서 전체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본인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배우자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공동 선택 → 손익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예산 실적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재무상태표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 비중이 해당 구성원 기준으로 바뀝니다</t>
    </r>
  </si>
  <si>
    <r>
      <rPr>
        <sz val="10"/>
        <rFont val="WenQuanYi Zen Hei"/>
        <family val="2"/>
      </rPr>
      <t xml:space="preserve">개인 보기에는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공동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항목이 포함되지 않습니다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구성원별 순자산 표는 항상 세 구성원을 모두 보여줍니다</t>
    </r>
  </si>
  <si>
    <t xml:space="preserve">■ 계산 기준</t>
  </si>
  <si>
    <r>
      <rPr>
        <sz val="10"/>
        <rFont val="WenQuanYi Zen Hei"/>
        <family val="2"/>
      </rPr>
      <t xml:space="preserve">저축률 </t>
    </r>
    <r>
      <rPr>
        <sz val="10"/>
        <rFont val="맑은 고딕"/>
        <family val="0"/>
        <charset val="1"/>
      </rPr>
      <t xml:space="preserve">= (</t>
    </r>
    <r>
      <rPr>
        <sz val="10"/>
        <rFont val="WenQuanYi Zen Hei"/>
        <family val="2"/>
      </rPr>
      <t xml:space="preserve">소득 − 소비지출</t>
    </r>
    <r>
      <rPr>
        <sz val="10"/>
        <rFont val="맑은 고딕"/>
        <family val="0"/>
        <charset val="1"/>
      </rPr>
      <t xml:space="preserve">) ÷ </t>
    </r>
    <r>
      <rPr>
        <sz val="10"/>
        <rFont val="WenQuanYi Zen Hei"/>
        <family val="2"/>
      </rPr>
      <t xml:space="preserve">소득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저축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대출 원금상환은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자본이동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이라 소비가 아닙니다</t>
    </r>
  </si>
  <si>
    <r>
      <rPr>
        <sz val="10"/>
        <rFont val="WenQuanYi Zen Hei"/>
        <family val="2"/>
      </rPr>
      <t xml:space="preserve">비상자금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즉시 인출 가능한 현금성 자산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평균 필수지출</t>
    </r>
  </si>
  <si>
    <r>
      <rPr>
        <sz val="10"/>
        <rFont val="WenQuanYi Zen Hei"/>
        <family val="2"/>
      </rPr>
      <t xml:space="preserve">부채비율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총부채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총자산 </t>
    </r>
    <r>
      <rPr>
        <sz val="10"/>
        <rFont val="맑은 고딕"/>
        <family val="0"/>
        <charset val="1"/>
      </rPr>
      <t xml:space="preserve">· DSR = </t>
    </r>
    <r>
      <rPr>
        <sz val="10"/>
        <rFont val="WenQuanYi Zen Hei"/>
        <family val="2"/>
      </rPr>
      <t xml:space="preserve">연간 원리금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개월 소득</t>
    </r>
  </si>
  <si>
    <r>
      <rPr>
        <sz val="10"/>
        <rFont val="WenQuanYi Zen Hei"/>
        <family val="2"/>
      </rPr>
      <t xml:space="preserve">목표 진척률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연결계좌 잔액 합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목표금액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계획 진척률 </t>
    </r>
    <r>
      <rPr>
        <sz val="10"/>
        <rFont val="맑은 고딕"/>
        <family val="0"/>
        <charset val="1"/>
      </rPr>
      <t xml:space="preserve">= (</t>
    </r>
    <r>
      <rPr>
        <sz val="10"/>
        <rFont val="WenQuanYi Zen Hei"/>
        <family val="2"/>
      </rPr>
      <t xml:space="preserve">오늘−시작일</t>
    </r>
    <r>
      <rPr>
        <sz val="10"/>
        <rFont val="맑은 고딕"/>
        <family val="0"/>
        <charset val="1"/>
      </rPr>
      <t xml:space="preserve">) ÷ (</t>
    </r>
    <r>
      <rPr>
        <sz val="10"/>
        <rFont val="WenQuanYi Zen Hei"/>
        <family val="2"/>
      </rPr>
      <t xml:space="preserve">목표일−시작일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</si>
  <si>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재무자립도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월평균 이자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배당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월평균 소비지출 </t>
    </r>
    <r>
      <rPr>
        <sz val="10"/>
        <rFont val="맑은 고딕"/>
        <family val="0"/>
        <charset val="1"/>
      </rPr>
      <t xml:space="preserve">(100%</t>
    </r>
    <r>
      <rPr>
        <sz val="10"/>
        <rFont val="WenQuanYi Zen Hei"/>
        <family val="2"/>
      </rPr>
      <t xml:space="preserve">면 일하지 않아도 생활 유지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</si>
  <si>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기준값</t>
    </r>
    <r>
      <rPr>
        <i val="true"/>
        <sz val="9"/>
        <color rgb="FF666666"/>
        <rFont val="맑은 고딕"/>
        <family val="0"/>
        <charset val="1"/>
      </rPr>
      <t xml:space="preserve">(30%, 6</t>
    </r>
    <r>
      <rPr>
        <i val="true"/>
        <sz val="9"/>
        <color rgb="FF666666"/>
        <rFont val="WenQuanYi Zen Hei"/>
        <family val="2"/>
      </rPr>
      <t xml:space="preserve">개월</t>
    </r>
    <r>
      <rPr>
        <i val="true"/>
        <sz val="9"/>
        <color rgb="FF666666"/>
        <rFont val="맑은 고딕"/>
        <family val="0"/>
        <charset val="1"/>
      </rPr>
      <t xml:space="preserve">, 40% </t>
    </r>
    <r>
      <rPr>
        <i val="true"/>
        <sz val="9"/>
        <color rgb="FF666666"/>
        <rFont val="WenQuanYi Zen Hei"/>
        <family val="2"/>
      </rPr>
      <t xml:space="preserve">등</t>
    </r>
    <r>
      <rPr>
        <i val="true"/>
        <sz val="9"/>
        <color rgb="FF666666"/>
        <rFont val="맑은 고딕"/>
        <family val="0"/>
        <charset val="1"/>
      </rPr>
      <t xml:space="preserve">)</t>
    </r>
    <r>
      <rPr>
        <i val="true"/>
        <sz val="9"/>
        <color rgb="FF666666"/>
        <rFont val="WenQuanYi Zen Hei"/>
        <family val="2"/>
      </rPr>
      <t xml:space="preserve">은 일반적인 가이드라인이며 </t>
    </r>
    <r>
      <rPr>
        <i val="true"/>
        <sz val="9"/>
        <color rgb="FF666666"/>
        <rFont val="맑은 고딕"/>
        <family val="0"/>
        <charset val="1"/>
      </rPr>
      <t xml:space="preserve">[</t>
    </r>
    <r>
      <rPr>
        <i val="true"/>
        <sz val="9"/>
        <color rgb="FF666666"/>
        <rFont val="WenQuanYi Zen Hei"/>
        <family val="2"/>
      </rPr>
      <t xml:space="preserve">설정</t>
    </r>
    <r>
      <rPr>
        <i val="true"/>
        <sz val="9"/>
        <color rgb="FF666666"/>
        <rFont val="맑은 고딕"/>
        <family val="0"/>
        <charset val="1"/>
      </rPr>
      <t xml:space="preserve">]</t>
    </r>
    <r>
      <rPr>
        <i val="true"/>
        <sz val="9"/>
        <color rgb="FF666666"/>
        <rFont val="WenQuanYi Zen Hei"/>
        <family val="2"/>
      </rPr>
      <t xml:space="preserve">에서 가정에 맞게 바꾸세요</t>
    </r>
  </si>
  <si>
    <t xml:space="preserve">일자</t>
  </si>
  <si>
    <t xml:space="preserve">월</t>
  </si>
  <si>
    <t xml:space="preserve">내용</t>
  </si>
  <si>
    <t xml:space="preserve">금액</t>
  </si>
  <si>
    <t xml:space="preserve">카테고리</t>
  </si>
  <si>
    <t xml:space="preserve">대분류</t>
  </si>
  <si>
    <t xml:space="preserve">필수</t>
  </si>
  <si>
    <t xml:space="preserve">결제수단</t>
  </si>
  <si>
    <t xml:space="preserve">출처</t>
  </si>
  <si>
    <t xml:space="preserve">메모</t>
  </si>
  <si>
    <t xml:space="preserve">월번호</t>
  </si>
  <si>
    <r>
      <rPr>
        <i val="true"/>
        <sz val="9"/>
        <color rgb="FF666666"/>
        <rFont val="WenQuanYi Zen Hei"/>
        <family val="2"/>
      </rPr>
      <t xml:space="preserve">금액은 항상 양수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들어온 돈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나간 돈 구분은 카테고리의 대분류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소득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고정비…</t>
    </r>
    <r>
      <rPr>
        <i val="true"/>
        <sz val="9"/>
        <color rgb="FF666666"/>
        <rFont val="맑은 고딕"/>
        <family val="0"/>
        <charset val="1"/>
      </rPr>
      <t xml:space="preserve">)</t>
    </r>
    <r>
      <rPr>
        <i val="true"/>
        <sz val="9"/>
        <color rgb="FF666666"/>
        <rFont val="WenQuanYi Zen Hei"/>
        <family val="2"/>
      </rPr>
      <t xml:space="preserve">가 결정합니다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</si>
  <si>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배우자 용돈 이체</t>
  </si>
  <si>
    <t xml:space="preserve">용돈</t>
  </si>
  <si>
    <t xml:space="preserve">배우자</t>
  </si>
  <si>
    <t xml:space="preserve">계좌이체</t>
  </si>
  <si>
    <t xml:space="preserve">샘플</t>
  </si>
  <si>
    <r>
      <rPr>
        <i val="true"/>
        <sz val="9"/>
        <color rgb="FF666666"/>
        <rFont val="WenQuanYi Zen Hei"/>
        <family val="2"/>
      </rPr>
      <t xml:space="preserve">카드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은행 </t>
    </r>
    <r>
      <rPr>
        <i val="true"/>
        <sz val="9"/>
        <color rgb="FF666666"/>
        <rFont val="맑은 고딕"/>
        <family val="0"/>
        <charset val="1"/>
      </rPr>
      <t xml:space="preserve">CSV</t>
    </r>
    <r>
      <rPr>
        <i val="true"/>
        <sz val="9"/>
        <color rgb="FF666666"/>
        <rFont val="WenQuanYi Zen Hei"/>
        <family val="2"/>
      </rPr>
      <t xml:space="preserve">는 </t>
    </r>
    <r>
      <rPr>
        <i val="true"/>
        <sz val="9"/>
        <color rgb="FF666666"/>
        <rFont val="맑은 고딕"/>
        <family val="0"/>
        <charset val="1"/>
      </rPr>
      <t xml:space="preserve">`python -m household_finance import`</t>
    </r>
    <r>
      <rPr>
        <i val="true"/>
        <sz val="9"/>
        <color rgb="FF666666"/>
        <rFont val="WenQuanYi Zen Hei"/>
        <family val="2"/>
      </rPr>
      <t xml:space="preserve">로 자동 분류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중복제거 후 추가됩니다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</si>
  <si>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본인 용돈 이체</t>
  </si>
  <si>
    <t xml:space="preserve">본인</t>
  </si>
  <si>
    <t xml:space="preserve">소리피아노학원</t>
  </si>
  <si>
    <t xml:space="preserve">교육비</t>
  </si>
  <si>
    <t xml:space="preserve">공동</t>
  </si>
  <si>
    <t xml:space="preserve">삼성카드</t>
  </si>
  <si>
    <t xml:space="preserve">해봄수학학원</t>
  </si>
  <si>
    <r>
      <rPr>
        <sz val="10"/>
        <color rgb="FF0000FF"/>
        <rFont val="맑은 고딕"/>
        <family val="0"/>
        <charset val="1"/>
      </rPr>
      <t xml:space="preserve">GS</t>
    </r>
    <r>
      <rPr>
        <sz val="10"/>
        <color rgb="FF0000FF"/>
        <rFont val="WenQuanYi Zen Hei"/>
        <family val="2"/>
      </rPr>
      <t xml:space="preserve">칼텍스 주유</t>
    </r>
  </si>
  <si>
    <t xml:space="preserve">교통</t>
  </si>
  <si>
    <t xml:space="preserve">다이소</t>
  </si>
  <si>
    <t xml:space="preserve">생활용품</t>
  </si>
  <si>
    <t xml:space="preserve">동네 카페</t>
  </si>
  <si>
    <t xml:space="preserve">외식</t>
  </si>
  <si>
    <t xml:space="preserve">현대카드</t>
  </si>
  <si>
    <t xml:space="preserve">동네마트</t>
  </si>
  <si>
    <t xml:space="preserve">식비</t>
  </si>
  <si>
    <t xml:space="preserve">이마트</t>
  </si>
  <si>
    <t xml:space="preserve">티머니 교통카드 충전</t>
  </si>
  <si>
    <t xml:space="preserve">한우마을 식당</t>
  </si>
  <si>
    <t xml:space="preserve">신용대출 원금상환</t>
  </si>
  <si>
    <t xml:space="preserve">대출원금상환</t>
  </si>
  <si>
    <t xml:space="preserve">자동이체</t>
  </si>
  <si>
    <t xml:space="preserve">신용대출 이자</t>
  </si>
  <si>
    <t xml:space="preserve">대출이자</t>
  </si>
  <si>
    <t xml:space="preserve">주담대 원금상환</t>
  </si>
  <si>
    <t xml:space="preserve">주택담보대출 이자</t>
  </si>
  <si>
    <t xml:space="preserve">홈플러스</t>
  </si>
  <si>
    <t xml:space="preserve">넷플릭스</t>
  </si>
  <si>
    <t xml:space="preserve">구독료</t>
  </si>
  <si>
    <t xml:space="preserve">유튜브 프리미엄</t>
  </si>
  <si>
    <t xml:space="preserve">신한카드</t>
  </si>
  <si>
    <t xml:space="preserve">쿠팡와우 멤버십</t>
  </si>
  <si>
    <t xml:space="preserve">쿠팡</t>
  </si>
  <si>
    <r>
      <rPr>
        <sz val="10"/>
        <color rgb="FF0000FF"/>
        <rFont val="WenQuanYi Zen Hei"/>
        <family val="2"/>
      </rPr>
      <t xml:space="preserve">카카오</t>
    </r>
    <r>
      <rPr>
        <sz val="10"/>
        <color rgb="FF0000FF"/>
        <rFont val="맑은 고딕"/>
        <family val="0"/>
        <charset val="1"/>
      </rPr>
      <t xml:space="preserve">T </t>
    </r>
    <r>
      <rPr>
        <sz val="10"/>
        <color rgb="FF0000FF"/>
        <rFont val="WenQuanYi Zen Hei"/>
        <family val="2"/>
      </rPr>
      <t xml:space="preserve">택시</t>
    </r>
  </si>
  <si>
    <r>
      <rPr>
        <sz val="10"/>
        <color rgb="FF0000FF"/>
        <rFont val="맑은 고딕"/>
        <family val="0"/>
        <charset val="1"/>
      </rPr>
      <t xml:space="preserve">KB</t>
    </r>
    <r>
      <rPr>
        <sz val="10"/>
        <color rgb="FF0000FF"/>
        <rFont val="WenQuanYi Zen Hei"/>
        <family val="2"/>
      </rPr>
      <t xml:space="preserve">손해보험 어린이보험</t>
    </r>
  </si>
  <si>
    <t xml:space="preserve">보험료</t>
  </si>
  <si>
    <t xml:space="preserve">삼성화재 보험료</t>
  </si>
  <si>
    <t xml:space="preserve">현대해상 보험료</t>
  </si>
  <si>
    <t xml:space="preserve">온누리약국</t>
  </si>
  <si>
    <t xml:space="preserve">의료</t>
  </si>
  <si>
    <t xml:space="preserve">아파트관리비</t>
  </si>
  <si>
    <t xml:space="preserve">주거관리비</t>
  </si>
  <si>
    <r>
      <rPr>
        <sz val="10"/>
        <color rgb="FF0000FF"/>
        <rFont val="맑은 고딕"/>
        <family val="0"/>
        <charset val="1"/>
      </rPr>
      <t xml:space="preserve">KT </t>
    </r>
    <r>
      <rPr>
        <sz val="10"/>
        <color rgb="FF0000FF"/>
        <rFont val="WenQuanYi Zen Hei"/>
        <family val="2"/>
      </rPr>
      <t xml:space="preserve">통신요금</t>
    </r>
  </si>
  <si>
    <t xml:space="preserve">통신비</t>
  </si>
  <si>
    <r>
      <rPr>
        <sz val="10"/>
        <color rgb="FF0000FF"/>
        <rFont val="맑은 고딕"/>
        <family val="0"/>
        <charset val="1"/>
      </rPr>
      <t xml:space="preserve">SKT </t>
    </r>
    <r>
      <rPr>
        <sz val="10"/>
        <color rgb="FF0000FF"/>
        <rFont val="WenQuanYi Zen Hei"/>
        <family val="2"/>
      </rPr>
      <t xml:space="preserve">통신요금</t>
    </r>
  </si>
  <si>
    <r>
      <rPr>
        <sz val="10"/>
        <color rgb="FF0000FF"/>
        <rFont val="WenQuanYi Zen Hei"/>
        <family val="2"/>
      </rPr>
      <t xml:space="preserve">인터넷</t>
    </r>
    <r>
      <rPr>
        <sz val="10"/>
        <color rgb="FF0000FF"/>
        <rFont val="맑은 고딕"/>
        <family val="0"/>
        <charset val="1"/>
      </rPr>
      <t xml:space="preserve">·IPTV</t>
    </r>
  </si>
  <si>
    <t xml:space="preserve">교보문고</t>
  </si>
  <si>
    <t xml:space="preserve">여가</t>
  </si>
  <si>
    <t xml:space="preserve">신세계백화점</t>
  </si>
  <si>
    <t xml:space="preserve">쇼핑</t>
  </si>
  <si>
    <t xml:space="preserve">배달의민족</t>
  </si>
  <si>
    <t xml:space="preserve">튼튼소아과의원</t>
  </si>
  <si>
    <t xml:space="preserve">누리교육 급여</t>
  </si>
  <si>
    <t xml:space="preserve">급여</t>
  </si>
  <si>
    <t xml:space="preserve">계좌입금</t>
  </si>
  <si>
    <t xml:space="preserve">한빛산업 급여</t>
  </si>
  <si>
    <r>
      <rPr>
        <sz val="10"/>
        <color rgb="FF0000FF"/>
        <rFont val="맑은 고딕"/>
        <family val="0"/>
        <charset val="1"/>
      </rPr>
      <t xml:space="preserve">IRP </t>
    </r>
    <r>
      <rPr>
        <sz val="10"/>
        <color rgb="FF0000FF"/>
        <rFont val="WenQuanYi Zen Hei"/>
        <family val="2"/>
      </rPr>
      <t xml:space="preserve">납입</t>
    </r>
  </si>
  <si>
    <t xml:space="preserve">연금납입</t>
  </si>
  <si>
    <r>
      <rPr>
        <sz val="10"/>
        <color rgb="FF0000FF"/>
        <rFont val="WenQuanYi Zen Hei"/>
        <family val="2"/>
      </rPr>
      <t xml:space="preserve">미래에셋 </t>
    </r>
    <r>
      <rPr>
        <sz val="10"/>
        <color rgb="FF0000FF"/>
        <rFont val="맑은 고딕"/>
        <family val="0"/>
        <charset val="1"/>
      </rPr>
      <t xml:space="preserve">ISA </t>
    </r>
    <r>
      <rPr>
        <sz val="10"/>
        <color rgb="FF0000FF"/>
        <rFont val="WenQuanYi Zen Hei"/>
        <family val="2"/>
      </rPr>
      <t xml:space="preserve">이체</t>
    </r>
  </si>
  <si>
    <t xml:space="preserve">투자이체</t>
  </si>
  <si>
    <t xml:space="preserve">연금저축 납입</t>
  </si>
  <si>
    <t xml:space="preserve">우리은행 정기적금</t>
  </si>
  <si>
    <t xml:space="preserve">저축이체</t>
  </si>
  <si>
    <t xml:space="preserve">주택청약 납입</t>
  </si>
  <si>
    <t xml:space="preserve">키움증권 투자이체</t>
  </si>
  <si>
    <t xml:space="preserve">토스증권 해외주식 이체</t>
  </si>
  <si>
    <t xml:space="preserve">토스뱅크 파킹통장 이자</t>
  </si>
  <si>
    <t xml:space="preserve">이자배당</t>
  </si>
  <si>
    <t xml:space="preserve">쿠팡이츠</t>
  </si>
  <si>
    <t xml:space="preserve">마켓컬리</t>
  </si>
  <si>
    <t xml:space="preserve">골프연습장</t>
  </si>
  <si>
    <t xml:space="preserve">쿠팡 로켓프레시</t>
  </si>
  <si>
    <t xml:space="preserve">CGV</t>
  </si>
  <si>
    <t xml:space="preserve">외부 강의료</t>
  </si>
  <si>
    <t xml:space="preserve">부수입</t>
  </si>
  <si>
    <t xml:space="preserve">조의금</t>
  </si>
  <si>
    <t xml:space="preserve">경조사</t>
  </si>
  <si>
    <t xml:space="preserve">무신사</t>
  </si>
  <si>
    <t xml:space="preserve">키움증권 배당금</t>
  </si>
  <si>
    <t xml:space="preserve">누리교육 상여금</t>
  </si>
  <si>
    <t xml:space="preserve">상여</t>
  </si>
  <si>
    <t xml:space="preserve">스타벅스</t>
  </si>
  <si>
    <t xml:space="preserve">자동차세</t>
  </si>
  <si>
    <t xml:space="preserve">세금</t>
  </si>
  <si>
    <t xml:space="preserve">한빛산업 성과급</t>
  </si>
  <si>
    <t xml:space="preserve">올리브영</t>
  </si>
  <si>
    <t xml:space="preserve">제주 가족여행</t>
  </si>
  <si>
    <t xml:space="preserve">여행</t>
  </si>
  <si>
    <r>
      <rPr>
        <sz val="10"/>
        <color rgb="FF0000FF"/>
        <rFont val="WenQuanYi Zen Hei"/>
        <family val="2"/>
      </rPr>
      <t xml:space="preserve">설날 명절 선물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용돈</t>
    </r>
  </si>
  <si>
    <t xml:space="preserve">명절</t>
  </si>
  <si>
    <t xml:space="preserve">재산세</t>
  </si>
  <si>
    <r>
      <rPr>
        <sz val="10"/>
        <color rgb="FF0000FF"/>
        <rFont val="WenQuanYi Zen Hei"/>
        <family val="2"/>
      </rPr>
      <t xml:space="preserve">오사카 가족여행 항공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호텔</t>
    </r>
  </si>
  <si>
    <r>
      <rPr>
        <sz val="10"/>
        <color rgb="FF0000FF"/>
        <rFont val="WenQuanYi Zen Hei"/>
        <family val="2"/>
      </rPr>
      <t xml:space="preserve">추석 명절 선물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용돈</t>
    </r>
  </si>
  <si>
    <r>
      <rPr>
        <b val="true"/>
        <sz val="10"/>
        <color rgb="FFFFFFFF"/>
        <rFont val="WenQuanYi Zen Hei"/>
        <family val="2"/>
      </rPr>
      <t xml:space="preserve">계좌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</si>
  <si>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t xml:space="preserve">계좌명</t>
  </si>
  <si>
    <t xml:space="preserve">유형</t>
  </si>
  <si>
    <t xml:space="preserve">소유자</t>
  </si>
  <si>
    <t xml:space="preserve">유동성</t>
  </si>
  <si>
    <r>
      <rPr>
        <i val="true"/>
        <sz val="9"/>
        <color rgb="FF666666"/>
        <rFont val="WenQuanYi Zen Hei"/>
        <family val="2"/>
      </rPr>
      <t xml:space="preserve">매월 말 계좌별 잔액을 기록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부채도 양수로</t>
    </r>
    <r>
      <rPr>
        <i val="true"/>
        <sz val="9"/>
        <color rgb="FF666666"/>
        <rFont val="맑은 고딕"/>
        <family val="0"/>
        <charset val="1"/>
      </rPr>
      <t xml:space="preserve">). `python -m household_finance new-month`</t>
    </r>
    <r>
      <rPr>
        <i val="true"/>
        <sz val="9"/>
        <color rgb="FF666666"/>
        <rFont val="WenQuanYi Zen Hei"/>
        <family val="2"/>
      </rPr>
      <t xml:space="preserve">로 다음 달 행을 자동 생성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</si>
  <si>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2025-10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</si>
  <si>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</si>
  <si>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</si>
  <si>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</si>
  <si>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</si>
  <si>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</si>
  <si>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</si>
  <si>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I01</t>
  </si>
  <si>
    <t xml:space="preserve">I02</t>
  </si>
  <si>
    <t xml:space="preserve">I03</t>
  </si>
  <si>
    <t xml:space="preserve">P01</t>
  </si>
  <si>
    <t xml:space="preserve">P02</t>
  </si>
  <si>
    <t xml:space="preserve">P03</t>
  </si>
  <si>
    <t xml:space="preserve">R01</t>
  </si>
  <si>
    <t xml:space="preserve">E01</t>
  </si>
  <si>
    <t xml:space="preserve">L01</t>
  </si>
  <si>
    <t xml:space="preserve">L02</t>
  </si>
  <si>
    <t xml:space="preserve">L03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</si>
  <si>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</si>
  <si>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</si>
  <si>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</si>
  <si>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</si>
  <si>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</si>
  <si>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</si>
  <si>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</si>
  <si>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</si>
  <si>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</si>
  <si>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</si>
  <si>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기관</t>
  </si>
  <si>
    <r>
      <rPr>
        <i val="true"/>
        <sz val="9"/>
        <color rgb="FF666666"/>
        <rFont val="WenQuanYi Zen Hei"/>
        <family val="2"/>
      </rPr>
      <t xml:space="preserve">유형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현금성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투자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연금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부동산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기타자산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부채 </t>
    </r>
    <r>
      <rPr>
        <i val="true"/>
        <sz val="9"/>
        <color rgb="FF666666"/>
        <rFont val="맑은 고딕"/>
        <family val="0"/>
        <charset val="1"/>
      </rPr>
      <t xml:space="preserve">· </t>
    </r>
    <r>
      <rPr>
        <i val="true"/>
        <sz val="9"/>
        <color rgb="FF666666"/>
        <rFont val="WenQuanYi Zen Hei"/>
        <family val="2"/>
      </rPr>
      <t xml:space="preserve">유동성</t>
    </r>
    <r>
      <rPr>
        <i val="true"/>
        <sz val="9"/>
        <color rgb="FF666666"/>
        <rFont val="맑은 고딕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즉시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오늘 꺼낼 수 있음</t>
    </r>
    <r>
      <rPr>
        <i val="true"/>
        <sz val="9"/>
        <color rgb="FF666666"/>
        <rFont val="맑은 고딕"/>
        <family val="0"/>
        <charset val="1"/>
      </rPr>
      <t xml:space="preserve">)/1</t>
    </r>
    <r>
      <rPr>
        <i val="true"/>
        <sz val="9"/>
        <color rgb="FF666666"/>
        <rFont val="WenQuanYi Zen Hei"/>
        <family val="2"/>
      </rPr>
      <t xml:space="preserve">년내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장기</t>
    </r>
  </si>
  <si>
    <r>
      <rPr>
        <sz val="10"/>
        <color rgb="FF0000FF"/>
        <rFont val="WenQuanYi Zen Hei"/>
        <family val="2"/>
      </rPr>
      <t xml:space="preserve">급여통장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본인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</si>
  <si>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국민은행</t>
  </si>
  <si>
    <t xml:space="preserve">현금성</t>
  </si>
  <si>
    <t xml:space="preserve">즉시</t>
  </si>
  <si>
    <r>
      <rPr>
        <sz val="10"/>
        <color rgb="FF0000FF"/>
        <rFont val="WenQuanYi Zen Hei"/>
        <family val="2"/>
      </rPr>
      <t xml:space="preserve">급여통장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배우자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</si>
  <si>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신한은행</t>
  </si>
  <si>
    <t xml:space="preserve">생활비통장</t>
  </si>
  <si>
    <t xml:space="preserve">카카오뱅크</t>
  </si>
  <si>
    <t xml:space="preserve">카드 결제 계좌</t>
  </si>
  <si>
    <t xml:space="preserve">비상금 파킹통장</t>
  </si>
  <si>
    <t xml:space="preserve">토스뱅크</t>
  </si>
  <si>
    <r>
      <rPr>
        <sz val="10"/>
        <color rgb="FF0000FF"/>
        <rFont val="WenQuanYi Zen Hei"/>
        <family val="2"/>
      </rPr>
      <t xml:space="preserve">목표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비상자금</t>
    </r>
  </si>
  <si>
    <t xml:space="preserve">주택청약종합저축</t>
  </si>
  <si>
    <t xml:space="preserve">장기</t>
  </si>
  <si>
    <r>
      <rPr>
        <sz val="10"/>
        <color rgb="FF0000FF"/>
        <rFont val="WenQuanYi Zen Hei"/>
        <family val="2"/>
      </rPr>
      <t xml:space="preserve">목표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내집마련</t>
    </r>
  </si>
  <si>
    <t xml:space="preserve">정기적금</t>
  </si>
  <si>
    <t xml:space="preserve">우리은행</t>
  </si>
  <si>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WenQuanYi Zen Hei"/>
        <family val="2"/>
      </rPr>
      <t xml:space="preserve">년내</t>
    </r>
  </si>
  <si>
    <r>
      <rPr>
        <sz val="10"/>
        <color rgb="FF0000FF"/>
        <rFont val="WenQuanYi Zen Hei"/>
        <family val="2"/>
      </rPr>
      <t xml:space="preserve">목표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차량교체</t>
    </r>
  </si>
  <si>
    <t xml:space="preserve">주식계좌</t>
  </si>
  <si>
    <t xml:space="preserve">키움증권</t>
  </si>
  <si>
    <t xml:space="preserve">투자</t>
  </si>
  <si>
    <r>
      <rPr>
        <sz val="10"/>
        <color rgb="FF0000FF"/>
        <rFont val="맑은 고딕"/>
        <family val="0"/>
        <charset val="1"/>
      </rPr>
      <t xml:space="preserve">ISA(</t>
    </r>
    <r>
      <rPr>
        <sz val="10"/>
        <color rgb="FF0000FF"/>
        <rFont val="WenQuanYi Zen Hei"/>
        <family val="2"/>
      </rPr>
      <t xml:space="preserve">중개형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</si>
  <si>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미래에셋증권</t>
  </si>
  <si>
    <r>
      <rPr>
        <sz val="10"/>
        <color rgb="FF0000FF"/>
        <rFont val="WenQuanYi Zen Hei"/>
        <family val="2"/>
      </rPr>
      <t xml:space="preserve">목표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자녀 교육자금</t>
    </r>
  </si>
  <si>
    <t xml:space="preserve">해외주식계좌</t>
  </si>
  <si>
    <t xml:space="preserve">토스증권</t>
  </si>
  <si>
    <t xml:space="preserve">연금저축펀드</t>
  </si>
  <si>
    <t xml:space="preserve">삼성증권</t>
  </si>
  <si>
    <t xml:space="preserve">연금</t>
  </si>
  <si>
    <r>
      <rPr>
        <sz val="10"/>
        <color rgb="FF0000FF"/>
        <rFont val="WenQuanYi Zen Hei"/>
        <family val="2"/>
      </rPr>
      <t xml:space="preserve">목표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노후자금</t>
    </r>
  </si>
  <si>
    <t xml:space="preserve">IRP</t>
  </si>
  <si>
    <r>
      <rPr>
        <sz val="10"/>
        <color rgb="FF0000FF"/>
        <rFont val="WenQuanYi Zen Hei"/>
        <family val="2"/>
      </rPr>
      <t xml:space="preserve">퇴직연금</t>
    </r>
    <r>
      <rPr>
        <sz val="10"/>
        <color rgb="FF0000FF"/>
        <rFont val="맑은 고딕"/>
        <family val="0"/>
        <charset val="1"/>
      </rPr>
      <t xml:space="preserve">(DC)</t>
    </r>
  </si>
  <si>
    <t xml:space="preserve">회사 퇴직연금</t>
  </si>
  <si>
    <r>
      <rPr>
        <sz val="10"/>
        <color rgb="FF0000FF"/>
        <rFont val="WenQuanYi Zen Hei"/>
        <family val="2"/>
      </rPr>
      <t xml:space="preserve">아파트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실거주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</si>
  <si>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-</t>
  </si>
  <si>
    <t xml:space="preserve">부동산</t>
  </si>
  <si>
    <r>
      <rPr>
        <sz val="10"/>
        <color rgb="FF0000FF"/>
        <rFont val="맑은 고딕"/>
        <family val="0"/>
        <charset val="1"/>
      </rPr>
      <t xml:space="preserve">KB</t>
    </r>
    <r>
      <rPr>
        <sz val="10"/>
        <color rgb="FF0000FF"/>
        <rFont val="WenQuanYi Zen Hei"/>
        <family val="2"/>
      </rPr>
      <t xml:space="preserve">시세 기준</t>
    </r>
  </si>
  <si>
    <t xml:space="preserve">자동차</t>
  </si>
  <si>
    <t xml:space="preserve">기타자산</t>
  </si>
  <si>
    <t xml:space="preserve">중고 시세 기준</t>
  </si>
  <si>
    <t xml:space="preserve">주택담보대출</t>
  </si>
  <si>
    <t xml:space="preserve">신용대출</t>
  </si>
  <si>
    <t xml:space="preserve">카드 결제예정액</t>
  </si>
  <si>
    <t xml:space="preserve">카드사 합계</t>
  </si>
  <si>
    <t xml:space="preserve">다음 달 결제 예정</t>
  </si>
  <si>
    <t xml:space="preserve">📈 투자 포트폴리오</t>
  </si>
  <si>
    <r>
      <rPr>
        <i val="true"/>
        <sz val="9"/>
        <color rgb="FF666666"/>
        <rFont val="WenQuanYi Zen Hei"/>
        <family val="2"/>
      </rPr>
      <t xml:space="preserve">보유종목 표에 수량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현재가를 입력하면 자산배분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수익률이 계산됩니다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구글 시트에서는 현재가에 </t>
    </r>
    <r>
      <rPr>
        <i val="true"/>
        <sz val="9"/>
        <color rgb="FF666666"/>
        <rFont val="맑은 고딕"/>
        <family val="0"/>
        <charset val="1"/>
      </rPr>
      <t xml:space="preserve">=GOOGLEFINANCE(</t>
    </r>
    <r>
      <rPr>
        <i val="true"/>
        <sz val="9"/>
        <color rgb="FF666666"/>
        <rFont val="WenQuanYi Zen Hei"/>
        <family val="2"/>
      </rPr>
      <t xml:space="preserve">시세코드</t>
    </r>
    <r>
      <rPr>
        <i val="true"/>
        <sz val="9"/>
        <color rgb="FF666666"/>
        <rFont val="맑은 고딕"/>
        <family val="0"/>
        <charset val="1"/>
      </rPr>
      <t xml:space="preserve">) </t>
    </r>
    <r>
      <rPr>
        <i val="true"/>
        <sz val="9"/>
        <color rgb="FF666666"/>
        <rFont val="WenQuanYi Zen Hei"/>
        <family val="2"/>
      </rPr>
      <t xml:space="preserve">사용 가능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</si>
  <si>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자산군</t>
  </si>
  <si>
    <t xml:space="preserve">목표 비중</t>
  </si>
  <si>
    <t xml:space="preserve">평가금액</t>
  </si>
  <si>
    <t xml:space="preserve">현재 비중</t>
  </si>
  <si>
    <r>
      <rPr>
        <b val="true"/>
        <sz val="10"/>
        <color rgb="FFFFFFFF"/>
        <rFont val="WenQuanYi Zen Hei"/>
        <family val="2"/>
      </rPr>
      <t xml:space="preserve">괴리</t>
    </r>
    <r>
      <rPr>
        <b val="true"/>
        <sz val="10"/>
        <color rgb="FFFFFFFF"/>
        <rFont val="맑은 고딕"/>
        <family val="0"/>
        <charset val="1"/>
      </rPr>
      <t xml:space="preserve">(%p)</t>
    </r>
  </si>
  <si>
    <t xml:space="preserve">목표까지 조정금액</t>
  </si>
  <si>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알림용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</si>
  <si>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리밸런싱 알림은 가계 전체 포트폴리오 기준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대시보드 보기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전체</t>
    </r>
    <r>
      <rPr>
        <i val="true"/>
        <sz val="9"/>
        <color rgb="FF666666"/>
        <rFont val="맑은 고딕"/>
        <family val="0"/>
        <charset val="1"/>
      </rPr>
      <t xml:space="preserve">')</t>
    </r>
    <r>
      <rPr>
        <i val="true"/>
        <sz val="9"/>
        <color rgb="FF666666"/>
        <rFont val="WenQuanYi Zen Hei"/>
        <family val="2"/>
      </rPr>
      <t xml:space="preserve">에서만 표시됩니다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</si>
  <si>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국내주식</t>
  </si>
  <si>
    <t xml:space="preserve">해외주식</t>
  </si>
  <si>
    <t xml:space="preserve">채권</t>
  </si>
  <si>
    <t xml:space="preserve">대체투자</t>
  </si>
  <si>
    <t xml:space="preserve">합계</t>
  </si>
  <si>
    <t xml:space="preserve">투자금 확대 트래킹</t>
  </si>
  <si>
    <t xml:space="preserve">실적</t>
  </si>
  <si>
    <r>
      <rPr>
        <b val="true"/>
        <sz val="10"/>
        <color rgb="FFFFFFFF"/>
        <rFont val="WenQuanYi Zen Hei"/>
        <family val="2"/>
      </rPr>
      <t xml:space="preserve">목표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전월</t>
    </r>
  </si>
  <si>
    <r>
      <rPr>
        <b val="true"/>
        <sz val="10"/>
        <color rgb="FFFFFFFF"/>
        <rFont val="WenQuanYi Zen Hei"/>
        <family val="2"/>
      </rPr>
      <t xml:space="preserve">달성률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증가율</t>
    </r>
  </si>
  <si>
    <t xml:space="preserve">이번 달 투자 납입액</t>
  </si>
  <si>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개월 누적 납입</t>
    </r>
  </si>
  <si>
    <r>
      <rPr>
        <sz val="10"/>
        <rFont val="WenQuanYi Zen Hei"/>
        <family val="2"/>
      </rPr>
      <t xml:space="preserve">월평균 납입 </t>
    </r>
    <r>
      <rPr>
        <sz val="10"/>
        <rFont val="맑은 고딕"/>
        <family val="0"/>
        <charset val="1"/>
      </rPr>
      <t xml:space="preserve">(12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</si>
  <si>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투자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연금 자산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기준월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</si>
  <si>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자산 증가 중 운용수익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추정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</si>
  <si>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증감 − 이번 달 납입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퇴직연금 회사 적립분 등이 섞일 수 있어 추정치입니다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</si>
  <si>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1"/>
        <color rgb="FF1F2A44"/>
        <rFont val="WenQuanYi Zen Hei"/>
        <family val="2"/>
      </rPr>
      <t xml:space="preserve">절세 계좌 납입 현황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올해 </t>
    </r>
    <r>
      <rPr>
        <b val="true"/>
        <sz val="11"/>
        <color rgb="FF1F2A44"/>
        <rFont val="맑은 고딕"/>
        <family val="0"/>
        <charset val="1"/>
      </rPr>
      <t xml:space="preserve">1</t>
    </r>
    <r>
      <rPr>
        <b val="true"/>
        <sz val="11"/>
        <color rgb="FF1F2A44"/>
        <rFont val="WenQuanYi Zen Hei"/>
        <family val="2"/>
      </rPr>
      <t xml:space="preserve">월</t>
    </r>
    <r>
      <rPr>
        <b val="true"/>
        <sz val="11"/>
        <color rgb="FF1F2A44"/>
        <rFont val="맑은 고딕"/>
        <family val="0"/>
        <charset val="1"/>
      </rPr>
      <t xml:space="preserve">~</t>
    </r>
    <r>
      <rPr>
        <b val="true"/>
        <sz val="11"/>
        <color rgb="FF1F2A44"/>
        <rFont val="WenQuanYi Zen Hei"/>
        <family val="2"/>
      </rPr>
      <t xml:space="preserve">기준월</t>
    </r>
    <r>
      <rPr>
        <b val="true"/>
        <sz val="11"/>
        <color rgb="FF1F2A44"/>
        <rFont val="맑은 고딕"/>
        <family val="0"/>
        <charset val="1"/>
      </rPr>
      <t xml:space="preserve">, </t>
    </r>
    <r>
      <rPr>
        <b val="true"/>
        <sz val="11"/>
        <color rgb="FF1F2A44"/>
        <rFont val="WenQuanYi Zen Hei"/>
        <family val="2"/>
      </rPr>
      <t xml:space="preserve">거래내역 </t>
    </r>
    <r>
      <rPr>
        <b val="true"/>
        <sz val="11"/>
        <color rgb="FF1F2A44"/>
        <rFont val="맑은 고딕"/>
        <family val="0"/>
        <charset val="1"/>
      </rPr>
      <t xml:space="preserve">'</t>
    </r>
    <r>
      <rPr>
        <b val="true"/>
        <sz val="11"/>
        <color rgb="FF1F2A44"/>
        <rFont val="WenQuanYi Zen Hei"/>
        <family val="2"/>
      </rPr>
      <t xml:space="preserve">내용</t>
    </r>
    <r>
      <rPr>
        <b val="true"/>
        <sz val="11"/>
        <color rgb="FF1F2A44"/>
        <rFont val="맑은 고딕"/>
        <family val="0"/>
        <charset val="1"/>
      </rPr>
      <t xml:space="preserve">' </t>
    </r>
    <r>
      <rPr>
        <b val="true"/>
        <sz val="11"/>
        <color rgb="FF1F2A44"/>
        <rFont val="WenQuanYi Zen Hei"/>
        <family val="2"/>
      </rPr>
      <t xml:space="preserve">키워드로 집계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</si>
  <si>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항목</t>
  </si>
  <si>
    <t xml:space="preserve">연간 한도</t>
  </si>
  <si>
    <t xml:space="preserve">올해 납입</t>
  </si>
  <si>
    <t xml:space="preserve">잔여 한도</t>
  </si>
  <si>
    <t xml:space="preserve">소진율</t>
  </si>
  <si>
    <t xml:space="preserve">내용 키워드</t>
  </si>
  <si>
    <t xml:space="preserve">연금저축</t>
  </si>
  <si>
    <r>
      <rPr>
        <sz val="10"/>
        <color rgb="FF0000FF"/>
        <rFont val="맑은 고딕"/>
        <family val="0"/>
        <charset val="1"/>
      </rPr>
      <t xml:space="preserve">*</t>
    </r>
    <r>
      <rPr>
        <sz val="10"/>
        <color rgb="FF0000FF"/>
        <rFont val="WenQuanYi Zen Hei"/>
        <family val="2"/>
      </rPr>
      <t xml:space="preserve">연금저축</t>
    </r>
    <r>
      <rPr>
        <sz val="10"/>
        <color rgb="FF0000FF"/>
        <rFont val="맑은 고딕"/>
        <family val="0"/>
        <charset val="1"/>
      </rPr>
      <t xml:space="preserve">*</t>
    </r>
  </si>
  <si>
    <r>
      <rPr>
        <sz val="10"/>
        <rFont val="WenQuanYi Zen Hei"/>
        <family val="2"/>
      </rPr>
      <t xml:space="preserve">연금저축</t>
    </r>
    <r>
      <rPr>
        <sz val="10"/>
        <rFont val="맑은 고딕"/>
        <family val="0"/>
        <charset val="1"/>
      </rPr>
      <t xml:space="preserve">+IRP </t>
    </r>
    <r>
      <rPr>
        <sz val="10"/>
        <rFont val="WenQuanYi Zen Hei"/>
        <family val="2"/>
      </rPr>
      <t xml:space="preserve">합산</t>
    </r>
  </si>
  <si>
    <t xml:space="preserve">*IRP*</t>
  </si>
  <si>
    <t xml:space="preserve">ISA</t>
  </si>
  <si>
    <t xml:space="preserve">*ISA*</t>
  </si>
  <si>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연금저축</t>
    </r>
    <r>
      <rPr>
        <i val="true"/>
        <sz val="9"/>
        <color rgb="FF666666"/>
        <rFont val="맑은 고딕"/>
        <family val="0"/>
        <charset val="1"/>
      </rPr>
      <t xml:space="preserve">+IRP </t>
    </r>
    <r>
      <rPr>
        <i val="true"/>
        <sz val="9"/>
        <color rgb="FF666666"/>
        <rFont val="WenQuanYi Zen Hei"/>
        <family val="2"/>
      </rPr>
      <t xml:space="preserve">합산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의 키워드 칸은 </t>
    </r>
    <r>
      <rPr>
        <i val="true"/>
        <sz val="9"/>
        <color rgb="FF666666"/>
        <rFont val="맑은 고딕"/>
        <family val="0"/>
        <charset val="1"/>
      </rPr>
      <t xml:space="preserve">IRP </t>
    </r>
    <r>
      <rPr>
        <i val="true"/>
        <sz val="9"/>
        <color rgb="FF666666"/>
        <rFont val="WenQuanYi Zen Hei"/>
        <family val="2"/>
      </rPr>
      <t xml:space="preserve">납입을 찾는 키워드입니다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연금저축분은 위 행 값을 더함</t>
    </r>
    <r>
      <rPr>
        <i val="true"/>
        <sz val="9"/>
        <color rgb="FF666666"/>
        <rFont val="맑은 고딕"/>
        <family val="0"/>
        <charset val="1"/>
      </rPr>
      <t xml:space="preserve">).</t>
    </r>
  </si>
  <si>
    <r>
      <rPr>
        <b val="true"/>
        <sz val="11"/>
        <color rgb="FF1F2A44"/>
        <rFont val="WenQuanYi Zen Hei"/>
        <family val="2"/>
      </rPr>
      <t xml:space="preserve">보유 종목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파란 글씨 열 입력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</si>
  <si>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종목명</t>
  </si>
  <si>
    <t xml:space="preserve">시세코드</t>
  </si>
  <si>
    <t xml:space="preserve">수량</t>
  </si>
  <si>
    <t xml:space="preserve">평균단가</t>
  </si>
  <si>
    <t xml:space="preserve">현재가</t>
  </si>
  <si>
    <t xml:space="preserve">매입금액</t>
  </si>
  <si>
    <t xml:space="preserve">평가손익</t>
  </si>
  <si>
    <t xml:space="preserve">수익률</t>
  </si>
  <si>
    <r>
      <rPr>
        <b val="true"/>
        <sz val="10"/>
        <rFont val="WenQuanYi Zen Hei"/>
        <family val="2"/>
      </rPr>
      <t xml:space="preserve">보유종목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보기 기준</t>
    </r>
    <r>
      <rPr>
        <b val="true"/>
        <sz val="10"/>
        <rFont val="맑은 고딕"/>
        <family val="0"/>
        <charset val="1"/>
      </rPr>
      <t xml:space="preserve">)</t>
    </r>
  </si>
  <si>
    <t xml:space="preserve">삼성전자</t>
  </si>
  <si>
    <t xml:space="preserve">KRX:005930</t>
  </si>
  <si>
    <t xml:space="preserve">KODEX 200</t>
  </si>
  <si>
    <t xml:space="preserve">KRX:069500</t>
  </si>
  <si>
    <r>
      <rPr>
        <sz val="10"/>
        <color rgb="FF0000FF"/>
        <rFont val="맑은 고딕"/>
        <family val="0"/>
        <charset val="1"/>
      </rPr>
      <t xml:space="preserve">TIGER </t>
    </r>
    <r>
      <rPr>
        <sz val="10"/>
        <color rgb="FF0000FF"/>
        <rFont val="WenQuanYi Zen Hei"/>
        <family val="2"/>
      </rPr>
      <t xml:space="preserve">미국</t>
    </r>
    <r>
      <rPr>
        <sz val="10"/>
        <color rgb="FF0000FF"/>
        <rFont val="맑은 고딕"/>
        <family val="0"/>
        <charset val="1"/>
      </rPr>
      <t xml:space="preserve">S&amp;P500</t>
    </r>
  </si>
  <si>
    <t xml:space="preserve">KRX:360750</t>
  </si>
  <si>
    <r>
      <rPr>
        <sz val="10"/>
        <color rgb="FF0000FF"/>
        <rFont val="맑은 고딕"/>
        <family val="0"/>
        <charset val="1"/>
      </rPr>
      <t xml:space="preserve">TIGER </t>
    </r>
    <r>
      <rPr>
        <sz val="10"/>
        <color rgb="FF0000FF"/>
        <rFont val="WenQuanYi Zen Hei"/>
        <family val="2"/>
      </rPr>
      <t xml:space="preserve">미국나스닥</t>
    </r>
    <r>
      <rPr>
        <sz val="10"/>
        <color rgb="FF0000FF"/>
        <rFont val="맑은 고딕"/>
        <family val="0"/>
        <charset val="1"/>
      </rPr>
      <t xml:space="preserve">100</t>
    </r>
  </si>
  <si>
    <t xml:space="preserve">KRX:133690</t>
  </si>
  <si>
    <r>
      <rPr>
        <sz val="10"/>
        <color rgb="FF0000FF"/>
        <rFont val="맑은 고딕"/>
        <family val="0"/>
        <charset val="1"/>
      </rPr>
      <t xml:space="preserve">KODEX </t>
    </r>
    <r>
      <rPr>
        <sz val="10"/>
        <color rgb="FF0000FF"/>
        <rFont val="WenQuanYi Zen Hei"/>
        <family val="2"/>
      </rPr>
      <t xml:space="preserve">국고채</t>
    </r>
    <r>
      <rPr>
        <sz val="10"/>
        <color rgb="FF0000FF"/>
        <rFont val="맑은 고딕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년</t>
    </r>
  </si>
  <si>
    <t xml:space="preserve">KRX:148070</t>
  </si>
  <si>
    <r>
      <rPr>
        <sz val="10"/>
        <color rgb="FF0000FF"/>
        <rFont val="맑은 고딕"/>
        <family val="0"/>
        <charset val="1"/>
      </rPr>
      <t xml:space="preserve">ACE </t>
    </r>
    <r>
      <rPr>
        <sz val="10"/>
        <color rgb="FF0000FF"/>
        <rFont val="WenQuanYi Zen Hei"/>
        <family val="2"/>
      </rPr>
      <t xml:space="preserve">미국배당다우존스</t>
    </r>
  </si>
  <si>
    <t xml:space="preserve">KRX:402970</t>
  </si>
  <si>
    <r>
      <rPr>
        <sz val="10"/>
        <color rgb="FF0000FF"/>
        <rFont val="맑은 고딕"/>
        <family val="0"/>
        <charset val="1"/>
      </rPr>
      <t xml:space="preserve">ACE KRX</t>
    </r>
    <r>
      <rPr>
        <sz val="10"/>
        <color rgb="FF0000FF"/>
        <rFont val="WenQuanYi Zen Hei"/>
        <family val="2"/>
      </rPr>
      <t xml:space="preserve">금현물</t>
    </r>
  </si>
  <si>
    <t xml:space="preserve">KRX:411060</t>
  </si>
  <si>
    <r>
      <rPr>
        <sz val="10"/>
        <color rgb="FF0000FF"/>
        <rFont val="맑은 고딕"/>
        <family val="0"/>
        <charset val="1"/>
      </rPr>
      <t xml:space="preserve">KODEX </t>
    </r>
    <r>
      <rPr>
        <sz val="10"/>
        <color rgb="FF0000FF"/>
        <rFont val="WenQuanYi Zen Hei"/>
        <family val="2"/>
      </rPr>
      <t xml:space="preserve">국고채</t>
    </r>
    <r>
      <rPr>
        <sz val="10"/>
        <color rgb="FF0000FF"/>
        <rFont val="맑은 고딕"/>
        <family val="0"/>
        <charset val="1"/>
      </rPr>
      <t xml:space="preserve">3</t>
    </r>
    <r>
      <rPr>
        <sz val="10"/>
        <color rgb="FF0000FF"/>
        <rFont val="WenQuanYi Zen Hei"/>
        <family val="2"/>
      </rPr>
      <t xml:space="preserve">년</t>
    </r>
  </si>
  <si>
    <t xml:space="preserve">KRX:114260</t>
  </si>
  <si>
    <r>
      <rPr>
        <sz val="10"/>
        <color rgb="FF0000FF"/>
        <rFont val="WenQuanYi Zen Hei"/>
        <family val="2"/>
      </rPr>
      <t xml:space="preserve">정기예금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원리금보장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</si>
  <si>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TDF2045</t>
  </si>
  <si>
    <t xml:space="preserve">원리금보장 예금</t>
  </si>
  <si>
    <t xml:space="preserve">💳 부채 관리</t>
  </si>
  <si>
    <r>
      <rPr>
        <i val="true"/>
        <sz val="9"/>
        <color rgb="FF666666"/>
        <rFont val="WenQuanYi Zen Hei"/>
        <family val="2"/>
      </rPr>
      <t xml:space="preserve">잔액은 스냅샷 기준월 값을 자동으로 가져옵니다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상환 우선순위는 금리가 높은 순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</si>
  <si>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대출명</t>
  </si>
  <si>
    <r>
      <rPr>
        <b val="true"/>
        <sz val="10"/>
        <color rgb="FFFFFFFF"/>
        <rFont val="WenQuanYi Zen Hei"/>
        <family val="2"/>
      </rPr>
      <t xml:space="preserve">잔액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기준월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</si>
  <si>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금리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연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</si>
  <si>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만기일</t>
  </si>
  <si>
    <t xml:space="preserve">상환방식</t>
  </si>
  <si>
    <t xml:space="preserve">월 원리금</t>
  </si>
  <si>
    <r>
      <rPr>
        <b val="true"/>
        <sz val="10"/>
        <color rgb="FFFFFFFF"/>
        <rFont val="WenQuanYi Zen Hei"/>
        <family val="2"/>
      </rPr>
      <t xml:space="preserve">월 이자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추정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</si>
  <si>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연간 원리금</t>
  </si>
  <si>
    <r>
      <rPr>
        <b val="true"/>
        <sz val="10"/>
        <color rgb="FFFFFFFF"/>
        <rFont val="WenQuanYi Zen Hei"/>
        <family val="2"/>
      </rPr>
      <t xml:space="preserve">금리 </t>
    </r>
    <r>
      <rPr>
        <b val="true"/>
        <sz val="10"/>
        <color rgb="FFFFFFFF"/>
        <rFont val="맑은 고딕"/>
        <family val="0"/>
        <charset val="1"/>
      </rPr>
      <t xml:space="preserve">+1%p </t>
    </r>
    <r>
      <rPr>
        <b val="true"/>
        <sz val="10"/>
        <color rgb="FFFFFFFF"/>
        <rFont val="WenQuanYi Zen Hei"/>
        <family val="2"/>
      </rPr>
      <t xml:space="preserve">시 월 증가</t>
    </r>
  </si>
  <si>
    <t xml:space="preserve">남은 개월</t>
  </si>
  <si>
    <t xml:space="preserve">상환 우선순위</t>
  </si>
  <si>
    <t xml:space="preserve">원리금균등</t>
  </si>
  <si>
    <t xml:space="preserve">원금균등</t>
  </si>
  <si>
    <t xml:space="preserve">요약</t>
  </si>
  <si>
    <r>
      <rPr>
        <sz val="10"/>
        <rFont val="WenQuanYi Zen Hei"/>
        <family val="2"/>
      </rPr>
      <t xml:space="preserve">총 대출잔액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보기 기준</t>
    </r>
    <r>
      <rPr>
        <sz val="10"/>
        <rFont val="맑은 고딕"/>
        <family val="0"/>
        <charset val="1"/>
      </rPr>
      <t xml:space="preserve">)</t>
    </r>
  </si>
  <si>
    <t xml:space="preserve">월 원리금 합계</t>
  </si>
  <si>
    <r>
      <rPr>
        <sz val="10"/>
        <rFont val="WenQuanYi Zen Hei"/>
        <family val="2"/>
      </rPr>
      <t xml:space="preserve">연소득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개월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공동 보기는 가계 전체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</si>
  <si>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DSR (</t>
    </r>
    <r>
      <rPr>
        <b val="true"/>
        <sz val="10"/>
        <rFont val="WenQuanYi Zen Hei"/>
        <family val="2"/>
      </rPr>
      <t xml:space="preserve">연간 원리금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연소득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</si>
  <si>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DSR </t>
    </r>
    <r>
      <rPr>
        <sz val="10"/>
        <rFont val="WenQuanYi Zen Hei"/>
        <family val="2"/>
      </rPr>
      <t xml:space="preserve">상한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설정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</si>
  <si>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금리 </t>
    </r>
    <r>
      <rPr>
        <sz val="10"/>
        <rFont val="맑은 고딕"/>
        <family val="0"/>
        <charset val="1"/>
      </rPr>
      <t xml:space="preserve">1%p </t>
    </r>
    <r>
      <rPr>
        <sz val="10"/>
        <rFont val="WenQuanYi Zen Hei"/>
        <family val="2"/>
      </rPr>
      <t xml:space="preserve">상승 시 월 부담 증가</t>
    </r>
  </si>
  <si>
    <t xml:space="preserve">가중평균 금리</t>
  </si>
  <si>
    <r>
      <rPr>
        <b val="true"/>
        <sz val="16"/>
        <color rgb="FF1F2A44"/>
        <rFont val="WenQuanYi Zen Hei"/>
        <family val="2"/>
      </rPr>
      <t xml:space="preserve">🎯 재무 목표 </t>
    </r>
    <r>
      <rPr>
        <b val="true"/>
        <sz val="16"/>
        <color rgb="FF1F2A44"/>
        <rFont val="맑은 고딕"/>
        <family val="0"/>
        <charset val="1"/>
      </rPr>
      <t xml:space="preserve">(</t>
    </r>
    <r>
      <rPr>
        <b val="true"/>
        <sz val="16"/>
        <color rgb="FF1F2A44"/>
        <rFont val="WenQuanYi Zen Hei"/>
        <family val="2"/>
      </rPr>
      <t xml:space="preserve">중장기 사업계획</t>
    </r>
    <r>
      <rPr>
        <b val="true"/>
        <sz val="16"/>
        <color rgb="FF1F2A44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</si>
  <si>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연결계좌의 기준월 잔액 합으로 진척률을 계산합니다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계획 진척률 </t>
    </r>
    <r>
      <rPr>
        <i val="true"/>
        <sz val="9"/>
        <color rgb="FF666666"/>
        <rFont val="맑은 고딕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시작일</t>
    </r>
    <r>
      <rPr>
        <i val="true"/>
        <sz val="9"/>
        <color rgb="FF666666"/>
        <rFont val="맑은 고딕"/>
        <family val="0"/>
        <charset val="1"/>
      </rPr>
      <t xml:space="preserve">~</t>
    </r>
    <r>
      <rPr>
        <i val="true"/>
        <sz val="9"/>
        <color rgb="FF666666"/>
        <rFont val="WenQuanYi Zen Hei"/>
        <family val="2"/>
      </rPr>
      <t xml:space="preserve">목표일 중 오늘까지 경과 비율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</si>
  <si>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목표명</t>
  </si>
  <si>
    <t xml:space="preserve">담당</t>
  </si>
  <si>
    <t xml:space="preserve">목표금액</t>
  </si>
  <si>
    <t xml:space="preserve">시작일</t>
  </si>
  <si>
    <t xml:space="preserve">목표일</t>
  </si>
  <si>
    <r>
      <rPr>
        <b val="true"/>
        <sz val="10"/>
        <color rgb="FFFFFFFF"/>
        <rFont val="WenQuanYi Zen Hei"/>
        <family val="2"/>
      </rPr>
      <t xml:space="preserve">연결계좌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</si>
  <si>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연결계좌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</si>
  <si>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연결계좌</t>
    </r>
    <r>
      <rPr>
        <b val="true"/>
        <sz val="10"/>
        <color rgb="FFFFFFFF"/>
        <rFont val="맑은 고딕"/>
        <family val="0"/>
        <charset val="1"/>
      </rPr>
      <t xml:space="preserve">3</t>
    </r>
  </si>
  <si>
    <t xml:space="preserve">현재금액</t>
  </si>
  <si>
    <t xml:space="preserve">계획 진척률</t>
  </si>
  <si>
    <t xml:space="preserve">필요 월적립액</t>
  </si>
  <si>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진척 반영액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</si>
  <si>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내집마련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학군지 이사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</si>
  <si>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자녀 교육자금</t>
  </si>
  <si>
    <t xml:space="preserve">노후자금</t>
  </si>
  <si>
    <t xml:space="preserve">차량교체</t>
  </si>
  <si>
    <t xml:space="preserve">전체 목표 가중 달성률</t>
  </si>
  <si>
    <r>
      <rPr>
        <sz val="10"/>
        <rFont val="WenQuanYi Zen Hei"/>
        <family val="2"/>
      </rPr>
      <t xml:space="preserve">노후 준비율 </t>
    </r>
    <r>
      <rPr>
        <sz val="10"/>
        <rFont val="맑은 고딕"/>
        <family val="0"/>
        <charset val="1"/>
      </rPr>
      <t xml:space="preserve">('</t>
    </r>
    <r>
      <rPr>
        <sz val="10"/>
        <rFont val="WenQuanYi Zen Hei"/>
        <family val="2"/>
      </rPr>
      <t xml:space="preserve">노후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로 시작하는 목표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</si>
  <si>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국민연금 예상수령액은 포함되지 않습니다 </t>
    </r>
    <r>
      <rPr>
        <i val="true"/>
        <sz val="9"/>
        <color rgb="FF666666"/>
        <rFont val="맑은 고딕"/>
        <family val="0"/>
        <charset val="1"/>
      </rPr>
      <t xml:space="preserve">- </t>
    </r>
    <r>
      <rPr>
        <i val="true"/>
        <sz val="9"/>
        <color rgb="FF666666"/>
        <rFont val="WenQuanYi Zen Hei"/>
        <family val="2"/>
      </rPr>
      <t xml:space="preserve">목표금액에서 차감해 입력하세요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</si>
  <si>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지연 목표 수</t>
  </si>
  <si>
    <t xml:space="preserve">목표 달성에 필요한 월 적립 합계</t>
  </si>
  <si>
    <r>
      <rPr>
        <b val="true"/>
        <sz val="16"/>
        <color rgb="FF1F2A44"/>
        <rFont val="WenQuanYi Zen Hei"/>
        <family val="2"/>
      </rPr>
      <t xml:space="preserve">🛡 보험</t>
    </r>
    <r>
      <rPr>
        <b val="true"/>
        <sz val="16"/>
        <color rgb="FF1F2A44"/>
        <rFont val="맑은 고딕"/>
        <family val="0"/>
        <charset val="1"/>
      </rPr>
      <t xml:space="preserve">·</t>
    </r>
    <r>
      <rPr>
        <b val="true"/>
        <sz val="16"/>
        <color rgb="FF1F2A44"/>
        <rFont val="WenQuanYi Zen Hei"/>
        <family val="2"/>
      </rPr>
      <t xml:space="preserve">리스크 관리</t>
    </r>
  </si>
  <si>
    <r>
      <rPr>
        <i val="true"/>
        <sz val="9"/>
        <color rgb="FF666666"/>
        <rFont val="WenQuanYi Zen Hei"/>
        <family val="2"/>
      </rPr>
      <t xml:space="preserve">보장금액을 입력하면 구성원별 보장 공백을 자동으로 찾아냅니다 </t>
    </r>
    <r>
      <rPr>
        <i val="true"/>
        <sz val="9"/>
        <color rgb="FF666666"/>
        <rFont val="맑은 고딕"/>
        <family val="0"/>
        <charset val="1"/>
      </rPr>
      <t xml:space="preserve">(0 </t>
    </r>
    <r>
      <rPr>
        <i val="true"/>
        <sz val="9"/>
        <color rgb="FF666666"/>
        <rFont val="WenQuanYi Zen Hei"/>
        <family val="2"/>
      </rPr>
      <t xml:space="preserve">또는 빈칸 </t>
    </r>
    <r>
      <rPr>
        <i val="true"/>
        <sz val="9"/>
        <color rgb="FF666666"/>
        <rFont val="맑은 고딕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보장 없음</t>
    </r>
    <r>
      <rPr>
        <i val="true"/>
        <sz val="9"/>
        <color rgb="FF666666"/>
        <rFont val="맑은 고딕"/>
        <family val="0"/>
        <charset val="1"/>
      </rPr>
      <t xml:space="preserve">).</t>
    </r>
  </si>
  <si>
    <t xml:space="preserve">피보험자</t>
  </si>
  <si>
    <t xml:space="preserve">보험사</t>
  </si>
  <si>
    <t xml:space="preserve">상품명</t>
  </si>
  <si>
    <t xml:space="preserve">사망</t>
  </si>
  <si>
    <t xml:space="preserve">실손</t>
  </si>
  <si>
    <t xml:space="preserve">암</t>
  </si>
  <si>
    <r>
      <rPr>
        <b val="true"/>
        <sz val="10"/>
        <color rgb="FFFFFFFF"/>
        <rFont val="WenQuanYi Zen Hei"/>
        <family val="2"/>
      </rPr>
      <t xml:space="preserve">뇌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심장</t>
    </r>
  </si>
  <si>
    <t xml:space="preserve">배상책임</t>
  </si>
  <si>
    <t xml:space="preserve">월보험료</t>
  </si>
  <si>
    <r>
      <rPr>
        <b val="true"/>
        <sz val="10"/>
        <color rgb="FFFFFFFF"/>
        <rFont val="WenQuanYi Zen Hei"/>
        <family val="2"/>
      </rPr>
      <t xml:space="preserve">갱신형</t>
    </r>
    <r>
      <rPr>
        <b val="true"/>
        <sz val="10"/>
        <color rgb="FFFFFFFF"/>
        <rFont val="맑은 고딕"/>
        <family val="0"/>
        <charset val="1"/>
      </rPr>
      <t xml:space="preserve">(Y/N)</t>
    </r>
  </si>
  <si>
    <t xml:space="preserve">삼성화재</t>
  </si>
  <si>
    <t xml:space="preserve">종합건강보험</t>
  </si>
  <si>
    <t xml:space="preserve">N</t>
  </si>
  <si>
    <t xml:space="preserve">현대해상</t>
  </si>
  <si>
    <r>
      <rPr>
        <sz val="10"/>
        <color rgb="FF0000FF"/>
        <rFont val="WenQuanYi Zen Hei"/>
        <family val="2"/>
      </rPr>
      <t xml:space="preserve">실손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건강보험</t>
    </r>
  </si>
  <si>
    <t xml:space="preserve">Y</t>
  </si>
  <si>
    <t xml:space="preserve">자녀</t>
  </si>
  <si>
    <r>
      <rPr>
        <sz val="10"/>
        <color rgb="FF0000FF"/>
        <rFont val="맑은 고딕"/>
        <family val="0"/>
        <charset val="1"/>
      </rPr>
      <t xml:space="preserve">KB</t>
    </r>
    <r>
      <rPr>
        <sz val="10"/>
        <color rgb="FF0000FF"/>
        <rFont val="WenQuanYi Zen Hei"/>
        <family val="2"/>
      </rPr>
      <t xml:space="preserve">손해보험</t>
    </r>
  </si>
  <si>
    <t xml:space="preserve">어린이보험</t>
  </si>
  <si>
    <t xml:space="preserve">구성원별 보장 현황</t>
  </si>
  <si>
    <t xml:space="preserve">월 보험료 합계</t>
  </si>
  <si>
    <r>
      <rPr>
        <sz val="10"/>
        <rFont val="WenQuanYi Zen Hei"/>
        <family val="2"/>
      </rPr>
      <t xml:space="preserve">월평균 소득 </t>
    </r>
    <r>
      <rPr>
        <sz val="10"/>
        <rFont val="맑은 고딕"/>
        <family val="0"/>
        <charset val="1"/>
      </rPr>
      <t xml:space="preserve">(12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</si>
  <si>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보험료 부담률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권장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이하</t>
    </r>
    <r>
      <rPr>
        <sz val="10"/>
        <rFont val="맑은 고딕"/>
        <family val="0"/>
        <charset val="1"/>
      </rPr>
      <t xml:space="preserve">)</t>
    </r>
  </si>
  <si>
    <t xml:space="preserve">보장 공백 수</t>
  </si>
  <si>
    <r>
      <rPr>
        <b val="true"/>
        <sz val="16"/>
        <color rgb="FF1F2A44"/>
        <rFont val="WenQuanYi Zen Hei"/>
        <family val="2"/>
      </rPr>
      <t xml:space="preserve">🗓 일정 </t>
    </r>
    <r>
      <rPr>
        <b val="true"/>
        <sz val="16"/>
        <color rgb="FF1F2A44"/>
        <rFont val="맑은 고딕"/>
        <family val="0"/>
        <charset val="1"/>
      </rPr>
      <t xml:space="preserve">(</t>
    </r>
    <r>
      <rPr>
        <b val="true"/>
        <sz val="16"/>
        <color rgb="FF1F2A44"/>
        <rFont val="WenQuanYi Zen Hei"/>
        <family val="2"/>
      </rPr>
      <t xml:space="preserve">현금흐름 이벤트 캘린더</t>
    </r>
    <r>
      <rPr>
        <b val="true"/>
        <sz val="16"/>
        <color rgb="FF1F2A44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</si>
  <si>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만기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세금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명절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보너스 등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유입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유출 금액은 현금흐름 예측에 반영되고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알림 일수 이내 일정은 대시보드에 표시됩니다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</si>
  <si>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구분</t>
  </si>
  <si>
    <t xml:space="preserve">D-day</t>
  </si>
  <si>
    <t xml:space="preserve">알림</t>
  </si>
  <si>
    <r>
      <rPr>
        <sz val="10"/>
        <color rgb="FF0000FF"/>
        <rFont val="맑은 고딕"/>
        <family val="0"/>
        <charset val="1"/>
      </rPr>
      <t xml:space="preserve">IRP·</t>
    </r>
    <r>
      <rPr>
        <sz val="10"/>
        <color rgb="FF0000FF"/>
        <rFont val="WenQuanYi Zen Hei"/>
        <family val="2"/>
      </rPr>
      <t xml:space="preserve">연금저축 연간 납입한도 점검</t>
    </r>
  </si>
  <si>
    <t xml:space="preserve">자동차보험 갱신</t>
  </si>
  <si>
    <t xml:space="preserve">유출</t>
  </si>
  <si>
    <t xml:space="preserve">자녀 겨울방학 캠프</t>
  </si>
  <si>
    <r>
      <rPr>
        <sz val="10"/>
        <color rgb="FF0000FF"/>
        <rFont val="WenQuanYi Zen Hei"/>
        <family val="2"/>
      </rPr>
      <t xml:space="preserve">자동차세</t>
    </r>
    <r>
      <rPr>
        <sz val="10"/>
        <color rgb="FF0000FF"/>
        <rFont val="맑은 고딕"/>
        <family val="0"/>
        <charset val="1"/>
      </rPr>
      <t xml:space="preserve">(2</t>
    </r>
    <r>
      <rPr>
        <sz val="10"/>
        <color rgb="FF0000FF"/>
        <rFont val="WenQuanYi Zen Hei"/>
        <family val="2"/>
      </rPr>
      <t xml:space="preserve">기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</si>
  <si>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연말 가족행사</t>
  </si>
  <si>
    <r>
      <rPr>
        <sz val="10"/>
        <color rgb="FF0000FF"/>
        <rFont val="WenQuanYi Zen Hei"/>
        <family val="2"/>
      </rPr>
      <t xml:space="preserve">본인 성과급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예상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</si>
  <si>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유입</t>
  </si>
  <si>
    <t xml:space="preserve">설날 명절</t>
  </si>
  <si>
    <r>
      <rPr>
        <sz val="10"/>
        <color rgb="FF0000FF"/>
        <rFont val="WenQuanYi Zen Hei"/>
        <family val="2"/>
      </rPr>
      <t xml:space="preserve">연말정산 환급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예상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</si>
  <si>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정기적금 만기</t>
  </si>
  <si>
    <t xml:space="preserve">📋 예산 대비 실적</t>
  </si>
  <si>
    <r>
      <rPr>
        <i val="true"/>
        <sz val="9"/>
        <color rgb="FF666666"/>
        <rFont val="WenQuanYi Zen Hei"/>
        <family val="2"/>
      </rPr>
      <t xml:space="preserve">고정비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변동비는 월 예산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비정기비는 연 예산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경과 월수만큼 안분</t>
    </r>
    <r>
      <rPr>
        <i val="true"/>
        <sz val="9"/>
        <color rgb="FF666666"/>
        <rFont val="맑은 고딕"/>
        <family val="0"/>
        <charset val="1"/>
      </rPr>
      <t xml:space="preserve">)</t>
    </r>
    <r>
      <rPr>
        <i val="true"/>
        <sz val="9"/>
        <color rgb="FF666666"/>
        <rFont val="WenQuanYi Zen Hei"/>
        <family val="2"/>
      </rPr>
      <t xml:space="preserve">과 비교합니다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실적은 대시보드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보기</t>
    </r>
    <r>
      <rPr>
        <i val="true"/>
        <sz val="9"/>
        <color rgb="FF666666"/>
        <rFont val="맑은 고딕"/>
        <family val="0"/>
        <charset val="1"/>
      </rPr>
      <t xml:space="preserve">' </t>
    </r>
    <r>
      <rPr>
        <i val="true"/>
        <sz val="9"/>
        <color rgb="FF666666"/>
        <rFont val="WenQuanYi Zen Hei"/>
        <family val="2"/>
      </rPr>
      <t xml:space="preserve">구성원 기준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</si>
  <si>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기준</t>
  </si>
  <si>
    <t xml:space="preserve">예산</t>
  </si>
  <si>
    <t xml:space="preserve">경과 예산</t>
  </si>
  <si>
    <t xml:space="preserve">집행률</t>
  </si>
  <si>
    <t xml:space="preserve">잔여</t>
  </si>
  <si>
    <r>
      <rPr>
        <b val="true"/>
        <sz val="10"/>
        <color rgb="FFFFFFFF"/>
        <rFont val="WenQuanYi Zen Hei"/>
        <family val="2"/>
      </rPr>
      <t xml:space="preserve">실적</t>
    </r>
    <r>
      <rPr>
        <b val="true"/>
        <sz val="10"/>
        <color rgb="FFFFFFFF"/>
        <rFont val="맑은 고딕"/>
        <family val="0"/>
        <charset val="1"/>
      </rPr>
      <t xml:space="preserve">-</t>
    </r>
    <r>
      <rPr>
        <b val="true"/>
        <sz val="10"/>
        <color rgb="FFFFFFFF"/>
        <rFont val="WenQuanYi Zen Hei"/>
        <family val="2"/>
      </rPr>
      <t xml:space="preserve">본인</t>
    </r>
  </si>
  <si>
    <r>
      <rPr>
        <b val="true"/>
        <sz val="10"/>
        <color rgb="FFFFFFFF"/>
        <rFont val="WenQuanYi Zen Hei"/>
        <family val="2"/>
      </rPr>
      <t xml:space="preserve">실적</t>
    </r>
    <r>
      <rPr>
        <b val="true"/>
        <sz val="10"/>
        <color rgb="FFFFFFFF"/>
        <rFont val="맑은 고딕"/>
        <family val="0"/>
        <charset val="1"/>
      </rPr>
      <t xml:space="preserve">-</t>
    </r>
    <r>
      <rPr>
        <b val="true"/>
        <sz val="10"/>
        <color rgb="FFFFFFFF"/>
        <rFont val="WenQuanYi Zen Hei"/>
        <family val="2"/>
      </rPr>
      <t xml:space="preserve">배우자</t>
    </r>
  </si>
  <si>
    <r>
      <rPr>
        <b val="true"/>
        <sz val="10"/>
        <color rgb="FFFFFFFF"/>
        <rFont val="WenQuanYi Zen Hei"/>
        <family val="2"/>
      </rPr>
      <t xml:space="preserve">실적</t>
    </r>
    <r>
      <rPr>
        <b val="true"/>
        <sz val="10"/>
        <color rgb="FFFFFFFF"/>
        <rFont val="맑은 고딕"/>
        <family val="0"/>
        <charset val="1"/>
      </rPr>
      <t xml:space="preserve">-</t>
    </r>
    <r>
      <rPr>
        <b val="true"/>
        <sz val="10"/>
        <color rgb="FFFFFFFF"/>
        <rFont val="WenQuanYi Zen Hei"/>
        <family val="2"/>
      </rPr>
      <t xml:space="preserve">공동</t>
    </r>
  </si>
  <si>
    <t xml:space="preserve">연</t>
  </si>
  <si>
    <r>
      <rPr>
        <b val="true"/>
        <sz val="10"/>
        <rFont val="WenQuanYi Zen Hei"/>
        <family val="2"/>
      </rPr>
      <t xml:space="preserve">월 예산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고정비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변동비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</si>
  <si>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연 예산 합계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비정기비</t>
    </r>
    <r>
      <rPr>
        <b val="true"/>
        <sz val="10"/>
        <rFont val="맑은 고딕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경과분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</si>
  <si>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6"/>
        <color rgb="FF1F2A44"/>
        <rFont val="WenQuanYi Zen Hei"/>
        <family val="2"/>
      </rPr>
      <t xml:space="preserve">📊 손익계산서 </t>
    </r>
    <r>
      <rPr>
        <b val="true"/>
        <sz val="16"/>
        <color rgb="FF1F2A44"/>
        <rFont val="맑은 고딕"/>
        <family val="0"/>
        <charset val="1"/>
      </rPr>
      <t xml:space="preserve">(</t>
    </r>
    <r>
      <rPr>
        <b val="true"/>
        <sz val="16"/>
        <color rgb="FF1F2A44"/>
        <rFont val="WenQuanYi Zen Hei"/>
        <family val="2"/>
      </rPr>
      <t xml:space="preserve">월별</t>
    </r>
    <r>
      <rPr>
        <b val="true"/>
        <sz val="16"/>
        <color rgb="FF1F2A44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</si>
  <si>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최근 </t>
    </r>
    <r>
      <rPr>
        <i val="true"/>
        <sz val="9"/>
        <color rgb="FF666666"/>
        <rFont val="맑은 고딕"/>
        <family val="0"/>
        <charset val="1"/>
      </rPr>
      <t xml:space="preserve">12</t>
    </r>
    <r>
      <rPr>
        <i val="true"/>
        <sz val="9"/>
        <color rgb="FF666666"/>
        <rFont val="WenQuanYi Zen Hei"/>
        <family val="2"/>
      </rPr>
      <t xml:space="preserve">개월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대시보드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보기</t>
    </r>
    <r>
      <rPr>
        <i val="true"/>
        <sz val="9"/>
        <color rgb="FF666666"/>
        <rFont val="맑은 고딕"/>
        <family val="0"/>
        <charset val="1"/>
      </rPr>
      <t xml:space="preserve">' </t>
    </r>
    <r>
      <rPr>
        <i val="true"/>
        <sz val="9"/>
        <color rgb="FF666666"/>
        <rFont val="WenQuanYi Zen Hei"/>
        <family val="2"/>
      </rPr>
      <t xml:space="preserve">구성원 기준으로 집계됩니다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저축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투자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원금상환은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자본이동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으로 소비에서 제외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</si>
  <si>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개월 합계</t>
    </r>
  </si>
  <si>
    <t xml:space="preserve">월평균</t>
  </si>
  <si>
    <r>
      <rPr>
        <b val="true"/>
        <sz val="10"/>
        <color rgb="FFFFFFFF"/>
        <rFont val="WenQuanYi Zen Hei"/>
        <family val="2"/>
      </rPr>
      <t xml:space="preserve">최근 </t>
    </r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개월 평균</t>
    </r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</si>
  <si>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소득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</si>
  <si>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   급여</t>
  </si>
  <si>
    <t xml:space="preserve">   상여</t>
  </si>
  <si>
    <t xml:space="preserve">   이자배당</t>
  </si>
  <si>
    <t xml:space="preserve">   부수입</t>
  </si>
  <si>
    <t xml:space="preserve">소득 합계</t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</si>
  <si>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고정비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</si>
  <si>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   주거관리비</t>
  </si>
  <si>
    <t xml:space="preserve">   대출이자</t>
  </si>
  <si>
    <t xml:space="preserve">   보험료</t>
  </si>
  <si>
    <t xml:space="preserve">   통신비</t>
  </si>
  <si>
    <t xml:space="preserve">   교육비</t>
  </si>
  <si>
    <t xml:space="preserve">   구독료</t>
  </si>
  <si>
    <t xml:space="preserve">고정비 합계</t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</si>
  <si>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변동비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</si>
  <si>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   식비</t>
  </si>
  <si>
    <t xml:space="preserve">   외식</t>
  </si>
  <si>
    <t xml:space="preserve">   생활용품</t>
  </si>
  <si>
    <t xml:space="preserve">   교통</t>
  </si>
  <si>
    <t xml:space="preserve">   쇼핑</t>
  </si>
  <si>
    <t xml:space="preserve">   의료</t>
  </si>
  <si>
    <t xml:space="preserve">   여가</t>
  </si>
  <si>
    <t xml:space="preserve">   용돈</t>
  </si>
  <si>
    <t xml:space="preserve">변동비 합계</t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</si>
  <si>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비정기비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</si>
  <si>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   경조사</t>
  </si>
  <si>
    <t xml:space="preserve">   여행</t>
  </si>
  <si>
    <t xml:space="preserve">   세금</t>
  </si>
  <si>
    <t xml:space="preserve">   명절</t>
  </si>
  <si>
    <t xml:space="preserve">비정기비 합계</t>
  </si>
  <si>
    <t xml:space="preserve">소비지출 합계</t>
  </si>
  <si>
    <r>
      <rPr>
        <b val="true"/>
        <sz val="10"/>
        <rFont val="WenQuanYi Zen Hei"/>
        <family val="2"/>
      </rPr>
      <t xml:space="preserve">잉여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소득</t>
    </r>
    <r>
      <rPr>
        <b val="true"/>
        <sz val="10"/>
        <rFont val="맑은 고딕"/>
        <family val="0"/>
        <charset val="1"/>
      </rPr>
      <t xml:space="preserve">-</t>
    </r>
    <r>
      <rPr>
        <b val="true"/>
        <sz val="10"/>
        <rFont val="WenQuanYi Zen Hei"/>
        <family val="2"/>
      </rPr>
      <t xml:space="preserve">소비지출</t>
    </r>
    <r>
      <rPr>
        <b val="true"/>
        <sz val="10"/>
        <rFont val="맑은 고딕"/>
        <family val="0"/>
        <charset val="1"/>
      </rPr>
      <t xml:space="preserve">)</t>
    </r>
  </si>
  <si>
    <t xml:space="preserve">저축률</t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</si>
  <si>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자본이동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</si>
  <si>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   투자이체</t>
  </si>
  <si>
    <t xml:space="preserve">   연금납입</t>
  </si>
  <si>
    <t xml:space="preserve">   저축이체</t>
  </si>
  <si>
    <t xml:space="preserve">   대출원금상환</t>
  </si>
  <si>
    <t xml:space="preserve">자본이동 합계</t>
  </si>
  <si>
    <r>
      <rPr>
        <b val="true"/>
        <sz val="10"/>
        <rFont val="WenQuanYi Zen Hei"/>
        <family val="2"/>
      </rPr>
      <t xml:space="preserve">투자 납입액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투자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연금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</si>
  <si>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순현금흐름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잉여</t>
    </r>
    <r>
      <rPr>
        <b val="true"/>
        <sz val="10"/>
        <rFont val="맑은 고딕"/>
        <family val="0"/>
        <charset val="1"/>
      </rPr>
      <t xml:space="preserve">-</t>
    </r>
    <r>
      <rPr>
        <b val="true"/>
        <sz val="10"/>
        <rFont val="WenQuanYi Zen Hei"/>
        <family val="2"/>
      </rPr>
      <t xml:space="preserve">자본이동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</si>
  <si>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1"/>
        <color rgb="FF1F2A44"/>
        <rFont val="맑은 고딕"/>
        <family val="0"/>
        <charset val="1"/>
      </rPr>
      <t xml:space="preserve">[</t>
    </r>
    <r>
      <rPr>
        <b val="true"/>
        <sz val="11"/>
        <color rgb="FF1F2A44"/>
        <rFont val="WenQuanYi Zen Hei"/>
        <family val="2"/>
      </rPr>
      <t xml:space="preserve">관리 지표</t>
    </r>
    <r>
      <rPr>
        <b val="true"/>
        <sz val="11"/>
        <color rgb="FF1F2A44"/>
        <rFont val="맑은 고딕"/>
        <family val="0"/>
        <charset val="1"/>
      </rPr>
      <t xml:space="preserve">]</t>
    </r>
  </si>
  <si>
    <t xml:space="preserve">필수지출</t>
  </si>
  <si>
    <t xml:space="preserve">고정비 비율</t>
  </si>
  <si>
    <t xml:space="preserve">투자 납입률</t>
  </si>
  <si>
    <t xml:space="preserve">미분류 금액</t>
  </si>
  <si>
    <t xml:space="preserve">🏦 재무상태표</t>
  </si>
  <si>
    <r>
      <rPr>
        <i val="true"/>
        <sz val="9"/>
        <color rgb="FF666666"/>
        <rFont val="WenQuanYi Zen Hei"/>
        <family val="2"/>
      </rPr>
      <t xml:space="preserve">스냅샷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월말 잔액</t>
    </r>
    <r>
      <rPr>
        <i val="true"/>
        <sz val="9"/>
        <color rgb="FF666666"/>
        <rFont val="맑은 고딕"/>
        <family val="0"/>
        <charset val="1"/>
      </rPr>
      <t xml:space="preserve">) </t>
    </r>
    <r>
      <rPr>
        <i val="true"/>
        <sz val="9"/>
        <color rgb="FF666666"/>
        <rFont val="WenQuanYi Zen Hei"/>
        <family val="2"/>
      </rPr>
      <t xml:space="preserve">기준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대시보드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보기</t>
    </r>
    <r>
      <rPr>
        <i val="true"/>
        <sz val="9"/>
        <color rgb="FF666666"/>
        <rFont val="맑은 고딕"/>
        <family val="0"/>
        <charset val="1"/>
      </rPr>
      <t xml:space="preserve">' </t>
    </r>
    <r>
      <rPr>
        <i val="true"/>
        <sz val="9"/>
        <color rgb="FF666666"/>
        <rFont val="WenQuanYi Zen Hei"/>
        <family val="2"/>
      </rPr>
      <t xml:space="preserve">구성원 기준으로 집계됩니다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</si>
  <si>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증감</t>
  </si>
  <si>
    <t xml:space="preserve">증감률</t>
  </si>
  <si>
    <t xml:space="preserve">총자산 대비</t>
  </si>
  <si>
    <t xml:space="preserve">   현금성</t>
  </si>
  <si>
    <t xml:space="preserve">   투자</t>
  </si>
  <si>
    <t xml:space="preserve">   연금</t>
  </si>
  <si>
    <t xml:space="preserve">   부동산</t>
  </si>
  <si>
    <t xml:space="preserve">   기타자산</t>
  </si>
  <si>
    <t xml:space="preserve">자산 총계</t>
  </si>
  <si>
    <t xml:space="preserve">부채 총계</t>
  </si>
  <si>
    <r>
      <rPr>
        <b val="true"/>
        <sz val="10"/>
        <rFont val="WenQuanYi Zen Hei"/>
        <family val="2"/>
      </rPr>
      <t xml:space="preserve">순자산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자산</t>
    </r>
    <r>
      <rPr>
        <b val="true"/>
        <sz val="10"/>
        <rFont val="맑은 고딕"/>
        <family val="0"/>
        <charset val="1"/>
      </rPr>
      <t xml:space="preserve">-</t>
    </r>
    <r>
      <rPr>
        <b val="true"/>
        <sz val="10"/>
        <rFont val="WenQuanYi Zen Hei"/>
        <family val="2"/>
      </rPr>
      <t xml:space="preserve">부채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</si>
  <si>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가용 순자산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부동산 제외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</si>
  <si>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투자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연금 자산</t>
    </r>
  </si>
  <si>
    <r>
      <rPr>
        <sz val="10"/>
        <rFont val="WenQuanYi Zen Hei"/>
        <family val="2"/>
      </rPr>
      <t xml:space="preserve">부채비율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부채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자산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</si>
  <si>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비상자금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즉시 인출 가능 현금성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</si>
  <si>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즉시 가용현금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비상자금</t>
    </r>
    <r>
      <rPr>
        <sz val="10"/>
        <rFont val="맑은 고딕"/>
        <family val="0"/>
        <charset val="1"/>
      </rPr>
      <t xml:space="preserve">-</t>
    </r>
    <r>
      <rPr>
        <sz val="10"/>
        <rFont val="WenQuanYi Zen Hei"/>
        <family val="2"/>
      </rPr>
      <t xml:space="preserve">즉시 부채</t>
    </r>
    <r>
      <rPr>
        <sz val="10"/>
        <rFont val="맑은 고딕"/>
        <family val="0"/>
        <charset val="1"/>
      </rPr>
      <t xml:space="preserve">)</t>
    </r>
  </si>
  <si>
    <r>
      <rPr>
        <b val="true"/>
        <sz val="11"/>
        <color rgb="FF1F2A44"/>
        <rFont val="WenQuanYi Zen Hei"/>
        <family val="2"/>
      </rPr>
      <t xml:space="preserve">유동성별 자산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기준월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</si>
  <si>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   즉시</t>
  </si>
  <si>
    <r>
      <rPr>
        <sz val="10"/>
        <rFont val="맑은 고딕"/>
        <family val="0"/>
        <charset val="1"/>
      </rPr>
      <t xml:space="preserve">   1</t>
    </r>
    <r>
      <rPr>
        <sz val="10"/>
        <rFont val="WenQuanYi Zen Hei"/>
        <family val="2"/>
      </rPr>
      <t xml:space="preserve">년내</t>
    </r>
  </si>
  <si>
    <t xml:space="preserve">   장기</t>
  </si>
  <si>
    <r>
      <rPr>
        <b val="true"/>
        <sz val="11"/>
        <color rgb="FF1F2A44"/>
        <rFont val="WenQuanYi Zen Hei"/>
        <family val="2"/>
      </rPr>
      <t xml:space="preserve">구성원별 현황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기준월 </t>
    </r>
    <r>
      <rPr>
        <b val="true"/>
        <sz val="11"/>
        <color rgb="FF1F2A44"/>
        <rFont val="맑은 고딕"/>
        <family val="0"/>
        <charset val="1"/>
      </rPr>
      <t xml:space="preserve">· </t>
    </r>
    <r>
      <rPr>
        <b val="true"/>
        <sz val="11"/>
        <color rgb="FF1F2A44"/>
        <rFont val="WenQuanYi Zen Hei"/>
        <family val="2"/>
      </rPr>
      <t xml:space="preserve">보기 선택과 무관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</si>
  <si>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투자</t>
    </r>
    <r>
      <rPr>
        <b val="true"/>
        <sz val="10"/>
        <color rgb="FFFFFFFF"/>
        <rFont val="맑은 고딕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연금</t>
    </r>
  </si>
  <si>
    <r>
      <rPr>
        <b val="true"/>
        <sz val="11"/>
        <color rgb="FF1F2A44"/>
        <rFont val="WenQuanYi Zen Hei"/>
        <family val="2"/>
      </rPr>
      <t xml:space="preserve">순자산 추이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최근 </t>
    </r>
    <r>
      <rPr>
        <b val="true"/>
        <sz val="11"/>
        <color rgb="FF1F2A44"/>
        <rFont val="맑은 고딕"/>
        <family val="0"/>
        <charset val="1"/>
      </rPr>
      <t xml:space="preserve">12</t>
    </r>
    <r>
      <rPr>
        <b val="true"/>
        <sz val="11"/>
        <color rgb="FF1F2A44"/>
        <rFont val="WenQuanYi Zen Hei"/>
        <family val="2"/>
      </rPr>
      <t xml:space="preserve">개월 </t>
    </r>
    <r>
      <rPr>
        <b val="true"/>
        <sz val="11"/>
        <color rgb="FF1F2A44"/>
        <rFont val="맑은 고딕"/>
        <family val="0"/>
        <charset val="1"/>
      </rPr>
      <t xml:space="preserve">· </t>
    </r>
    <r>
      <rPr>
        <b val="true"/>
        <sz val="11"/>
        <color rgb="FF1F2A44"/>
        <rFont val="WenQuanYi Zen Hei"/>
        <family val="2"/>
      </rPr>
      <t xml:space="preserve">보기 기준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</si>
  <si>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총자산</t>
  </si>
  <si>
    <t xml:space="preserve">총부채</t>
  </si>
  <si>
    <r>
      <rPr>
        <b val="true"/>
        <sz val="11"/>
        <color rgb="FF1F2A44"/>
        <rFont val="WenQuanYi Zen Hei"/>
        <family val="2"/>
      </rPr>
      <t xml:space="preserve">계좌별 잔액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기준월 </t>
    </r>
    <r>
      <rPr>
        <b val="true"/>
        <sz val="11"/>
        <color rgb="FF1F2A44"/>
        <rFont val="맑은 고딕"/>
        <family val="0"/>
        <charset val="1"/>
      </rPr>
      <t xml:space="preserve">· </t>
    </r>
    <r>
      <rPr>
        <b val="true"/>
        <sz val="11"/>
        <color rgb="FF1F2A44"/>
        <rFont val="WenQuanYi Zen Hei"/>
        <family val="2"/>
      </rPr>
      <t xml:space="preserve">전체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</si>
  <si>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기준월</t>
  </si>
  <si>
    <t xml:space="preserve">전월</t>
  </si>
  <si>
    <r>
      <rPr>
        <b val="true"/>
        <sz val="16"/>
        <color rgb="FF1F2A44"/>
        <rFont val="WenQuanYi Zen Hei"/>
        <family val="2"/>
      </rPr>
      <t xml:space="preserve">💧 현금흐름 예측 </t>
    </r>
    <r>
      <rPr>
        <b val="true"/>
        <sz val="16"/>
        <color rgb="FF1F2A44"/>
        <rFont val="맑은 고딕"/>
        <family val="0"/>
        <charset val="1"/>
      </rPr>
      <t xml:space="preserve">(</t>
    </r>
    <r>
      <rPr>
        <b val="true"/>
        <sz val="16"/>
        <color rgb="FF1F2A44"/>
        <rFont val="WenQuanYi Zen Hei"/>
        <family val="2"/>
      </rPr>
      <t xml:space="preserve">향후 </t>
    </r>
    <r>
      <rPr>
        <b val="true"/>
        <sz val="16"/>
        <color rgb="FF1F2A44"/>
        <rFont val="맑은 고딕"/>
        <family val="0"/>
        <charset val="1"/>
      </rPr>
      <t xml:space="preserve">6</t>
    </r>
    <r>
      <rPr>
        <b val="true"/>
        <sz val="16"/>
        <color rgb="FF1F2A44"/>
        <rFont val="WenQuanYi Zen Hei"/>
        <family val="2"/>
      </rPr>
      <t xml:space="preserve">개월</t>
    </r>
    <r>
      <rPr>
        <b val="true"/>
        <sz val="16"/>
        <color rgb="FF1F2A44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</si>
  <si>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정기 유입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유출은 손익 평균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비정기 항목은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일정</t>
    </r>
    <r>
      <rPr>
        <i val="true"/>
        <sz val="9"/>
        <color rgb="FF666666"/>
        <rFont val="맑은 고딕"/>
        <family val="0"/>
        <charset val="1"/>
      </rPr>
      <t xml:space="preserve">' </t>
    </r>
    <r>
      <rPr>
        <i val="true"/>
        <sz val="9"/>
        <color rgb="FF666666"/>
        <rFont val="WenQuanYi Zen Hei"/>
        <family val="2"/>
      </rPr>
      <t xml:space="preserve">시트의 유입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유출을 반영합니다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</si>
  <si>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가정</t>
  </si>
  <si>
    <r>
      <rPr>
        <sz val="10"/>
        <rFont val="WenQuanYi Zen Hei"/>
        <family val="2"/>
      </rPr>
      <t xml:space="preserve">기초 가용현금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기준월 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즉시 현금성 − 즉시 부채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</si>
  <si>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 정기 유입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급여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이자배당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부수입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개월 평균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</si>
  <si>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 정기 유출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고정비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변동비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개월 평균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</si>
  <si>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 자본이동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저축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투자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원금상환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개월 평균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</si>
  <si>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최소 유지잔고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설정</t>
    </r>
    <r>
      <rPr>
        <sz val="10"/>
        <rFont val="맑은 고딕"/>
        <family val="0"/>
        <charset val="1"/>
      </rPr>
      <t xml:space="preserve">)</t>
    </r>
  </si>
  <si>
    <t xml:space="preserve">정기 유입</t>
  </si>
  <si>
    <t xml:space="preserve">일정 유입</t>
  </si>
  <si>
    <t xml:space="preserve">정기 유출</t>
  </si>
  <si>
    <t xml:space="preserve">자본이동</t>
  </si>
  <si>
    <t xml:space="preserve">일정 유출</t>
  </si>
  <si>
    <t xml:space="preserve">순현금흐름</t>
  </si>
  <si>
    <t xml:space="preserve">예상 잔고</t>
  </si>
  <si>
    <t xml:space="preserve">⚙ 설정</t>
  </si>
  <si>
    <t xml:space="preserve">값</t>
  </si>
  <si>
    <t xml:space="preserve">설명</t>
  </si>
  <si>
    <t xml:space="preserve">계좌유형</t>
  </si>
  <si>
    <t xml:space="preserve">예산기준</t>
  </si>
  <si>
    <t xml:space="preserve">일정구분</t>
  </si>
  <si>
    <t xml:space="preserve">소유</t>
  </si>
  <si>
    <r>
      <rPr>
        <i val="true"/>
        <sz val="9"/>
        <color rgb="FF666666"/>
        <rFont val="WenQuanYi Zen Hei"/>
        <family val="2"/>
      </rPr>
      <t xml:space="preserve">대시보드 </t>
    </r>
    <r>
      <rPr>
        <i val="true"/>
        <sz val="9"/>
        <color rgb="FF666666"/>
        <rFont val="맑은 고딕"/>
        <family val="0"/>
        <charset val="1"/>
      </rPr>
      <t xml:space="preserve">C4</t>
    </r>
    <r>
      <rPr>
        <i val="true"/>
        <sz val="9"/>
        <color rgb="FF666666"/>
        <rFont val="WenQuanYi Zen Hei"/>
        <family val="2"/>
      </rPr>
      <t xml:space="preserve">에서 입력 </t>
    </r>
    <r>
      <rPr>
        <i val="true"/>
        <sz val="9"/>
        <color rgb="FF666666"/>
        <rFont val="맑은 고딕"/>
        <family val="0"/>
        <charset val="1"/>
      </rPr>
      <t xml:space="preserve">(yyyy-mm)</t>
    </r>
  </si>
  <si>
    <t xml:space="preserve">보기 구성원</t>
  </si>
  <si>
    <r>
      <rPr>
        <i val="true"/>
        <sz val="9"/>
        <color rgb="FF666666"/>
        <rFont val="WenQuanYi Zen Hei"/>
        <family val="2"/>
      </rPr>
      <t xml:space="preserve">대시보드 </t>
    </r>
    <r>
      <rPr>
        <i val="true"/>
        <sz val="9"/>
        <color rgb="FF666666"/>
        <rFont val="맑은 고딕"/>
        <family val="0"/>
        <charset val="1"/>
      </rPr>
      <t xml:space="preserve">E4</t>
    </r>
    <r>
      <rPr>
        <i val="true"/>
        <sz val="9"/>
        <color rgb="FF666666"/>
        <rFont val="WenQuanYi Zen Hei"/>
        <family val="2"/>
      </rPr>
      <t xml:space="preserve">에서 선택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</si>
  <si>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년내</t>
    </r>
  </si>
  <si>
    <t xml:space="preserve">조회 조건</t>
  </si>
  <si>
    <r>
      <rPr>
        <i val="true"/>
        <sz val="9"/>
        <color rgb="FF666666"/>
        <rFont val="WenQuanYi Zen Hei"/>
        <family val="2"/>
      </rPr>
      <t xml:space="preserve">내부 계산용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전체 </t>
    </r>
    <r>
      <rPr>
        <i val="true"/>
        <sz val="9"/>
        <color rgb="FF666666"/>
        <rFont val="맑은 고딕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모든 구성원</t>
    </r>
    <r>
      <rPr>
        <i val="true"/>
        <sz val="9"/>
        <color rgb="FF666666"/>
        <rFont val="맑은 고딕"/>
        <family val="0"/>
        <charset val="1"/>
      </rPr>
      <t xml:space="preserve">)</t>
    </r>
  </si>
  <si>
    <t xml:space="preserve">내부 계산용</t>
  </si>
  <si>
    <t xml:space="preserve">기준월 번호</t>
  </si>
  <si>
    <r>
      <rPr>
        <i val="true"/>
        <sz val="9"/>
        <color rgb="FF666666"/>
        <rFont val="WenQuanYi Zen Hei"/>
        <family val="2"/>
      </rPr>
      <t xml:space="preserve">내부 계산용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예</t>
    </r>
    <r>
      <rPr>
        <i val="true"/>
        <sz val="9"/>
        <color rgb="FF666666"/>
        <rFont val="맑은 고딕"/>
        <family val="0"/>
        <charset val="1"/>
      </rPr>
      <t xml:space="preserve">: 202609)</t>
    </r>
  </si>
  <si>
    <t xml:space="preserve">연초 번호</t>
  </si>
  <si>
    <r>
      <rPr>
        <i val="true"/>
        <sz val="9"/>
        <color rgb="FF666666"/>
        <rFont val="WenQuanYi Zen Hei"/>
        <family val="2"/>
      </rPr>
      <t xml:space="preserve">내부 계산용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예</t>
    </r>
    <r>
      <rPr>
        <i val="true"/>
        <sz val="9"/>
        <color rgb="FF666666"/>
        <rFont val="맑은 고딕"/>
        <family val="0"/>
        <charset val="1"/>
      </rPr>
      <t xml:space="preserve">: 202601)</t>
    </r>
  </si>
  <si>
    <r>
      <rPr>
        <sz val="10"/>
        <rFont val="WenQuanYi Zen Hei"/>
        <family val="2"/>
      </rPr>
      <t xml:space="preserve">기준월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월</t>
    </r>
    <r>
      <rPr>
        <sz val="10"/>
        <rFont val="맑은 고딕"/>
        <family val="0"/>
        <charset val="1"/>
      </rPr>
      <t xml:space="preserve">)</t>
    </r>
  </si>
  <si>
    <t xml:space="preserve">비정기비 연간 예산 안분용</t>
  </si>
  <si>
    <r>
      <rPr>
        <i val="true"/>
        <sz val="9"/>
        <color rgb="FF666666"/>
        <rFont val="WenQuanYi Zen Hei"/>
        <family val="2"/>
      </rPr>
      <t xml:space="preserve">일정 </t>
    </r>
    <r>
      <rPr>
        <i val="true"/>
        <sz val="9"/>
        <color rgb="FF666666"/>
        <rFont val="맑은 고딕"/>
        <family val="0"/>
        <charset val="1"/>
      </rPr>
      <t xml:space="preserve">D-day·</t>
    </r>
    <r>
      <rPr>
        <i val="true"/>
        <sz val="9"/>
        <color rgb="FF666666"/>
        <rFont val="WenQuanYi Zen Hei"/>
        <family val="2"/>
      </rPr>
      <t xml:space="preserve">목표 계획 진척률 계산</t>
    </r>
  </si>
  <si>
    <r>
      <rPr>
        <b val="true"/>
        <sz val="11"/>
        <color rgb="FF1F2A44"/>
        <rFont val="WenQuanYi Zen Hei"/>
        <family val="2"/>
      </rPr>
      <t xml:space="preserve">경영 목표 </t>
    </r>
    <r>
      <rPr>
        <b val="true"/>
        <sz val="11"/>
        <color rgb="FF1F2A44"/>
        <rFont val="맑은 고딕"/>
        <family val="0"/>
        <charset val="1"/>
      </rPr>
      <t xml:space="preserve">(KPI </t>
    </r>
    <r>
      <rPr>
        <b val="true"/>
        <sz val="11"/>
        <color rgb="FF1F2A44"/>
        <rFont val="WenQuanYi Zen Hei"/>
        <family val="2"/>
      </rPr>
      <t xml:space="preserve">기준값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</si>
  <si>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t xml:space="preserve">목표 저축률</t>
  </si>
  <si>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소득</t>
    </r>
    <r>
      <rPr>
        <i val="true"/>
        <sz val="9"/>
        <color rgb="FF666666"/>
        <rFont val="맑은 고딕"/>
        <family val="0"/>
        <charset val="1"/>
      </rPr>
      <t xml:space="preserve">-</t>
    </r>
    <r>
      <rPr>
        <i val="true"/>
        <sz val="9"/>
        <color rgb="FF666666"/>
        <rFont val="WenQuanYi Zen Hei"/>
        <family val="2"/>
      </rPr>
      <t xml:space="preserve">소비지출</t>
    </r>
    <r>
      <rPr>
        <i val="true"/>
        <sz val="9"/>
        <color rgb="FF666666"/>
        <rFont val="맑은 고딕"/>
        <family val="0"/>
        <charset val="1"/>
      </rPr>
      <t xml:space="preserve">)/</t>
    </r>
    <r>
      <rPr>
        <i val="true"/>
        <sz val="9"/>
        <color rgb="FF666666"/>
        <rFont val="WenQuanYi Zen Hei"/>
        <family val="2"/>
      </rPr>
      <t xml:space="preserve">소득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일반적 권장 </t>
    </r>
    <r>
      <rPr>
        <i val="true"/>
        <sz val="9"/>
        <color rgb="FF666666"/>
        <rFont val="맑은 고딕"/>
        <family val="0"/>
        <charset val="1"/>
      </rPr>
      <t xml:space="preserve">30% </t>
    </r>
    <r>
      <rPr>
        <i val="true"/>
        <sz val="9"/>
        <color rgb="FF666666"/>
        <rFont val="WenQuanYi Zen Hei"/>
        <family val="2"/>
      </rPr>
      <t xml:space="preserve">이상</t>
    </r>
  </si>
  <si>
    <r>
      <rPr>
        <sz val="10"/>
        <rFont val="WenQuanYi Zen Hei"/>
        <family val="2"/>
      </rPr>
      <t xml:space="preserve">비상자금 목표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개월</t>
    </r>
    <r>
      <rPr>
        <sz val="10"/>
        <rFont val="맑은 고딕"/>
        <family val="0"/>
        <charset val="1"/>
      </rPr>
      <t xml:space="preserve">)</t>
    </r>
  </si>
  <si>
    <t xml:space="preserve">필수지출 몇 개월분을 즉시 현금으로 보유할지</t>
  </si>
  <si>
    <t xml:space="preserve">부채비율 상한</t>
  </si>
  <si>
    <r>
      <rPr>
        <i val="true"/>
        <sz val="9"/>
        <color rgb="FF666666"/>
        <rFont val="WenQuanYi Zen Hei"/>
        <family val="2"/>
      </rPr>
      <t xml:space="preserve">총부채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총자산</t>
    </r>
  </si>
  <si>
    <r>
      <rPr>
        <sz val="10"/>
        <rFont val="맑은 고딕"/>
        <family val="0"/>
        <charset val="1"/>
      </rPr>
      <t xml:space="preserve">DSR </t>
    </r>
    <r>
      <rPr>
        <sz val="10"/>
        <rFont val="WenQuanYi Zen Hei"/>
        <family val="2"/>
      </rPr>
      <t xml:space="preserve">상한</t>
    </r>
  </si>
  <si>
    <r>
      <rPr>
        <i val="true"/>
        <sz val="9"/>
        <color rgb="FF666666"/>
        <rFont val="WenQuanYi Zen Hei"/>
        <family val="2"/>
      </rPr>
      <t xml:space="preserve">연간 원리금</t>
    </r>
    <r>
      <rPr>
        <i val="true"/>
        <sz val="9"/>
        <color rgb="FF666666"/>
        <rFont val="맑은 고딕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연소득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가정 자체 목표</t>
    </r>
    <r>
      <rPr>
        <i val="true"/>
        <sz val="9"/>
        <color rgb="FF666666"/>
        <rFont val="맑은 고딕"/>
        <family val="0"/>
        <charset val="1"/>
      </rPr>
      <t xml:space="preserve">)</t>
    </r>
  </si>
  <si>
    <t xml:space="preserve">리밸런싱 밴드</t>
  </si>
  <si>
    <r>
      <rPr>
        <i val="true"/>
        <sz val="9"/>
        <color rgb="FF666666"/>
        <rFont val="WenQuanYi Zen Hei"/>
        <family val="2"/>
      </rPr>
      <t xml:space="preserve">목표 비중에서 </t>
    </r>
    <r>
      <rPr>
        <i val="true"/>
        <sz val="9"/>
        <color rgb="FF666666"/>
        <rFont val="맑은 고딕"/>
        <family val="0"/>
        <charset val="1"/>
      </rPr>
      <t xml:space="preserve">±</t>
    </r>
    <r>
      <rPr>
        <i val="true"/>
        <sz val="9"/>
        <color rgb="FF666666"/>
        <rFont val="WenQuanYi Zen Hei"/>
        <family val="2"/>
      </rPr>
      <t xml:space="preserve">이 값 이상 벗어나면 알림</t>
    </r>
  </si>
  <si>
    <r>
      <rPr>
        <sz val="10"/>
        <rFont val="WenQuanYi Zen Hei"/>
        <family val="2"/>
      </rPr>
      <t xml:space="preserve">월 투자 납입 목표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가계 합계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</si>
  <si>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투자이체</t>
    </r>
    <r>
      <rPr>
        <i val="true"/>
        <sz val="9"/>
        <color rgb="FF666666"/>
        <rFont val="맑은 고딕"/>
        <family val="0"/>
        <charset val="1"/>
      </rPr>
      <t xml:space="preserve">+</t>
    </r>
    <r>
      <rPr>
        <i val="true"/>
        <sz val="9"/>
        <color rgb="FF666666"/>
        <rFont val="WenQuanYi Zen Hei"/>
        <family val="2"/>
      </rPr>
      <t xml:space="preserve">연금납입 합계 목표 </t>
    </r>
    <r>
      <rPr>
        <i val="true"/>
        <sz val="9"/>
        <color rgb="FF666666"/>
        <rFont val="맑은 고딕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아래 구성원별 목표의 합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투자금 확대 핵심 지표</t>
    </r>
    <r>
      <rPr>
        <i val="true"/>
        <sz val="9"/>
        <color rgb="FF666666"/>
        <rFont val="맑은 고딕"/>
        <family val="0"/>
        <charset val="1"/>
      </rPr>
      <t xml:space="preserve">)</t>
    </r>
  </si>
  <si>
    <t xml:space="preserve">최소 유지잔고</t>
  </si>
  <si>
    <t xml:space="preserve">예상 가용현금이 이 아래로 내려가면 경고</t>
  </si>
  <si>
    <t xml:space="preserve">일정 알림 일수</t>
  </si>
  <si>
    <t xml:space="preserve">며칠 전부터 일정을 알릴지</t>
  </si>
  <si>
    <t xml:space="preserve">목표 지연 허용폭</t>
  </si>
  <si>
    <r>
      <rPr>
        <i val="true"/>
        <sz val="9"/>
        <color rgb="FF666666"/>
        <rFont val="WenQuanYi Zen Hei"/>
        <family val="2"/>
      </rPr>
      <t xml:space="preserve">계획 진척률보다 이만큼 뒤처지면 </t>
    </r>
    <r>
      <rPr>
        <i val="true"/>
        <sz val="9"/>
        <color rgb="FF666666"/>
        <rFont val="맑은 고딕"/>
        <family val="0"/>
        <charset val="1"/>
      </rPr>
      <t xml:space="preserve">'</t>
    </r>
    <r>
      <rPr>
        <i val="true"/>
        <sz val="9"/>
        <color rgb="FF666666"/>
        <rFont val="WenQuanYi Zen Hei"/>
        <family val="2"/>
      </rPr>
      <t xml:space="preserve">지연</t>
    </r>
    <r>
      <rPr>
        <i val="true"/>
        <sz val="9"/>
        <color rgb="FF666666"/>
        <rFont val="맑은 고딕"/>
        <family val="0"/>
        <charset val="1"/>
      </rPr>
      <t xml:space="preserve">'</t>
    </r>
  </si>
  <si>
    <r>
      <rPr>
        <b val="true"/>
        <sz val="11"/>
        <color rgb="FF1F2A44"/>
        <rFont val="WenQuanYi Zen Hei"/>
        <family val="2"/>
      </rPr>
      <t xml:space="preserve">절세 계좌 연간 한도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세법 개정 시 수정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</si>
  <si>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연금계좌 세액공제 한도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합산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</si>
  <si>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연금저축</t>
    </r>
    <r>
      <rPr>
        <i val="true"/>
        <sz val="9"/>
        <color rgb="FF666666"/>
        <rFont val="맑은 고딕"/>
        <family val="0"/>
        <charset val="1"/>
      </rPr>
      <t xml:space="preserve">+IRP </t>
    </r>
    <r>
      <rPr>
        <i val="true"/>
        <sz val="9"/>
        <color rgb="FF666666"/>
        <rFont val="WenQuanYi Zen Hei"/>
        <family val="2"/>
      </rPr>
      <t xml:space="preserve">합산 세액공제 대상 한도</t>
    </r>
  </si>
  <si>
    <t xml:space="preserve">연금저축 세액공제 한도</t>
  </si>
  <si>
    <t xml:space="preserve">연금저축 단독 한도</t>
  </si>
  <si>
    <r>
      <rPr>
        <sz val="10"/>
        <rFont val="맑은 고딕"/>
        <family val="0"/>
        <charset val="1"/>
      </rPr>
      <t xml:space="preserve">ISA </t>
    </r>
    <r>
      <rPr>
        <sz val="10"/>
        <rFont val="WenQuanYi Zen Hei"/>
        <family val="2"/>
      </rPr>
      <t xml:space="preserve">연간 납입한도</t>
    </r>
  </si>
  <si>
    <r>
      <rPr>
        <i val="true"/>
        <sz val="9"/>
        <color rgb="FF666666"/>
        <rFont val="맑은 고딕"/>
        <family val="0"/>
        <charset val="1"/>
      </rPr>
      <t xml:space="preserve">ISA </t>
    </r>
    <r>
      <rPr>
        <i val="true"/>
        <sz val="9"/>
        <color rgb="FF666666"/>
        <rFont val="WenQuanYi Zen Hei"/>
        <family val="2"/>
      </rPr>
      <t xml:space="preserve">연간 납입 한도</t>
    </r>
  </si>
  <si>
    <r>
      <rPr>
        <b val="true"/>
        <sz val="11"/>
        <color rgb="FF1F2A44"/>
        <rFont val="WenQuanYi Zen Hei"/>
        <family val="2"/>
      </rPr>
      <t xml:space="preserve">구성원별 월 투자 납입 목표 </t>
    </r>
    <r>
      <rPr>
        <b val="true"/>
        <sz val="11"/>
        <color rgb="FF1F2A44"/>
        <rFont val="맑은 고딕"/>
        <family val="0"/>
        <charset val="1"/>
      </rPr>
      <t xml:space="preserve">(</t>
    </r>
    <r>
      <rPr>
        <b val="true"/>
        <sz val="11"/>
        <color rgb="FF1F2A44"/>
        <rFont val="WenQuanYi Zen Hei"/>
        <family val="2"/>
      </rPr>
      <t xml:space="preserve">부부가 각자 책임지는 몫</t>
    </r>
    <r>
      <rPr>
        <b val="true"/>
        <sz val="11"/>
        <color rgb="FF1F2A44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</si>
  <si>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월 투자 납입 목표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본인</t>
    </r>
  </si>
  <si>
    <t xml:space="preserve">본인 보기에서 비교하는 목표</t>
  </si>
  <si>
    <r>
      <rPr>
        <sz val="10"/>
        <rFont val="WenQuanYi Zen Hei"/>
        <family val="2"/>
      </rPr>
      <t xml:space="preserve">월 투자 납입 목표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배우자</t>
    </r>
  </si>
  <si>
    <t xml:space="preserve">배우자 보기에서 비교하는 목표</t>
  </si>
  <si>
    <r>
      <rPr>
        <sz val="10"/>
        <rFont val="WenQuanYi Zen Hei"/>
        <family val="2"/>
      </rPr>
      <t xml:space="preserve">월 투자 납입 목표 </t>
    </r>
    <r>
      <rPr>
        <sz val="10"/>
        <rFont val="맑은 고딕"/>
        <family val="0"/>
        <charset val="1"/>
      </rPr>
      <t xml:space="preserve">- </t>
    </r>
    <r>
      <rPr>
        <sz val="10"/>
        <rFont val="WenQuanYi Zen Hei"/>
        <family val="2"/>
      </rPr>
      <t xml:space="preserve">공동</t>
    </r>
  </si>
  <si>
    <t xml:space="preserve">공동 보기에서 비교하는 목표</t>
  </si>
  <si>
    <t xml:space="preserve">현재 보기의 투자 목표</t>
  </si>
  <si>
    <r>
      <rPr>
        <i val="true"/>
        <sz val="9"/>
        <color rgb="FF666666"/>
        <rFont val="WenQuanYi Zen Hei"/>
        <family val="2"/>
      </rPr>
      <t xml:space="preserve">내부 계산용 </t>
    </r>
    <r>
      <rPr>
        <i val="true"/>
        <sz val="9"/>
        <color rgb="FF666666"/>
        <rFont val="맑은 고딕"/>
        <family val="0"/>
        <charset val="1"/>
      </rPr>
      <t xml:space="preserve">- </t>
    </r>
    <r>
      <rPr>
        <i val="true"/>
        <sz val="9"/>
        <color rgb="FF666666"/>
        <rFont val="WenQuanYi Zen Hei"/>
        <family val="2"/>
      </rPr>
      <t xml:space="preserve">대시보드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투자 시트가 이 값과 비교</t>
    </r>
  </si>
  <si>
    <r>
      <rPr>
        <b val="true"/>
        <sz val="10"/>
        <color rgb="FFFFFFFF"/>
        <rFont val="WenQuanYi Zen Hei"/>
        <family val="2"/>
      </rPr>
      <t xml:space="preserve">필수지출</t>
    </r>
    <r>
      <rPr>
        <b val="true"/>
        <sz val="10"/>
        <color rgb="FFFFFFFF"/>
        <rFont val="맑은 고딕"/>
        <family val="0"/>
        <charset val="1"/>
      </rPr>
      <t xml:space="preserve">(Y/N)</t>
    </r>
  </si>
  <si>
    <t xml:space="preserve">소득</t>
  </si>
  <si>
    <t xml:space="preserve">고정비</t>
  </si>
  <si>
    <t xml:space="preserve">변동비</t>
  </si>
  <si>
    <t xml:space="preserve">비정기비</t>
  </si>
  <si>
    <t xml:space="preserve">연간 예산으로 관리</t>
  </si>
  <si>
    <r>
      <rPr>
        <i val="true"/>
        <sz val="9"/>
        <color rgb="FF666666"/>
        <rFont val="WenQuanYi Zen Hei"/>
        <family val="2"/>
      </rPr>
      <t xml:space="preserve">소비 아님 </t>
    </r>
    <r>
      <rPr>
        <i val="true"/>
        <sz val="9"/>
        <color rgb="FF666666"/>
        <rFont val="맑은 고딕"/>
        <family val="0"/>
        <charset val="1"/>
      </rPr>
      <t xml:space="preserve">- </t>
    </r>
    <r>
      <rPr>
        <i val="true"/>
        <sz val="9"/>
        <color rgb="FF666666"/>
        <rFont val="WenQuanYi Zen Hei"/>
        <family val="2"/>
      </rPr>
      <t xml:space="preserve">자산 간 이동</t>
    </r>
  </si>
  <si>
    <r>
      <rPr>
        <b val="true"/>
        <sz val="10"/>
        <color rgb="FFFFFFFF"/>
        <rFont val="WenQuanYi Zen Hei"/>
        <family val="2"/>
      </rPr>
      <t xml:space="preserve">키워드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내용에 포함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</si>
  <si>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맑은 고딕"/>
        <family val="0"/>
        <charset val="1"/>
      </rPr>
      <t xml:space="preserve">CSV </t>
    </r>
    <r>
      <rPr>
        <i val="true"/>
        <sz val="9"/>
        <color rgb="FF666666"/>
        <rFont val="WenQuanYi Zen Hei"/>
        <family val="2"/>
      </rPr>
      <t xml:space="preserve">가져오기 시 위에서부터 먼저 맞는 규칙으로 자동 분류됩니다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대소문자 무시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</si>
  <si>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t xml:space="preserve">성과급</t>
  </si>
  <si>
    <t xml:space="preserve">대출 이자</t>
  </si>
  <si>
    <t xml:space="preserve">배당</t>
  </si>
  <si>
    <t xml:space="preserve">이자</t>
  </si>
  <si>
    <t xml:space="preserve">강의료</t>
  </si>
  <si>
    <t xml:space="preserve">관리비</t>
  </si>
  <si>
    <t xml:space="preserve">SKT</t>
  </si>
  <si>
    <r>
      <rPr>
        <sz val="10"/>
        <color rgb="FF0000FF"/>
        <rFont val="맑은 고딕"/>
        <family val="0"/>
        <charset val="1"/>
      </rPr>
      <t xml:space="preserve">KT </t>
    </r>
    <r>
      <rPr>
        <sz val="10"/>
        <color rgb="FF0000FF"/>
        <rFont val="WenQuanYi Zen Hei"/>
        <family val="2"/>
      </rPr>
      <t xml:space="preserve">통신</t>
    </r>
  </si>
  <si>
    <t xml:space="preserve">LG U+</t>
  </si>
  <si>
    <t xml:space="preserve">인터넷</t>
  </si>
  <si>
    <t xml:space="preserve">학원</t>
  </si>
  <si>
    <t xml:space="preserve">학습지</t>
  </si>
  <si>
    <t xml:space="preserve">유튜브</t>
  </si>
  <si>
    <t xml:space="preserve">쿠팡와우</t>
  </si>
  <si>
    <t xml:space="preserve">멜론</t>
  </si>
  <si>
    <t xml:space="preserve">롯데마트</t>
  </si>
  <si>
    <t xml:space="preserve">로켓프레시</t>
  </si>
  <si>
    <t xml:space="preserve">하나로마트</t>
  </si>
  <si>
    <t xml:space="preserve">요기요</t>
  </si>
  <si>
    <t xml:space="preserve">식당</t>
  </si>
  <si>
    <t xml:space="preserve">카페</t>
  </si>
  <si>
    <t xml:space="preserve">주유</t>
  </si>
  <si>
    <t xml:space="preserve">칼텍스</t>
  </si>
  <si>
    <r>
      <rPr>
        <sz val="10"/>
        <color rgb="FF0000FF"/>
        <rFont val="WenQuanYi Zen Hei"/>
        <family val="2"/>
      </rPr>
      <t xml:space="preserve">카카오</t>
    </r>
    <r>
      <rPr>
        <sz val="10"/>
        <color rgb="FF0000FF"/>
        <rFont val="맑은 고딕"/>
        <family val="0"/>
        <charset val="1"/>
      </rPr>
      <t xml:space="preserve">T</t>
    </r>
  </si>
  <si>
    <t xml:space="preserve">티머니</t>
  </si>
  <si>
    <t xml:space="preserve">하이패스</t>
  </si>
  <si>
    <t xml:space="preserve">백화점</t>
  </si>
  <si>
    <t xml:space="preserve">병원</t>
  </si>
  <si>
    <t xml:space="preserve">의원</t>
  </si>
  <si>
    <t xml:space="preserve">소아과</t>
  </si>
  <si>
    <t xml:space="preserve">약국</t>
  </si>
  <si>
    <t xml:space="preserve">메가박스</t>
  </si>
  <si>
    <t xml:space="preserve">골프</t>
  </si>
  <si>
    <t xml:space="preserve">축의금</t>
  </si>
  <si>
    <t xml:space="preserve">항공</t>
  </si>
  <si>
    <t xml:space="preserve">호텔</t>
  </si>
  <si>
    <t xml:space="preserve">지방세</t>
  </si>
  <si>
    <t xml:space="preserve">추석</t>
  </si>
  <si>
    <t xml:space="preserve">설날</t>
  </si>
  <si>
    <t xml:space="preserve">증권</t>
  </si>
  <si>
    <t xml:space="preserve">적금</t>
  </si>
  <si>
    <t xml:space="preserve">청약</t>
  </si>
  <si>
    <t xml:space="preserve">원금상환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</si>
</sst>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@"/>
    <numFmt numFmtId="166" formatCode="yyyy\-mm\-dd"/>
    <numFmt numFmtId="167" formatCode="#,##0;[RED]\-#,##0;\-"/>
    <numFmt numFmtId="168" formatCode="0.0%;[RED]\-0.0%;\-"/>
    <numFmt numFmtId="169" formatCode="0.0&quot;개월&quot;"/>
    <numFmt numFmtId="170" formatCode="General"/>
    <numFmt numFmtId="171" formatCode="#,##0,,&quot;백만&quot;"/>
    <numFmt numFmtId="172" formatCode="#,##0,\천"/>
    <numFmt numFmtId="173" formatCode="0%"/>
    <numFmt numFmtId="174" formatCode="0"/>
    <numFmt numFmtId="175" formatCode="0.00%"/>
    <numFmt numFmtId="176" formatCode="0&quot;개월&quot;"/>
    <numFmt numFmtId="177" formatCode="0&quot;순위&quot;"/>
    <numFmt numFmtId="178" formatCode="0\건"/>
    <numFmt numFmtId="179" formatCode="&quot;D-&quot;0;&quot;D+&quot;0;&quot;D-day&quot;"/>
    <numFmt numFmtId="180" formatCode="0\일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WenQuanYi Zen Hei"/>
      <family val="2"/>
    </font>
    <font>
      <b val="true"/>
      <sz val="20"/>
      <color rgb="FF1F2A44"/>
      <name val="맑은 고딕"/>
      <family val="0"/>
      <charset val="1"/>
    </font>
    <font>
      <i val="true"/>
      <sz val="9"/>
      <color rgb="FF666666"/>
      <name val="WenQuanYi Zen Hei"/>
      <family val="2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  <font>
      <b val="true"/>
      <sz val="11"/>
      <color rgb="FF0000FF"/>
      <name val="맑은 고딕"/>
      <family val="0"/>
      <charset val="1"/>
    </font>
    <font>
      <b val="true"/>
      <sz val="11"/>
      <color rgb="FF0000FF"/>
      <name val="WenQuanYi Zen Hei"/>
      <family val="2"/>
    </font>
    <font>
      <sz val="10"/>
      <name val="맑은 고딕"/>
      <family val="0"/>
      <charset val="1"/>
    </font>
    <font>
      <b val="true"/>
      <sz val="10"/>
      <color rgb="FF475467"/>
      <name val="WenQuanYi Zen Hei"/>
      <family val="2"/>
    </font>
    <font>
      <b val="true"/>
      <sz val="10"/>
      <color rgb="FF475467"/>
      <name val="맑은 고딕"/>
      <family val="0"/>
      <charset val="1"/>
    </font>
    <font>
      <b val="true"/>
      <sz val="17"/>
      <color rgb="FF1F2A44"/>
      <name val="맑은 고딕"/>
      <family val="0"/>
      <charset val="1"/>
    </font>
    <font>
      <sz val="8"/>
      <color rgb="FF667085"/>
      <name val="WenQuanYi Zen Hei"/>
      <family val="2"/>
    </font>
    <font>
      <b val="true"/>
      <sz val="9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sz val="9"/>
      <name val="WenQuanYi Zen Hei"/>
      <family val="2"/>
    </font>
    <font>
      <sz val="10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2A44"/>
      <name val="WenQuanYi Zen Hei"/>
      <family val="2"/>
    </font>
    <font>
      <b val="true"/>
      <sz val="16"/>
      <color rgb="FF1F2A44"/>
      <name val="맑은 고딕"/>
      <family val="0"/>
      <charset val="1"/>
    </font>
    <font>
      <i val="true"/>
      <sz val="9"/>
      <color rgb="FF666666"/>
      <name val="맑은 고딕"/>
      <family val="0"/>
      <charset val="1"/>
    </font>
    <font>
      <b val="true"/>
      <sz val="11"/>
      <color rgb="FF1F2A44"/>
      <name val="WenQuanYi Zen Hei"/>
      <family val="2"/>
    </font>
    <font>
      <b val="true"/>
      <sz val="11"/>
      <color rgb="FF1F2A44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000FF"/>
      <name val="WenQuanYi Zen He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7F9FC"/>
        <bgColor rgb="FFFFFFFF"/>
      </patternFill>
    </fill>
    <fill>
      <patternFill patternType="solid">
        <fgColor rgb="FF1F2A44"/>
        <bgColor rgb="FF003366"/>
      </patternFill>
    </fill>
    <fill>
      <patternFill patternType="solid">
        <fgColor rgb="FFE8ECF4"/>
        <bgColor rgb="FFF2F2F2"/>
      </patternFill>
    </fill>
    <fill>
      <patternFill patternType="solid">
        <fgColor rgb="FF2F5597"/>
        <bgColor rgb="FF475467"/>
      </patternFill>
    </fill>
    <fill>
      <patternFill patternType="solid">
        <fgColor rgb="FFF2F2F2"/>
        <bgColor rgb="FFF7F9F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/>
      <diagonal/>
    </border>
    <border diagonalUp="false" diagonalDown="false">
      <left style="thin">
        <color rgb="FFD0D5DD"/>
      </left>
      <right style="thin">
        <color rgb="FFD0D5DD"/>
      </right>
      <top/>
      <bottom/>
      <diagonal/>
    </border>
    <border diagonalUp="false" diagonalDown="false">
      <left style="thin">
        <color rgb="FFD0D5DD"/>
      </left>
      <right style="thin">
        <color rgb="FFD0D5DD"/>
      </right>
      <top/>
      <bottom style="thin">
        <color rgb="FFD0D5DD"/>
      </bottom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9B1C1C"/>
      </font>
      <fill>
        <patternFill>
          <bgColor rgb="FFFDE2E1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166534"/>
      </font>
      <fill>
        <patternFill>
          <bgColor rgb="FFDCFCE7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A4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1C1C"/>
      <rgbColor rgb="FF166534"/>
      <rgbColor rgb="FF000080"/>
      <rgbColor rgb="FF548235"/>
      <rgbColor rgb="FF800080"/>
      <rgbColor rgb="FF666666"/>
      <rgbColor rgb="FFD9D9D9"/>
      <rgbColor rgb="FF7F7F7F"/>
      <rgbColor rgb="FF9999FF"/>
      <rgbColor rgb="FFBE4B48"/>
      <rgbColor rgb="FFFEF3C7"/>
      <rgbColor rgb="FFDCFCE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4"/>
      <rgbColor rgb="FFF2F2F2"/>
      <rgbColor rgb="FFF7F9FC"/>
      <rgbColor rgb="FF99CCFF"/>
      <rgbColor rgb="FFFF99CC"/>
      <rgbColor rgb="FFCC99FF"/>
      <rgbColor rgb="FFFDE2E1"/>
      <rgbColor rgb="FF4A7EBB"/>
      <rgbColor rgb="FF33CCCC"/>
      <rgbColor rgb="FF9BBB59"/>
      <rgbColor rgb="FFFFCC00"/>
      <rgbColor rgb="FFBF8F00"/>
      <rgbColor rgb="FFFF6600"/>
      <rgbColor rgb="FF667085"/>
      <rgbColor rgb="FF878787"/>
      <rgbColor rgb="FF003366"/>
      <rgbColor rgb="FF4F81BD"/>
      <rgbColor rgb="FF003300"/>
      <rgbColor rgb="FF475467"/>
      <rgbColor rgb="FF92400E"/>
      <rgbColor rgb="FFC0504D"/>
      <rgbColor rgb="FF2F559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순자산·투자자산 추이 (12개월)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재무상태표!D30</c:f>
              <c:strCache>
                <c:ptCount val="1"/>
                <c:pt idx="0">
                  <c:v>순자산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재무상태표!$A$31:$A$42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재무상태표!$D$31:$D$42</c:f>
              <c:numCache>
                <c:formatCode>#,##0;[RED]\-#,##0;\-</c:formatCode>
                <c:ptCount val="12"/>
                <c:pt idx="0">
                  <c:v>655706000</c:v>
                </c:pt>
                <c:pt idx="1">
                  <c:v>665357000</c:v>
                </c:pt>
                <c:pt idx="2">
                  <c:v>671021000</c:v>
                </c:pt>
                <c:pt idx="3">
                  <c:v>678465000</c:v>
                </c:pt>
                <c:pt idx="4">
                  <c:v>686497000</c:v>
                </c:pt>
                <c:pt idx="5">
                  <c:v>692875000</c:v>
                </c:pt>
                <c:pt idx="6">
                  <c:v>698775000</c:v>
                </c:pt>
                <c:pt idx="7">
                  <c:v>705785000</c:v>
                </c:pt>
                <c:pt idx="8">
                  <c:v>711503000</c:v>
                </c:pt>
                <c:pt idx="9">
                  <c:v>720269000</c:v>
                </c:pt>
                <c:pt idx="10">
                  <c:v>725668000</c:v>
                </c:pt>
                <c:pt idx="11">
                  <c:v>734593000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재무상태표!E30</c:f>
              <c:strCache>
                <c:ptCount val="1"/>
                <c:pt idx="0">
                  <c:v>투자+연금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재무상태표!$A$31:$A$42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재무상태표!$E$31:$E$42</c:f>
              <c:numCache>
                <c:formatCode>#,##0;[RED]\-#,##0;\-</c:formatCode>
                <c:ptCount val="12"/>
                <c:pt idx="0">
                  <c:v>134733000</c:v>
                </c:pt>
                <c:pt idx="1">
                  <c:v>138643000</c:v>
                </c:pt>
                <c:pt idx="2">
                  <c:v>142462000</c:v>
                </c:pt>
                <c:pt idx="3">
                  <c:v>145861000</c:v>
                </c:pt>
                <c:pt idx="4">
                  <c:v>150168000</c:v>
                </c:pt>
                <c:pt idx="5">
                  <c:v>152707000</c:v>
                </c:pt>
                <c:pt idx="6">
                  <c:v>155674000</c:v>
                </c:pt>
                <c:pt idx="7">
                  <c:v>158473000</c:v>
                </c:pt>
                <c:pt idx="8">
                  <c:v>161080000</c:v>
                </c:pt>
                <c:pt idx="9">
                  <c:v>165333000</c:v>
                </c:pt>
                <c:pt idx="10">
                  <c:v>168245000</c:v>
                </c:pt>
                <c:pt idx="11">
                  <c:v>172512000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2695878"/>
        <c:axId val="76558085"/>
      </c:lineChart>
      <c:catAx>
        <c:axId val="426958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58085"/>
        <c:crosses val="autoZero"/>
        <c:auto val="1"/>
        <c:lblAlgn val="ctr"/>
        <c:lblOffset val="100"/>
        <c:noMultiLvlLbl val="0"/>
      </c:catAx>
      <c:valAx>
        <c:axId val="76558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&quot;백만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95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소득 · 소비 · 투자 납입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손익!A9</c:f>
              <c:strCache>
                <c:ptCount val="1"/>
                <c:pt idx="0">
                  <c:v>소득 합계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손익!$B$3:$M$3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손익!$B$9:$M$9</c:f>
              <c:numCache>
                <c:formatCode>#,##0;[RED]\-#,##0;\-</c:formatCode>
                <c:ptCount val="12"/>
                <c:pt idx="0">
                  <c:v>8484000</c:v>
                </c:pt>
                <c:pt idx="1">
                  <c:v>8785500</c:v>
                </c:pt>
                <c:pt idx="2">
                  <c:v>10089000</c:v>
                </c:pt>
                <c:pt idx="3">
                  <c:v>11488500</c:v>
                </c:pt>
                <c:pt idx="4">
                  <c:v>8790000</c:v>
                </c:pt>
                <c:pt idx="5">
                  <c:v>8611500</c:v>
                </c:pt>
                <c:pt idx="6">
                  <c:v>8493000</c:v>
                </c:pt>
                <c:pt idx="7">
                  <c:v>8794500</c:v>
                </c:pt>
                <c:pt idx="8">
                  <c:v>8634000</c:v>
                </c:pt>
                <c:pt idx="9">
                  <c:v>11497500</c:v>
                </c:pt>
                <c:pt idx="10">
                  <c:v>8799000</c:v>
                </c:pt>
                <c:pt idx="11">
                  <c:v>8656500</c:v>
                </c:pt>
              </c:numCache>
            </c:numRef>
          </c:val>
        </c:ser>
        <c:ser>
          <c:idx val="1"/>
          <c:order val="1"/>
          <c:tx>
            <c:strRef>
              <c:f>손익!A35</c:f>
              <c:strCache>
                <c:ptCount val="1"/>
                <c:pt idx="0">
                  <c:v>소비지출 합계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손익!$B$3:$M$3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손익!$B$35:$M$35</c:f>
              <c:numCache>
                <c:formatCode>#,##0;[RED]\-#,##0;\-</c:formatCode>
                <c:ptCount val="12"/>
                <c:pt idx="0">
                  <c:v>4682180</c:v>
                </c:pt>
                <c:pt idx="1">
                  <c:v>4982810</c:v>
                </c:pt>
                <c:pt idx="2">
                  <c:v>5149320</c:v>
                </c:pt>
                <c:pt idx="3">
                  <c:v>4872140</c:v>
                </c:pt>
                <c:pt idx="4">
                  <c:v>6387780</c:v>
                </c:pt>
                <c:pt idx="5">
                  <c:v>4954180</c:v>
                </c:pt>
                <c:pt idx="6">
                  <c:v>4705540</c:v>
                </c:pt>
                <c:pt idx="7">
                  <c:v>4807080</c:v>
                </c:pt>
                <c:pt idx="8">
                  <c:v>5368470</c:v>
                </c:pt>
                <c:pt idx="9">
                  <c:v>5159740</c:v>
                </c:pt>
                <c:pt idx="10">
                  <c:v>7489100</c:v>
                </c:pt>
                <c:pt idx="11">
                  <c:v>6442350</c:v>
                </c:pt>
              </c:numCache>
            </c:numRef>
          </c:val>
        </c:ser>
        <c:ser>
          <c:idx val="2"/>
          <c:order val="2"/>
          <c:tx>
            <c:strRef>
              <c:f>손익!A45</c:f>
              <c:strCache>
                <c:ptCount val="1"/>
                <c:pt idx="0">
                  <c:v>투자 납입액 (투자+연금)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손익!$B$3:$M$3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손익!$B$45:$M$45</c:f>
              <c:numCache>
                <c:formatCode>#,##0;[RED]\-#,##0;\-</c:formatCode>
                <c:ptCount val="12"/>
                <c:pt idx="0">
                  <c:v>2200000</c:v>
                </c:pt>
                <c:pt idx="1">
                  <c:v>2200000</c:v>
                </c:pt>
                <c:pt idx="2">
                  <c:v>2200000</c:v>
                </c:pt>
                <c:pt idx="3">
                  <c:v>2200000</c:v>
                </c:pt>
                <c:pt idx="4">
                  <c:v>2200000</c:v>
                </c:pt>
                <c:pt idx="5">
                  <c:v>2200000</c:v>
                </c:pt>
                <c:pt idx="6">
                  <c:v>2200000</c:v>
                </c:pt>
                <c:pt idx="7">
                  <c:v>2200000</c:v>
                </c:pt>
                <c:pt idx="8">
                  <c:v>2200000</c:v>
                </c:pt>
                <c:pt idx="9">
                  <c:v>2200000</c:v>
                </c:pt>
                <c:pt idx="10">
                  <c:v>2200000</c:v>
                </c:pt>
                <c:pt idx="11">
                  <c:v>1950000</c:v>
                </c:pt>
              </c:numCache>
            </c:numRef>
          </c:val>
        </c:ser>
        <c:gapWidth val="150"/>
        <c:overlap val="0"/>
        <c:axId val="53264322"/>
        <c:axId val="96650978"/>
      </c:barChart>
      <c:catAx>
        <c:axId val="532643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50978"/>
        <c:crosses val="autoZero"/>
        <c:auto val="1"/>
        <c:lblAlgn val="ctr"/>
        <c:lblOffset val="100"/>
        <c:noMultiLvlLbl val="0"/>
      </c:catAx>
      <c:valAx>
        <c:axId val="96650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&quot;백만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643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이번 달 예산 vs 실적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예산!E3</c:f>
              <c:strCache>
                <c:ptCount val="1"/>
                <c:pt idx="0">
                  <c:v>경과 예산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예산!$A$4:$A$17</c:f>
              <c:strCache>
                <c:ptCount val="14"/>
                <c:pt idx="0">
                  <c:v>주거관리비</c:v>
                </c:pt>
                <c:pt idx="1">
                  <c:v>대출이자</c:v>
                </c:pt>
                <c:pt idx="2">
                  <c:v>보험료</c:v>
                </c:pt>
                <c:pt idx="3">
                  <c:v>통신비</c:v>
                </c:pt>
                <c:pt idx="4">
                  <c:v>교육비</c:v>
                </c:pt>
                <c:pt idx="5">
                  <c:v>구독료</c:v>
                </c:pt>
                <c:pt idx="6">
                  <c:v>식비</c:v>
                </c:pt>
                <c:pt idx="7">
                  <c:v>외식</c:v>
                </c:pt>
                <c:pt idx="8">
                  <c:v>생활용품</c:v>
                </c:pt>
                <c:pt idx="9">
                  <c:v>교통</c:v>
                </c:pt>
                <c:pt idx="10">
                  <c:v>쇼핑</c:v>
                </c:pt>
                <c:pt idx="11">
                  <c:v>의료</c:v>
                </c:pt>
                <c:pt idx="12">
                  <c:v>여가</c:v>
                </c:pt>
                <c:pt idx="13">
                  <c:v>용돈</c:v>
                </c:pt>
              </c:strCache>
            </c:strRef>
          </c:cat>
          <c:val>
            <c:numRef>
              <c:f>예산!$E$4:$E$17</c:f>
              <c:numCache>
                <c:formatCode>#,##0;[RED]\-#,##0;\-</c:formatCode>
                <c:ptCount val="14"/>
                <c:pt idx="0">
                  <c:v>320000</c:v>
                </c:pt>
                <c:pt idx="1">
                  <c:v>1100000</c:v>
                </c:pt>
                <c:pt idx="2">
                  <c:v>400000</c:v>
                </c:pt>
                <c:pt idx="3">
                  <c:v>160000</c:v>
                </c:pt>
                <c:pt idx="4">
                  <c:v>550000</c:v>
                </c:pt>
                <c:pt idx="5">
                  <c:v>50000</c:v>
                </c:pt>
                <c:pt idx="6">
                  <c:v>900000</c:v>
                </c:pt>
                <c:pt idx="7">
                  <c:v>400000</c:v>
                </c:pt>
                <c:pt idx="8">
                  <c:v>250000</c:v>
                </c:pt>
                <c:pt idx="9">
                  <c:v>330000</c:v>
                </c:pt>
                <c:pt idx="10">
                  <c:v>300000</c:v>
                </c:pt>
                <c:pt idx="11">
                  <c:v>120000</c:v>
                </c:pt>
                <c:pt idx="12">
                  <c:v>200000</c:v>
                </c:pt>
                <c:pt idx="13">
                  <c:v>600000</c:v>
                </c:pt>
              </c:numCache>
            </c:numRef>
          </c:val>
        </c:ser>
        <c:ser>
          <c:idx val="1"/>
          <c:order val="1"/>
          <c:tx>
            <c:strRef>
              <c:f>예산!F3</c:f>
              <c:strCache>
                <c:ptCount val="1"/>
                <c:pt idx="0">
                  <c:v>실적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예산!$A$4:$A$17</c:f>
              <c:strCache>
                <c:ptCount val="14"/>
                <c:pt idx="0">
                  <c:v>주거관리비</c:v>
                </c:pt>
                <c:pt idx="1">
                  <c:v>대출이자</c:v>
                </c:pt>
                <c:pt idx="2">
                  <c:v>보험료</c:v>
                </c:pt>
                <c:pt idx="3">
                  <c:v>통신비</c:v>
                </c:pt>
                <c:pt idx="4">
                  <c:v>교육비</c:v>
                </c:pt>
                <c:pt idx="5">
                  <c:v>구독료</c:v>
                </c:pt>
                <c:pt idx="6">
                  <c:v>식비</c:v>
                </c:pt>
                <c:pt idx="7">
                  <c:v>외식</c:v>
                </c:pt>
                <c:pt idx="8">
                  <c:v>생활용품</c:v>
                </c:pt>
                <c:pt idx="9">
                  <c:v>교통</c:v>
                </c:pt>
                <c:pt idx="10">
                  <c:v>쇼핑</c:v>
                </c:pt>
                <c:pt idx="11">
                  <c:v>의료</c:v>
                </c:pt>
                <c:pt idx="12">
                  <c:v>여가</c:v>
                </c:pt>
                <c:pt idx="13">
                  <c:v>용돈</c:v>
                </c:pt>
              </c:strCache>
            </c:strRef>
          </c:cat>
          <c:val>
            <c:numRef>
              <c:f>예산!$F$4:$F$17</c:f>
              <c:numCache>
                <c:formatCode>#,##0;[RED]\-#,##0;\-</c:formatCode>
                <c:ptCount val="14"/>
                <c:pt idx="0">
                  <c:v>262690</c:v>
                </c:pt>
                <c:pt idx="1">
                  <c:v>1050700</c:v>
                </c:pt>
                <c:pt idx="2">
                  <c:v>388000</c:v>
                </c:pt>
                <c:pt idx="3">
                  <c:v>155000</c:v>
                </c:pt>
                <c:pt idx="4">
                  <c:v>520000</c:v>
                </c:pt>
                <c:pt idx="5">
                  <c:v>39790</c:v>
                </c:pt>
                <c:pt idx="6">
                  <c:v>768940</c:v>
                </c:pt>
                <c:pt idx="7">
                  <c:v>503600</c:v>
                </c:pt>
                <c:pt idx="8">
                  <c:v>129450</c:v>
                </c:pt>
                <c:pt idx="9">
                  <c:v>288640</c:v>
                </c:pt>
                <c:pt idx="10">
                  <c:v>501030</c:v>
                </c:pt>
                <c:pt idx="11">
                  <c:v>85150</c:v>
                </c:pt>
                <c:pt idx="12">
                  <c:v>59360</c:v>
                </c:pt>
                <c:pt idx="13">
                  <c:v>600000</c:v>
                </c:pt>
              </c:numCache>
            </c:numRef>
          </c:val>
        </c:ser>
        <c:gapWidth val="150"/>
        <c:overlap val="0"/>
        <c:axId val="16766248"/>
        <c:axId val="17601432"/>
      </c:barChart>
      <c:catAx>
        <c:axId val="167662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01432"/>
        <c:crosses val="autoZero"/>
        <c:auto val="1"/>
        <c:lblAlgn val="ctr"/>
        <c:lblOffset val="100"/>
        <c:noMultiLvlLbl val="0"/>
      </c:catAx>
      <c:valAx>
        <c:axId val="17601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\천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662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자산배분: 목표 vs 현재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투자!B3</c:f>
              <c:strCache>
                <c:ptCount val="1"/>
                <c:pt idx="0">
                  <c:v>목표 비중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투자!$A$4:$A$8</c:f>
              <c:strCache>
                <c:ptCount val="5"/>
                <c:pt idx="0">
                  <c:v>국내주식</c:v>
                </c:pt>
                <c:pt idx="1">
                  <c:v>해외주식</c:v>
                </c:pt>
                <c:pt idx="2">
                  <c:v>채권</c:v>
                </c:pt>
                <c:pt idx="3">
                  <c:v>현금성</c:v>
                </c:pt>
                <c:pt idx="4">
                  <c:v>대체투자</c:v>
                </c:pt>
              </c:strCache>
            </c:strRef>
          </c:cat>
          <c:val>
            <c:numRef>
              <c:f>투자!$B$4:$B$8</c:f>
              <c:numCache>
                <c:formatCode>0.0%;[RED]\-0.0%;\-</c:formatCode>
                <c:ptCount val="5"/>
                <c:pt idx="0">
                  <c:v>0.2</c:v>
                </c:pt>
                <c:pt idx="1">
                  <c:v>0.45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</c:numCache>
            </c:numRef>
          </c:val>
        </c:ser>
        <c:ser>
          <c:idx val="1"/>
          <c:order val="1"/>
          <c:tx>
            <c:strRef>
              <c:f>투자!D3</c:f>
              <c:strCache>
                <c:ptCount val="1"/>
                <c:pt idx="0">
                  <c:v>현재 비중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투자!$A$4:$A$8</c:f>
              <c:strCache>
                <c:ptCount val="5"/>
                <c:pt idx="0">
                  <c:v>국내주식</c:v>
                </c:pt>
                <c:pt idx="1">
                  <c:v>해외주식</c:v>
                </c:pt>
                <c:pt idx="2">
                  <c:v>채권</c:v>
                </c:pt>
                <c:pt idx="3">
                  <c:v>현금성</c:v>
                </c:pt>
                <c:pt idx="4">
                  <c:v>대체투자</c:v>
                </c:pt>
              </c:strCache>
            </c:strRef>
          </c:cat>
          <c:val>
            <c:numRef>
              <c:f>투자!$D$4:$D$8</c:f>
              <c:numCache>
                <c:formatCode>0.0%;[RED]\-0.0%;\-</c:formatCode>
                <c:ptCount val="5"/>
                <c:pt idx="0">
                  <c:v>0.127720652509964</c:v>
                </c:pt>
                <c:pt idx="1">
                  <c:v>0.567704898349119</c:v>
                </c:pt>
                <c:pt idx="2">
                  <c:v>0.16295347592125</c:v>
                </c:pt>
                <c:pt idx="3">
                  <c:v>0.119110388755381</c:v>
                </c:pt>
                <c:pt idx="4">
                  <c:v>0.022510584464286</c:v>
                </c:pt>
              </c:numCache>
            </c:numRef>
          </c:val>
        </c:ser>
        <c:gapWidth val="150"/>
        <c:overlap val="0"/>
        <c:axId val="98165082"/>
        <c:axId val="61628794"/>
      </c:barChart>
      <c:catAx>
        <c:axId val="981650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28794"/>
        <c:crosses val="autoZero"/>
        <c:auto val="1"/>
        <c:lblAlgn val="ctr"/>
        <c:lblOffset val="100"/>
        <c:noMultiLvlLbl val="0"/>
      </c:catAx>
      <c:valAx>
        <c:axId val="61628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650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118440</xdr:rowOff>
    </xdr:from>
    <xdr:to>
      <xdr:col>5</xdr:col>
      <xdr:colOff>804600</xdr:colOff>
      <xdr:row>43</xdr:row>
      <xdr:rowOff>150840</xdr:rowOff>
    </xdr:to>
    <xdr:graphicFrame>
      <xdr:nvGraphicFramePr>
        <xdr:cNvPr id="0" name="Chart 1"/>
        <xdr:cNvGraphicFramePr/>
      </xdr:nvGraphicFramePr>
      <xdr:xfrm>
        <a:off x="141120" y="7991640"/>
        <a:ext cx="4751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118440</xdr:rowOff>
    </xdr:from>
    <xdr:to>
      <xdr:col>15</xdr:col>
      <xdr:colOff>51840</xdr:colOff>
      <xdr:row>43</xdr:row>
      <xdr:rowOff>150840</xdr:rowOff>
    </xdr:to>
    <xdr:graphicFrame>
      <xdr:nvGraphicFramePr>
        <xdr:cNvPr id="1" name="Chart 2"/>
        <xdr:cNvGraphicFramePr/>
      </xdr:nvGraphicFramePr>
      <xdr:xfrm>
        <a:off x="6061680" y="7991640"/>
        <a:ext cx="4751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45</xdr:row>
      <xdr:rowOff>118080</xdr:rowOff>
    </xdr:from>
    <xdr:to>
      <xdr:col>5</xdr:col>
      <xdr:colOff>804600</xdr:colOff>
      <xdr:row>63</xdr:row>
      <xdr:rowOff>108720</xdr:rowOff>
    </xdr:to>
    <xdr:graphicFrame>
      <xdr:nvGraphicFramePr>
        <xdr:cNvPr id="2" name="Chart 3"/>
        <xdr:cNvGraphicFramePr/>
      </xdr:nvGraphicFramePr>
      <xdr:xfrm>
        <a:off x="141120" y="11039400"/>
        <a:ext cx="4751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45</xdr:row>
      <xdr:rowOff>118080</xdr:rowOff>
    </xdr:from>
    <xdr:to>
      <xdr:col>15</xdr:col>
      <xdr:colOff>51840</xdr:colOff>
      <xdr:row>63</xdr:row>
      <xdr:rowOff>108720</xdr:rowOff>
    </xdr:to>
    <xdr:graphicFrame>
      <xdr:nvGraphicFramePr>
        <xdr:cNvPr id="3" name="Chart 4"/>
        <xdr:cNvGraphicFramePr/>
      </xdr:nvGraphicFramePr>
      <xdr:xfrm>
        <a:off x="6061680" y="11039400"/>
        <a:ext cx="4751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1:O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1" min="2" style="0" width="14"/>
    <col collapsed="false" customWidth="true" hidden="false" outlineLevel="0" max="12" min="12" style="0" width="2"/>
    <col collapsed="false" customWidth="true" hidden="true" outlineLevel="0" max="15" min="14" style="0" width="13"/>
  </cols>
  <sheetData>
    <row r="1" customFormat="false" ht="33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B2" s="2" t="str">
        <f aca="false">"기준월 "&amp;설정!$B$3&amp;" 결산  ·  보기: "&amp;설정!$B$4&amp;"  ·  금액 단위: 원"</f>
        <v>기준월 2026-09 결산  ·  보기: 전체  ·  금액 단위: 원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26.1" hidden="false" customHeight="false" outlineLevel="0" collapsed="false">
      <c r="B4" s="3" t="s">
        <v>1</v>
      </c>
      <c r="C4" s="4" t="s">
        <v>2</v>
      </c>
      <c r="D4" s="3" t="s">
        <v>3</v>
      </c>
      <c r="E4" s="5" t="s">
        <v>4</v>
      </c>
      <c r="G4" s="3" t="s">
        <v>5</v>
      </c>
      <c r="H4" s="6" t="n">
        <f aca="false">설정!$B$10</f>
        <v>46307</v>
      </c>
      <c r="I4" s="2" t="s">
        <v>6</v>
      </c>
      <c r="J4" s="2"/>
      <c r="K4" s="2"/>
    </row>
    <row r="6" customFormat="false" ht="15" hidden="false" customHeight="true" outlineLevel="0" collapsed="false">
      <c r="B6" s="7" t="s">
        <v>7</v>
      </c>
      <c r="C6" s="7"/>
      <c r="D6" s="7" t="s">
        <v>8</v>
      </c>
      <c r="E6" s="7"/>
      <c r="F6" s="7" t="s">
        <v>9</v>
      </c>
      <c r="G6" s="7"/>
      <c r="H6" s="7" t="s">
        <v>10</v>
      </c>
      <c r="I6" s="7"/>
      <c r="J6" s="7" t="s">
        <v>11</v>
      </c>
      <c r="K6" s="7"/>
    </row>
    <row r="7" customFormat="false" ht="30" hidden="false" customHeight="true" outlineLevel="0" collapsed="false">
      <c r="B7" s="8" t="n">
        <f aca="false">재무상태표!B11</f>
        <v>734593000</v>
      </c>
      <c r="C7" s="8"/>
      <c r="D7" s="9" t="n">
        <f aca="false">IF(설정!$B$4="공동","",손익!M37)</f>
        <v>0.255778894472362</v>
      </c>
      <c r="E7" s="9"/>
      <c r="F7" s="8" t="n">
        <f aca="false">손익!M45</f>
        <v>1950000</v>
      </c>
      <c r="G7" s="8"/>
      <c r="H7" s="8" t="n">
        <f aca="false">재무상태표!B13</f>
        <v>172512000</v>
      </c>
      <c r="I7" s="8"/>
      <c r="J7" s="9" t="n">
        <f aca="false">예산!G45</f>
        <v>0.94231514084507</v>
      </c>
      <c r="K7" s="9"/>
    </row>
    <row r="8" customFormat="false" ht="15" hidden="false" customHeight="false" outlineLevel="0" collapsed="false">
      <c r="B8" s="10" t="str">
        <f aca="false">"약 "&amp;TEXT(재무상태표!B11/100000000,"0.00")&amp;"억원"</f>
        <v>약 7.35억원</v>
      </c>
      <c r="C8" s="10"/>
      <c r="D8" s="10" t="str">
        <f aca="false">IF(설정!$B$4="공동","공동 보기는 직접 소득이 없어 계산하지 않음","목표 "&amp;TEXT(설정!$B$12,"0%")&amp;" · 12개월 "&amp;TEXT(손익!N37,"0.0%"))</f>
        <v>목표 30% · 12개월 41.5%</v>
      </c>
      <c r="E8" s="10"/>
      <c r="F8" s="10" t="str">
        <f aca="false">"목표 "&amp;TEXT(설정!$B$29,"#,##0")&amp;IF(설정!$B$4="공동",""," · 납입률 "&amp;TEXT(손익!M51,"0%"))</f>
        <v>목표 2,200,000 · 납입률 23%</v>
      </c>
      <c r="G8" s="10"/>
      <c r="H8" s="10" t="str">
        <f aca="false">"총자산의 "&amp;TEXT(IF(재무상태표!B9=0,0,재무상태표!B13/재무상태표!B9),"0.0%")</f>
        <v>총자산의 16.6%</v>
      </c>
      <c r="I8" s="10"/>
      <c r="J8" s="10" t="str">
        <f aca="false">IF(설정!$B$4="전체","실적 "&amp;TEXT(예산!F45,"#,##0")&amp;" / 예산 "&amp;TEXT(예산!E45,"#,##0"),"가계 예산 중 "&amp;설정!$B$4&amp;" 사용분 "&amp;TEXT(예산!F45,"#,##0"))</f>
        <v>실적 5,352,350 / 예산 5,680,000</v>
      </c>
      <c r="K8" s="10"/>
    </row>
    <row r="9" customFormat="false" ht="15" hidden="false" customHeight="false" outlineLevel="0" collapsed="false">
      <c r="B9" s="11" t="str">
        <f aca="false">IF(재무상태표!D11&gt;=0,"✅ 전월 대비 증가 ","⚠ 전월 대비 감소 ")&amp;TEXT(재무상태표!D11,"+#,##0;-#,##0")</f>
        <v>✅ 전월 대비 증가 +8,925,000</v>
      </c>
      <c r="C9" s="11"/>
      <c r="D9" s="11" t="str">
        <f aca="false">IF(설정!$B$4="공동","- 해당 없음",IF(손익!M9=0,"- 소득 데이터 없음",IF(손익!M37&gt;=설정!$B$12,"✅ 달성","⚠ 미달")))</f>
        <v>⚠ 미달</v>
      </c>
      <c r="E9" s="11"/>
      <c r="F9" s="11" t="str">
        <f aca="false">IF(손익!M45&gt;=설정!$B$29,"✅ 달성","⚠ 미달 "&amp;TEXT(설정!$B$29-손익!M45,"#,##0"))</f>
        <v>⚠ 미달 250,000</v>
      </c>
      <c r="G9" s="11"/>
      <c r="H9" s="11" t="str">
        <f aca="false">IF(재무상태표!D13&gt;=0,"✅ 증가 ","⚠ 감소 ")&amp;TEXT(재무상태표!D13,"+#,##0;-#,##0")</f>
        <v>✅ 증가 +4,267,000</v>
      </c>
      <c r="I9" s="11"/>
      <c r="J9" s="11" t="str">
        <f aca="false">IF(COUNTIF(예산!I4:I43,"*초과*")&gt;0,"🔴 초과 카테고리 "&amp;COUNTIF(예산!I4:I43,"*초과*")&amp;"개",IF(예산!G45&gt;=0.9,"⚠ 주의","✅ 양호"))</f>
        <v>🔴 초과 카테고리 2개</v>
      </c>
      <c r="K9" s="11"/>
    </row>
    <row r="11" customFormat="false" ht="15" hidden="false" customHeight="true" outlineLevel="0" collapsed="false">
      <c r="B11" s="7" t="s">
        <v>12</v>
      </c>
      <c r="C11" s="7"/>
      <c r="D11" s="7" t="s">
        <v>13</v>
      </c>
      <c r="E11" s="7"/>
      <c r="F11" s="12" t="s">
        <v>14</v>
      </c>
      <c r="G11" s="12"/>
      <c r="H11" s="7" t="s">
        <v>15</v>
      </c>
      <c r="I11" s="7"/>
      <c r="J11" s="7" t="s">
        <v>16</v>
      </c>
      <c r="K11" s="7"/>
    </row>
    <row r="12" customFormat="false" ht="30" hidden="false" customHeight="true" outlineLevel="0" collapsed="false">
      <c r="B12" s="13" t="n">
        <f aca="false">IF(손익!P49=0,0,재무상태표!B15/손익!P49)</f>
        <v>5.66095782373937</v>
      </c>
      <c r="C12" s="13"/>
      <c r="D12" s="9" t="n">
        <f aca="false">재무상태표!B14</f>
        <v>0.292146178121462</v>
      </c>
      <c r="E12" s="9"/>
      <c r="F12" s="9" t="n">
        <f aca="false">부채!B20</f>
        <v>0.214357063794174</v>
      </c>
      <c r="G12" s="9"/>
      <c r="H12" s="9" t="n">
        <f aca="false">목표!B16</f>
        <v>0.142088967138186</v>
      </c>
      <c r="I12" s="9"/>
      <c r="J12" s="9" t="n">
        <f aca="false">IF(손익!O35=0,0,손익!O7/손익!O35)</f>
        <v>0.0120460259729551</v>
      </c>
      <c r="K12" s="9"/>
    </row>
    <row r="13" customFormat="false" ht="15" hidden="false" customHeight="false" outlineLevel="0" collapsed="false">
      <c r="B13" s="10" t="str">
        <f aca="false">"목표 "&amp;설정!$B$13&amp;"개월 · "&amp;TEXT(재무상태표!B15,"#,##0")&amp;"원"</f>
        <v>목표 6개월 · 21,713,000원</v>
      </c>
      <c r="C13" s="10"/>
      <c r="D13" s="10" t="str">
        <f aca="false">"상한 "&amp;TEXT(설정!$B$14,"0%")&amp;" · 부채 "&amp;TEXT(재무상태표!B10/100000000,"0.00")&amp;"억"</f>
        <v>상한 40% · 부채 3.03억</v>
      </c>
      <c r="E13" s="10"/>
      <c r="F13" s="10" t="str">
        <f aca="false">"상한 "&amp;TEXT(설정!$B$15,"0%")&amp;" · 월 원리금 "&amp;TEXT(부채!B17,"#,##0")</f>
        <v>상한 30% · 월 원리금 1,985,000</v>
      </c>
      <c r="G13" s="10"/>
      <c r="H13" s="10" t="str">
        <f aca="false">"노후 준비율 "&amp;TEXT(목표!B17,"0%")</f>
        <v>노후 준비율 9%</v>
      </c>
      <c r="I13" s="10"/>
      <c r="J13" s="10" t="str">
        <f aca="false">"월 수동소득 "&amp;TEXT(손익!O7,"#,##0")&amp;"원"</f>
        <v>월 수동소득 65,250원</v>
      </c>
      <c r="K13" s="10"/>
    </row>
    <row r="14" customFormat="false" ht="24.6" hidden="false" customHeight="false" outlineLevel="0" collapsed="false">
      <c r="B14" s="11" t="str">
        <f aca="false">IF(IF(손익!P49=0,0,재무상태표!B15/손익!P49)&gt;=설정!$B$13,"✅ 달성","⚠ 미달")</f>
        <v>⚠ 미달</v>
      </c>
      <c r="C14" s="11"/>
      <c r="D14" s="11" t="str">
        <f aca="false">IF(재무상태표!B14&lt;=설정!$B$14,"✅ 양호","⚠ 주의")</f>
        <v>✅ 양호</v>
      </c>
      <c r="E14" s="11"/>
      <c r="F14" s="11" t="str">
        <f aca="false">IF(부채!B20&lt;=설정!$B$15,"✅ 양호","⚠ 주의")</f>
        <v>✅ 양호</v>
      </c>
      <c r="G14" s="11"/>
      <c r="H14" s="11" t="str">
        <f aca="false">IF(목표!B18=0,"✅ 모두 순항","⚠ 지연 "&amp;목표!B18&amp;"건")</f>
        <v>⚠ 지연 4건</v>
      </c>
      <c r="I14" s="11"/>
      <c r="J14" s="11" t="str">
        <f aca="false">"장기 목표 100% (수동소득 ≥ 생활비)"</f>
        <v>장기 목표 100% (수동소득 ≥ 생활비)</v>
      </c>
      <c r="K14" s="11"/>
    </row>
    <row r="16" customFormat="false" ht="15" hidden="false" customHeight="false" outlineLevel="0" collapsed="false">
      <c r="B16" s="14" t="s">
        <v>17</v>
      </c>
      <c r="C16" s="14"/>
      <c r="D16" s="14"/>
      <c r="E16" s="14"/>
      <c r="F16" s="14"/>
      <c r="H16" s="14" t="s">
        <v>18</v>
      </c>
      <c r="I16" s="14"/>
      <c r="J16" s="14"/>
      <c r="K16" s="14"/>
    </row>
    <row r="17" customFormat="false" ht="25.5" hidden="false" customHeight="true" outlineLevel="0" collapsed="false">
      <c r="B17" s="15" t="str">
        <f aca="false">IFERROR(INDEX($N$17:$N$27,MATCH(1,$O$17:$O$27,0)),"")</f>
        <v>🔴 예산 초과: 외식 126%, 쇼핑 167%</v>
      </c>
      <c r="C17" s="15"/>
      <c r="D17" s="15"/>
      <c r="E17" s="15"/>
      <c r="F17" s="15"/>
      <c r="H17" s="16" t="s">
        <v>19</v>
      </c>
      <c r="I17" s="16" t="s">
        <v>20</v>
      </c>
      <c r="J17" s="16" t="s">
        <v>21</v>
      </c>
      <c r="K17" s="16" t="s">
        <v>7</v>
      </c>
      <c r="N17" s="0" t="str">
        <f aca="false">IF(COUNTIF(예산!I4:I43,"*초과*")&gt;0,"🔴 예산 초과: "&amp;_xlfn.TEXTJOIN(", ",TRUE(),예산!M4:M43),"")</f>
        <v>🔴 예산 초과: 외식 126%, 쇼핑 167%</v>
      </c>
      <c r="O17" s="17" t="n">
        <f aca="false">IF(N17="",0,1)+N(O16)</f>
        <v>1</v>
      </c>
    </row>
    <row r="18" customFormat="false" ht="25.5" hidden="false" customHeight="true" outlineLevel="0" collapsed="false">
      <c r="B18" s="15" t="str">
        <f aca="false">IFERROR(INDEX($N$17:$N$27,MATCH(2,$O$17:$O$27,0)),"")</f>
        <v>⚠ 저축률 25.6% — 목표 30% 미달</v>
      </c>
      <c r="C18" s="15"/>
      <c r="D18" s="15"/>
      <c r="E18" s="15"/>
      <c r="F18" s="15"/>
      <c r="H18" s="18" t="str">
        <f aca="false">재무상태표!A24</f>
        <v>본인</v>
      </c>
      <c r="I18" s="19" t="n">
        <f aca="false">재무상태표!B24</f>
        <v>130440000</v>
      </c>
      <c r="J18" s="19" t="n">
        <f aca="false">재무상태표!C24</f>
        <v>14700000</v>
      </c>
      <c r="K18" s="19" t="n">
        <f aca="false">재무상태표!D24</f>
        <v>115740000</v>
      </c>
      <c r="N18" s="0" t="str">
        <f aca="false">IF(AND(NOT(설정!$B$4="공동"),손익!M9&gt;0,손익!M37&lt;설정!$B$12),"⚠ 저축률 "&amp;TEXT(손익!M37,"0.0%")&amp;" — 목표 "&amp;TEXT(설정!$B$12,"0%")&amp;" 미달","")</f>
        <v>⚠ 저축률 25.6% — 목표 30% 미달</v>
      </c>
      <c r="O18" s="17" t="n">
        <f aca="false">IF(N18="",0,1)+N(O17)</f>
        <v>2</v>
      </c>
    </row>
    <row r="19" customFormat="false" ht="25.5" hidden="false" customHeight="true" outlineLevel="0" collapsed="false">
      <c r="B19" s="15" t="str">
        <f aca="false">IFERROR(INDEX($N$17:$N$27,MATCH(3,$O$17:$O$27,0)),"")</f>
        <v>⚠ 투자 납입 250,000원 부족 (목표 2,200,000)</v>
      </c>
      <c r="C19" s="15"/>
      <c r="D19" s="15"/>
      <c r="E19" s="15"/>
      <c r="F19" s="15"/>
      <c r="H19" s="18" t="str">
        <f aca="false">재무상태표!A25</f>
        <v>배우자</v>
      </c>
      <c r="I19" s="19" t="n">
        <f aca="false">재무상태표!B25</f>
        <v>43308000</v>
      </c>
      <c r="J19" s="19" t="n">
        <f aca="false">재무상태표!C25</f>
        <v>0</v>
      </c>
      <c r="K19" s="19" t="n">
        <f aca="false">재무상태표!D25</f>
        <v>43308000</v>
      </c>
      <c r="N19" s="0" t="str">
        <f aca="false">IF(손익!M45&lt;설정!$B$29,"⚠ 투자 납입 "&amp;TEXT(설정!$B$29-손익!M45,"#,##0")&amp;"원 부족 (목표 "&amp;TEXT(설정!$B$29,"#,##0")&amp;")","")</f>
        <v>⚠ 투자 납입 250,000원 부족 (목표 2,200,000)</v>
      </c>
      <c r="O19" s="17" t="n">
        <f aca="false">IF(N19="",0,1)+N(O18)</f>
        <v>3</v>
      </c>
    </row>
    <row r="20" customFormat="false" ht="25.5" hidden="false" customHeight="true" outlineLevel="0" collapsed="false">
      <c r="B20" s="15" t="str">
        <f aca="false">IFERROR(INDEX($N$17:$N$27,MATCH(4,$O$17:$O$27,0)),"")</f>
        <v>⚠ 비상자금 5.7개월 — 목표까지 1,300,420원 더 필요</v>
      </c>
      <c r="C20" s="15"/>
      <c r="D20" s="15"/>
      <c r="E20" s="15"/>
      <c r="F20" s="15"/>
      <c r="H20" s="18" t="str">
        <f aca="false">재무상태표!A26</f>
        <v>공동</v>
      </c>
      <c r="I20" s="19" t="n">
        <f aca="false">재무상태표!B26</f>
        <v>864027000</v>
      </c>
      <c r="J20" s="19" t="n">
        <f aca="false">재무상태표!C26</f>
        <v>288482000</v>
      </c>
      <c r="K20" s="19" t="n">
        <f aca="false">재무상태표!D26</f>
        <v>575545000</v>
      </c>
      <c r="N20" s="0" t="str">
        <f aca="false">IF(AND(손익!P49&gt;0,IF(손익!P49=0,0,재무상태표!B15/손익!P49)&lt;설정!$B$13),"⚠ 비상자금 "&amp;TEXT(IF(손익!P49=0,0,재무상태표!B15/손익!P49),"0.0")&amp;"개월 — 목표까지 "&amp;TEXT((설정!$B$13-IF(손익!P49=0,0,재무상태표!B15/손익!P49))*손익!P49,"#,##0")&amp;"원 더 필요","")</f>
        <v>⚠ 비상자금 5.7개월 — 목표까지 1,300,420원 더 필요</v>
      </c>
      <c r="O20" s="17" t="n">
        <f aca="false">IF(N20="",0,1)+N(O19)</f>
        <v>4</v>
      </c>
    </row>
    <row r="21" customFormat="false" ht="25.5" hidden="false" customHeight="true" outlineLevel="0" collapsed="false">
      <c r="B21" s="15" t="str">
        <f aca="false">IFERROR(INDEX($N$17:$N$27,MATCH(5,$O$17:$O$27,0)),"")</f>
        <v>⚖ 리밸런싱 검토: 국내주식 -7%, 해외주식 +12%</v>
      </c>
      <c r="C21" s="15"/>
      <c r="D21" s="15"/>
      <c r="E21" s="15"/>
      <c r="F21" s="15"/>
      <c r="H21" s="3" t="str">
        <f aca="false">재무상태표!A27</f>
        <v>합계</v>
      </c>
      <c r="I21" s="20" t="n">
        <f aca="false">재무상태표!B27</f>
        <v>1037775000</v>
      </c>
      <c r="J21" s="20" t="n">
        <f aca="false">재무상태표!C27</f>
        <v>303182000</v>
      </c>
      <c r="K21" s="20" t="n">
        <f aca="false">재무상태표!D27</f>
        <v>734593000</v>
      </c>
      <c r="N21" s="0" t="str">
        <f aca="false">IF(AND(설정!$B$4="전체",COUNTIF(투자!F4:F8,"*리밸런싱*")&gt;0),"⚖ 리밸런싱 검토: "&amp;_xlfn.TEXTJOIN(", ",TRUE(),투자!H4:H8),"")</f>
        <v>⚖ 리밸런싱 검토: 국내주식 -7%, 해외주식 +12%</v>
      </c>
      <c r="O21" s="17" t="n">
        <f aca="false">IF(N21="",0,1)+N(O20)</f>
        <v>5</v>
      </c>
    </row>
    <row r="22" customFormat="false" ht="25.5" hidden="false" customHeight="true" outlineLevel="0" collapsed="false">
      <c r="B22" s="15" t="str">
        <f aca="false">IFERROR(INDEX($N$17:$N$27,MATCH(6,$O$17:$O$27,0)),"")</f>
        <v>🗓 다가오는 일정: IRP·연금저축 연간 납입한도 점검 D-3, 자동차보험 갱신 D-19</v>
      </c>
      <c r="C22" s="15"/>
      <c r="D22" s="15"/>
      <c r="E22" s="15"/>
      <c r="F22" s="15"/>
      <c r="N22" s="0" t="str">
        <f aca="false">IF(OR(재무상태표!B14&gt;설정!$B$14,부채!B20&gt;설정!$B$15),"⚠ 부채 관리: 부채비율 "&amp;TEXT(재무상태표!B14,"0%")&amp;" · DSR "&amp;TEXT(부채!B20,"0%"),"")</f>
        <v/>
      </c>
      <c r="O22" s="17" t="n">
        <f aca="false">IF(N22="",0,1)+N(O21)</f>
        <v>5</v>
      </c>
    </row>
    <row r="23" customFormat="false" ht="25.5" hidden="false" customHeight="true" outlineLevel="0" collapsed="false">
      <c r="B23" s="15" t="str">
        <f aca="false">IFERROR(INDEX($N$17:$N$27,MATCH(7,$O$17:$O$27,0)),"")</f>
        <v>🎯 목표 지연: 비상자금 65%, 내집마련(학군지 이사) 21%, 노후자금 9%, 차량교체 32%</v>
      </c>
      <c r="C23" s="15"/>
      <c r="D23" s="15"/>
      <c r="E23" s="15"/>
      <c r="F23" s="15"/>
      <c r="H23" s="14" t="s">
        <v>22</v>
      </c>
      <c r="I23" s="14"/>
      <c r="J23" s="14"/>
      <c r="K23" s="14"/>
      <c r="N23" s="0" t="str">
        <f aca="false">IF(COUNTIF(일정!H4:H63,"?*")&gt;0,"🗓 다가오는 일정: "&amp;_xlfn.TEXTJOIN(", ",TRUE(),일정!H4:H63),"")</f>
        <v>🗓 다가오는 일정: IRP·연금저축 연간 납입한도 점검 D-3, 자동차보험 갱신 D-19</v>
      </c>
      <c r="O23" s="17" t="n">
        <f aca="false">IF(N23="",0,1)+N(O22)</f>
        <v>6</v>
      </c>
    </row>
    <row r="24" customFormat="false" ht="25.5" hidden="false" customHeight="true" outlineLevel="0" collapsed="false">
      <c r="B24" s="15" t="str">
        <f aca="false">IFERROR(INDEX($N$17:$N$27,MATCH(8,$O$17:$O$27,0)),"")</f>
        <v>🛡 보장 공백 2건 — 보험 탭 확인</v>
      </c>
      <c r="C24" s="15"/>
      <c r="D24" s="15"/>
      <c r="E24" s="15"/>
      <c r="F24" s="15"/>
      <c r="H24" s="16" t="s">
        <v>23</v>
      </c>
      <c r="I24" s="16" t="s">
        <v>24</v>
      </c>
      <c r="J24" s="16" t="s">
        <v>25</v>
      </c>
      <c r="K24" s="16" t="s">
        <v>26</v>
      </c>
      <c r="N24" s="0" t="str">
        <f aca="false">IF(목표!B18&gt;0,"🎯 목표 지연: "&amp;_xlfn.TEXTJOIN(", ",TRUE(),목표!P4:P13),"")</f>
        <v>🎯 목표 지연: 비상자금 65%, 내집마련(학군지 이사) 21%, 노후자금 9%, 차량교체 32%</v>
      </c>
      <c r="O24" s="17" t="n">
        <f aca="false">IF(N24="",0,1)+N(O23)</f>
        <v>7</v>
      </c>
    </row>
    <row r="25" customFormat="false" ht="25.5" hidden="false" customHeight="true" outlineLevel="0" collapsed="false">
      <c r="B25" s="15" t="str">
        <f aca="false">IFERROR(INDEX($N$17:$N$27,MATCH(9,$O$17:$O$27,0)),"")</f>
        <v/>
      </c>
      <c r="C25" s="15"/>
      <c r="D25" s="15"/>
      <c r="E25" s="15"/>
      <c r="F25" s="15"/>
      <c r="H25" s="21" t="str">
        <f aca="false">IF(목표!A4="","",목표!A4)</f>
        <v>비상자금</v>
      </c>
      <c r="I25" s="22" t="n">
        <f aca="false">IF(H25="","",목표!J4)</f>
        <v>0.65406345067362</v>
      </c>
      <c r="J25" s="18" t="str">
        <f aca="false">IF(H25="","",목표!L4)</f>
        <v>⚠ 지연</v>
      </c>
      <c r="K25" s="19" t="n">
        <f aca="false">IF(H25="","",목표!N4)</f>
        <v>2653333.33333333</v>
      </c>
      <c r="N25" s="0" t="str">
        <f aca="false">IF(AND(현금흐름!$B$5&gt;0,COUNTIF(현금흐름!I11:I16,"*부족*")&gt;0),"🔴 잔고 부족 예상: "&amp;_xlfn.TEXTJOIN(", ",TRUE(),현금흐름!J11:J16),"")</f>
        <v/>
      </c>
      <c r="O25" s="17" t="n">
        <f aca="false">IF(N25="",0,1)+N(O24)</f>
        <v>7</v>
      </c>
    </row>
    <row r="26" customFormat="false" ht="25.5" hidden="false" customHeight="true" outlineLevel="0" collapsed="false">
      <c r="B26" s="15" t="str">
        <f aca="false">IFERROR(INDEX($N$17:$N$27,MATCH(10,$O$17:$O$27,0)),"")</f>
        <v/>
      </c>
      <c r="C26" s="15"/>
      <c r="D26" s="15"/>
      <c r="E26" s="15"/>
      <c r="F26" s="15"/>
      <c r="H26" s="21" t="str">
        <f aca="false">IF(목표!A5="","",목표!A5)</f>
        <v>내집마련(학군지 이사)</v>
      </c>
      <c r="I26" s="22" t="n">
        <f aca="false">IF(H26="","",목표!J5)</f>
        <v>0.208133333333333</v>
      </c>
      <c r="J26" s="18" t="str">
        <f aca="false">IF(H26="","",목표!L5)</f>
        <v>⚠ 지연</v>
      </c>
      <c r="K26" s="19" t="n">
        <f aca="false">IF(H26="","",목표!N5)</f>
        <v>3045641.02564103</v>
      </c>
      <c r="N26" s="0" t="str">
        <f aca="false">IF(AND(COUNTA(보험!A4:A13)&gt;0,보험!B24&gt;0),"🛡 보장 공백 "&amp;보험!B24&amp;"건 — 보험 탭 확인","")</f>
        <v>🛡 보장 공백 2건 — 보험 탭 확인</v>
      </c>
      <c r="O26" s="17" t="n">
        <f aca="false">IF(N26="",0,1)+N(O25)</f>
        <v>8</v>
      </c>
    </row>
    <row r="27" customFormat="false" ht="25.5" hidden="false" customHeight="true" outlineLevel="0" collapsed="false">
      <c r="B27" s="15" t="str">
        <f aca="false">IFERROR(INDEX($N$17:$N$27,MATCH(11,$O$17:$O$27,0)),"")</f>
        <v/>
      </c>
      <c r="C27" s="15"/>
      <c r="D27" s="15"/>
      <c r="E27" s="15"/>
      <c r="F27" s="15"/>
      <c r="H27" s="21" t="str">
        <f aca="false">IF(목표!A6="","",목표!A6)</f>
        <v>자녀 교육자금</v>
      </c>
      <c r="I27" s="22" t="n">
        <f aca="false">IF(H27="","",목표!J6)</f>
        <v>0.44495</v>
      </c>
      <c r="J27" s="18" t="str">
        <f aca="false">IF(H27="","",목표!L6)</f>
        <v>✅ 순항</v>
      </c>
      <c r="K27" s="19" t="n">
        <f aca="false">IF(H27="","",목표!N6)</f>
        <v>329732.673267327</v>
      </c>
      <c r="N27" s="0" t="str">
        <f aca="false">IF(손익!M52&gt;0,"❓ 미분류 거래 "&amp;TEXT(손익!M52,"#,##0")&amp;"원 — 카테고리 지정 필요","")</f>
        <v/>
      </c>
      <c r="O27" s="17" t="n">
        <f aca="false">IF(N27="",0,1)+N(O26)</f>
        <v>8</v>
      </c>
    </row>
    <row r="28" customFormat="false" ht="15" hidden="false" customHeight="false" outlineLevel="0" collapsed="false">
      <c r="B28" s="23" t="str">
        <f aca="false">IF(MAX(O17:O27)=0,"✅ 이상 없음 — 이번 달도 잘 운영되었습니다","")</f>
        <v/>
      </c>
      <c r="C28" s="23"/>
      <c r="D28" s="23"/>
      <c r="E28" s="23"/>
      <c r="F28" s="23"/>
      <c r="H28" s="21" t="str">
        <f aca="false">IF(목표!A7="","",목표!A7)</f>
        <v>노후자금</v>
      </c>
      <c r="I28" s="22" t="n">
        <f aca="false">IF(H28="","",목표!J7)</f>
        <v>0.0939588888888889</v>
      </c>
      <c r="J28" s="18" t="str">
        <f aca="false">IF(H28="","",목표!L7)</f>
        <v>⚠ 지연</v>
      </c>
      <c r="K28" s="19" t="n">
        <f aca="false">IF(H28="","",목표!N7)</f>
        <v>2802189.00343643</v>
      </c>
    </row>
    <row r="29" customFormat="false" ht="15" hidden="false" customHeight="false" outlineLevel="0" collapsed="false">
      <c r="H29" s="21" t="str">
        <f aca="false">IF(목표!A8="","",목표!A8)</f>
        <v>차량교체</v>
      </c>
      <c r="I29" s="22" t="n">
        <f aca="false">IF(H29="","",목표!J8)</f>
        <v>0.315</v>
      </c>
      <c r="J29" s="18" t="str">
        <f aca="false">IF(H29="","",목표!L8)</f>
        <v>⚠ 지연</v>
      </c>
      <c r="K29" s="19" t="n">
        <f aca="false">IF(H29="","",목표!N8)</f>
        <v>685000</v>
      </c>
    </row>
  </sheetData>
  <mergeCells count="58">
    <mergeCell ref="B1:K1"/>
    <mergeCell ref="B2:K2"/>
    <mergeCell ref="I4:K4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6:F16"/>
    <mergeCell ref="H16:K16"/>
    <mergeCell ref="B17:F17"/>
    <mergeCell ref="B18:F18"/>
    <mergeCell ref="B19:F19"/>
    <mergeCell ref="B20:F20"/>
    <mergeCell ref="B21:F21"/>
    <mergeCell ref="B22:F22"/>
    <mergeCell ref="B23:F23"/>
    <mergeCell ref="H23:K23"/>
    <mergeCell ref="B24:F24"/>
    <mergeCell ref="B25:F25"/>
    <mergeCell ref="B26:F26"/>
    <mergeCell ref="B27:F27"/>
    <mergeCell ref="B28:F28"/>
  </mergeCells>
  <conditionalFormatting sqref="B9">
    <cfRule type="expression" priority="2" aboveAverage="0" equalAverage="0" bottom="0" percent="0" rank="0" text="" dxfId="0">
      <formula>OR(ISNUMBER(SEARCH("초과",B9)),ISNUMBER(SEARCH("부족",B9)),ISNUMBER(SEARCH("공백",B9)))</formula>
    </cfRule>
    <cfRule type="expression" priority="3" aboveAverage="0" equalAverage="0" bottom="0" percent="0" rank="0" text="" dxfId="1">
      <formula>OR(ISNUMBER(SEARCH("주의",B9)),ISNUMBER(SEARCH("미달",B9)),ISNUMBER(SEARCH("지연",B9)),ISNUMBER(SEARCH("리밸런싱",B9)),ISNUMBER(SEARCH("감소",B9)))</formula>
    </cfRule>
    <cfRule type="expression" priority="4" aboveAverage="0" equalAverage="0" bottom="0" percent="0" rank="0" text="" dxfId="2">
      <formula>OR(ISNUMBER(SEARCH("양호",B9)),ISNUMBER(SEARCH("달성",B9)),ISNUMBER(SEARCH("순항",B9)),ISNUMBER(SEARCH("정상",B9)),ISNUMBER(SEARCH("증가",B9)),ISNUMBER(SEARCH("보장",B9)),ISNUMBER(SEARCH("적정",B9)))</formula>
    </cfRule>
  </conditionalFormatting>
  <conditionalFormatting sqref="D9">
    <cfRule type="expression" priority="5" aboveAverage="0" equalAverage="0" bottom="0" percent="0" rank="0" text="" dxfId="0">
      <formula>OR(ISNUMBER(SEARCH("초과",D9)),ISNUMBER(SEARCH("부족",D9)),ISNUMBER(SEARCH("공백",D9)))</formula>
    </cfRule>
    <cfRule type="expression" priority="6" aboveAverage="0" equalAverage="0" bottom="0" percent="0" rank="0" text="" dxfId="1">
      <formula>OR(ISNUMBER(SEARCH("주의",D9)),ISNUMBER(SEARCH("미달",D9)),ISNUMBER(SEARCH("지연",D9)),ISNUMBER(SEARCH("리밸런싱",D9)),ISNUMBER(SEARCH("감소",D9)))</formula>
    </cfRule>
    <cfRule type="expression" priority="7" aboveAverage="0" equalAverage="0" bottom="0" percent="0" rank="0" text="" dxfId="2">
      <formula>OR(ISNUMBER(SEARCH("양호",D9)),ISNUMBER(SEARCH("달성",D9)),ISNUMBER(SEARCH("순항",D9)),ISNUMBER(SEARCH("정상",D9)),ISNUMBER(SEARCH("증가",D9)),ISNUMBER(SEARCH("보장",D9)),ISNUMBER(SEARCH("적정",D9)))</formula>
    </cfRule>
  </conditionalFormatting>
  <conditionalFormatting sqref="F9">
    <cfRule type="expression" priority="8" aboveAverage="0" equalAverage="0" bottom="0" percent="0" rank="0" text="" dxfId="0">
      <formula>OR(ISNUMBER(SEARCH("초과",F9)),ISNUMBER(SEARCH("부족",F9)),ISNUMBER(SEARCH("공백",F9)))</formula>
    </cfRule>
    <cfRule type="expression" priority="9" aboveAverage="0" equalAverage="0" bottom="0" percent="0" rank="0" text="" dxfId="1">
      <formula>OR(ISNUMBER(SEARCH("주의",F9)),ISNUMBER(SEARCH("미달",F9)),ISNUMBER(SEARCH("지연",F9)),ISNUMBER(SEARCH("리밸런싱",F9)),ISNUMBER(SEARCH("감소",F9)))</formula>
    </cfRule>
    <cfRule type="expression" priority="10" aboveAverage="0" equalAverage="0" bottom="0" percent="0" rank="0" text="" dxfId="2">
      <formula>OR(ISNUMBER(SEARCH("양호",F9)),ISNUMBER(SEARCH("달성",F9)),ISNUMBER(SEARCH("순항",F9)),ISNUMBER(SEARCH("정상",F9)),ISNUMBER(SEARCH("증가",F9)),ISNUMBER(SEARCH("보장",F9)),ISNUMBER(SEARCH("적정",F9)))</formula>
    </cfRule>
  </conditionalFormatting>
  <conditionalFormatting sqref="H9">
    <cfRule type="expression" priority="11" aboveAverage="0" equalAverage="0" bottom="0" percent="0" rank="0" text="" dxfId="0">
      <formula>OR(ISNUMBER(SEARCH("초과",H9)),ISNUMBER(SEARCH("부족",H9)),ISNUMBER(SEARCH("공백",H9)))</formula>
    </cfRule>
    <cfRule type="expression" priority="12" aboveAverage="0" equalAverage="0" bottom="0" percent="0" rank="0" text="" dxfId="1">
      <formula>OR(ISNUMBER(SEARCH("주의",H9)),ISNUMBER(SEARCH("미달",H9)),ISNUMBER(SEARCH("지연",H9)),ISNUMBER(SEARCH("리밸런싱",H9)),ISNUMBER(SEARCH("감소",H9)))</formula>
    </cfRule>
    <cfRule type="expression" priority="13" aboveAverage="0" equalAverage="0" bottom="0" percent="0" rank="0" text="" dxfId="2">
      <formula>OR(ISNUMBER(SEARCH("양호",H9)),ISNUMBER(SEARCH("달성",H9)),ISNUMBER(SEARCH("순항",H9)),ISNUMBER(SEARCH("정상",H9)),ISNUMBER(SEARCH("증가",H9)),ISNUMBER(SEARCH("보장",H9)),ISNUMBER(SEARCH("적정",H9)))</formula>
    </cfRule>
  </conditionalFormatting>
  <conditionalFormatting sqref="J9">
    <cfRule type="expression" priority="14" aboveAverage="0" equalAverage="0" bottom="0" percent="0" rank="0" text="" dxfId="0">
      <formula>OR(ISNUMBER(SEARCH("초과",J9)),ISNUMBER(SEARCH("부족",J9)),ISNUMBER(SEARCH("공백",J9)))</formula>
    </cfRule>
    <cfRule type="expression" priority="15" aboveAverage="0" equalAverage="0" bottom="0" percent="0" rank="0" text="" dxfId="1">
      <formula>OR(ISNUMBER(SEARCH("주의",J9)),ISNUMBER(SEARCH("미달",J9)),ISNUMBER(SEARCH("지연",J9)),ISNUMBER(SEARCH("리밸런싱",J9)),ISNUMBER(SEARCH("감소",J9)))</formula>
    </cfRule>
    <cfRule type="expression" priority="16" aboveAverage="0" equalAverage="0" bottom="0" percent="0" rank="0" text="" dxfId="2">
      <formula>OR(ISNUMBER(SEARCH("양호",J9)),ISNUMBER(SEARCH("달성",J9)),ISNUMBER(SEARCH("순항",J9)),ISNUMBER(SEARCH("정상",J9)),ISNUMBER(SEARCH("증가",J9)),ISNUMBER(SEARCH("보장",J9)),ISNUMBER(SEARCH("적정",J9)))</formula>
    </cfRule>
  </conditionalFormatting>
  <conditionalFormatting sqref="B14">
    <cfRule type="expression" priority="17" aboveAverage="0" equalAverage="0" bottom="0" percent="0" rank="0" text="" dxfId="0">
      <formula>OR(ISNUMBER(SEARCH("초과",B14)),ISNUMBER(SEARCH("부족",B14)),ISNUMBER(SEARCH("공백",B14)))</formula>
    </cfRule>
    <cfRule type="expression" priority="18" aboveAverage="0" equalAverage="0" bottom="0" percent="0" rank="0" text="" dxfId="1">
      <formula>OR(ISNUMBER(SEARCH("주의",B14)),ISNUMBER(SEARCH("미달",B14)),ISNUMBER(SEARCH("지연",B14)),ISNUMBER(SEARCH("리밸런싱",B14)),ISNUMBER(SEARCH("감소",B14)))</formula>
    </cfRule>
    <cfRule type="expression" priority="19" aboveAverage="0" equalAverage="0" bottom="0" percent="0" rank="0" text="" dxfId="2">
      <formula>OR(ISNUMBER(SEARCH("양호",B14)),ISNUMBER(SEARCH("달성",B14)),ISNUMBER(SEARCH("순항",B14)),ISNUMBER(SEARCH("정상",B14)),ISNUMBER(SEARCH("증가",B14)),ISNUMBER(SEARCH("보장",B14)),ISNUMBER(SEARCH("적정",B14)))</formula>
    </cfRule>
  </conditionalFormatting>
  <conditionalFormatting sqref="D14">
    <cfRule type="expression" priority="20" aboveAverage="0" equalAverage="0" bottom="0" percent="0" rank="0" text="" dxfId="0">
      <formula>OR(ISNUMBER(SEARCH("초과",D14)),ISNUMBER(SEARCH("부족",D14)),ISNUMBER(SEARCH("공백",D14)))</formula>
    </cfRule>
    <cfRule type="expression" priority="21" aboveAverage="0" equalAverage="0" bottom="0" percent="0" rank="0" text="" dxfId="1">
      <formula>OR(ISNUMBER(SEARCH("주의",D14)),ISNUMBER(SEARCH("미달",D14)),ISNUMBER(SEARCH("지연",D14)),ISNUMBER(SEARCH("리밸런싱",D14)),ISNUMBER(SEARCH("감소",D14)))</formula>
    </cfRule>
    <cfRule type="expression" priority="22" aboveAverage="0" equalAverage="0" bottom="0" percent="0" rank="0" text="" dxfId="2">
      <formula>OR(ISNUMBER(SEARCH("양호",D14)),ISNUMBER(SEARCH("달성",D14)),ISNUMBER(SEARCH("순항",D14)),ISNUMBER(SEARCH("정상",D14)),ISNUMBER(SEARCH("증가",D14)),ISNUMBER(SEARCH("보장",D14)),ISNUMBER(SEARCH("적정",D14)))</formula>
    </cfRule>
  </conditionalFormatting>
  <conditionalFormatting sqref="F14">
    <cfRule type="expression" priority="23" aboveAverage="0" equalAverage="0" bottom="0" percent="0" rank="0" text="" dxfId="0">
      <formula>OR(ISNUMBER(SEARCH("초과",F14)),ISNUMBER(SEARCH("부족",F14)),ISNUMBER(SEARCH("공백",F14)))</formula>
    </cfRule>
    <cfRule type="expression" priority="24" aboveAverage="0" equalAverage="0" bottom="0" percent="0" rank="0" text="" dxfId="1">
      <formula>OR(ISNUMBER(SEARCH("주의",F14)),ISNUMBER(SEARCH("미달",F14)),ISNUMBER(SEARCH("지연",F14)),ISNUMBER(SEARCH("리밸런싱",F14)),ISNUMBER(SEARCH("감소",F14)))</formula>
    </cfRule>
    <cfRule type="expression" priority="25" aboveAverage="0" equalAverage="0" bottom="0" percent="0" rank="0" text="" dxfId="2">
      <formula>OR(ISNUMBER(SEARCH("양호",F14)),ISNUMBER(SEARCH("달성",F14)),ISNUMBER(SEARCH("순항",F14)),ISNUMBER(SEARCH("정상",F14)),ISNUMBER(SEARCH("증가",F14)),ISNUMBER(SEARCH("보장",F14)),ISNUMBER(SEARCH("적정",F14)))</formula>
    </cfRule>
  </conditionalFormatting>
  <conditionalFormatting sqref="H14">
    <cfRule type="expression" priority="26" aboveAverage="0" equalAverage="0" bottom="0" percent="0" rank="0" text="" dxfId="0">
      <formula>OR(ISNUMBER(SEARCH("초과",H14)),ISNUMBER(SEARCH("부족",H14)),ISNUMBER(SEARCH("공백",H14)))</formula>
    </cfRule>
    <cfRule type="expression" priority="27" aboveAverage="0" equalAverage="0" bottom="0" percent="0" rank="0" text="" dxfId="1">
      <formula>OR(ISNUMBER(SEARCH("주의",H14)),ISNUMBER(SEARCH("미달",H14)),ISNUMBER(SEARCH("지연",H14)),ISNUMBER(SEARCH("리밸런싱",H14)),ISNUMBER(SEARCH("감소",H14)))</formula>
    </cfRule>
    <cfRule type="expression" priority="28" aboveAverage="0" equalAverage="0" bottom="0" percent="0" rank="0" text="" dxfId="2">
      <formula>OR(ISNUMBER(SEARCH("양호",H14)),ISNUMBER(SEARCH("달성",H14)),ISNUMBER(SEARCH("순항",H14)),ISNUMBER(SEARCH("정상",H14)),ISNUMBER(SEARCH("증가",H14)),ISNUMBER(SEARCH("보장",H14)),ISNUMBER(SEARCH("적정",H14)))</formula>
    </cfRule>
  </conditionalFormatting>
  <conditionalFormatting sqref="J14">
    <cfRule type="expression" priority="29" aboveAverage="0" equalAverage="0" bottom="0" percent="0" rank="0" text="" dxfId="0">
      <formula>OR(ISNUMBER(SEARCH("초과",J14)),ISNUMBER(SEARCH("부족",J14)),ISNUMBER(SEARCH("공백",J14)))</formula>
    </cfRule>
    <cfRule type="expression" priority="30" aboveAverage="0" equalAverage="0" bottom="0" percent="0" rank="0" text="" dxfId="1">
      <formula>OR(ISNUMBER(SEARCH("주의",J14)),ISNUMBER(SEARCH("미달",J14)),ISNUMBER(SEARCH("지연",J14)),ISNUMBER(SEARCH("리밸런싱",J14)),ISNUMBER(SEARCH("감소",J14)))</formula>
    </cfRule>
    <cfRule type="expression" priority="31" aboveAverage="0" equalAverage="0" bottom="0" percent="0" rank="0" text="" dxfId="2">
      <formula>OR(ISNUMBER(SEARCH("양호",J14)),ISNUMBER(SEARCH("달성",J14)),ISNUMBER(SEARCH("순항",J14)),ISNUMBER(SEARCH("정상",J14)),ISNUMBER(SEARCH("증가",J14)),ISNUMBER(SEARCH("보장",J14)),ISNUMBER(SEARCH("적정",J14)))</formula>
    </cfRule>
  </conditionalFormatting>
  <conditionalFormatting sqref="J25:J29">
    <cfRule type="expression" priority="32" aboveAverage="0" equalAverage="0" bottom="0" percent="0" rank="0" text="" dxfId="0">
      <formula>OR(ISNUMBER(SEARCH("초과",J25)),ISNUMBER(SEARCH("부족",J25)),ISNUMBER(SEARCH("공백",J25)))</formula>
    </cfRule>
    <cfRule type="expression" priority="33" aboveAverage="0" equalAverage="0" bottom="0" percent="0" rank="0" text="" dxfId="1">
      <formula>OR(ISNUMBER(SEARCH("주의",J25)),ISNUMBER(SEARCH("미달",J25)),ISNUMBER(SEARCH("지연",J25)),ISNUMBER(SEARCH("리밸런싱",J25)),ISNUMBER(SEARCH("감소",J25)))</formula>
    </cfRule>
    <cfRule type="expression" priority="34" aboveAverage="0" equalAverage="0" bottom="0" percent="0" rank="0" text="" dxfId="2">
      <formula>OR(ISNUMBER(SEARCH("양호",J25)),ISNUMBER(SEARCH("달성",J25)),ISNUMBER(SEARCH("순항",J25)),ISNUMBER(SEARCH("정상",J25)),ISNUMBER(SEARCH("증가",J25)),ISNUMBER(SEARCH("보장",J25)),ISNUMBER(SEARCH("적정",J25)))</formula>
    </cfRule>
  </conditionalFormatting>
  <dataValidations count="1">
    <dataValidation allowBlank="true" error="목록에서 선택하세요." errorStyle="stop" errorTitle="입력 확인" operator="between" showDropDown="false" showErrorMessage="false" showInputMessage="false" sqref="E4" type="list">
      <formula1>설정!$F$3:$F$6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0"/>
  </cols>
  <sheetData>
    <row r="1" customFormat="false" ht="20.85" hidden="false" customHeight="false" outlineLevel="0" collapsed="false">
      <c r="B1" s="24" t="s">
        <v>27</v>
      </c>
    </row>
    <row r="2" customFormat="false" ht="15" hidden="false" customHeight="false" outlineLevel="0" collapsed="false">
      <c r="B2" s="25" t="s">
        <v>28</v>
      </c>
    </row>
    <row r="3" customFormat="false" ht="15" hidden="false" customHeight="false" outlineLevel="0" collapsed="false">
      <c r="B3" s="25" t="s">
        <v>29</v>
      </c>
    </row>
    <row r="4" customFormat="false" ht="15" hidden="false" customHeight="false" outlineLevel="0" collapsed="false">
      <c r="B4" s="26"/>
    </row>
    <row r="5" customFormat="false" ht="15" hidden="false" customHeight="false" outlineLevel="0" collapsed="false">
      <c r="B5" s="27" t="s">
        <v>30</v>
      </c>
    </row>
    <row r="6" customFormat="false" ht="15" hidden="false" customHeight="false" outlineLevel="0" collapsed="false">
      <c r="B6" s="28" t="s">
        <v>31</v>
      </c>
    </row>
    <row r="7" customFormat="false" ht="15" hidden="false" customHeight="false" outlineLevel="0" collapsed="false">
      <c r="B7" s="26"/>
    </row>
    <row r="8" customFormat="false" ht="15" hidden="false" customHeight="false" outlineLevel="0" collapsed="false">
      <c r="B8" s="27" t="s">
        <v>32</v>
      </c>
    </row>
    <row r="9" customFormat="false" ht="15" hidden="false" customHeight="false" outlineLevel="0" collapsed="false">
      <c r="B9" s="26" t="s">
        <v>33</v>
      </c>
    </row>
    <row r="10" customFormat="false" ht="15" hidden="false" customHeight="false" outlineLevel="0" collapsed="false">
      <c r="B10" s="26" t="s">
        <v>34</v>
      </c>
    </row>
    <row r="11" customFormat="false" ht="15" hidden="false" customHeight="false" outlineLevel="0" collapsed="false">
      <c r="B11" s="26" t="s">
        <v>35</v>
      </c>
    </row>
    <row r="12" customFormat="false" ht="15" hidden="false" customHeight="false" outlineLevel="0" collapsed="false">
      <c r="B12" s="26" t="s">
        <v>36</v>
      </c>
    </row>
    <row r="13" customFormat="false" ht="15" hidden="false" customHeight="false" outlineLevel="0" collapsed="false">
      <c r="B13" s="26" t="s">
        <v>37</v>
      </c>
    </row>
    <row r="14" customFormat="false" ht="15" hidden="false" customHeight="false" outlineLevel="0" collapsed="false">
      <c r="B14" s="26"/>
    </row>
    <row r="15" customFormat="false" ht="15" hidden="false" customHeight="false" outlineLevel="0" collapsed="false">
      <c r="B15" s="27" t="s">
        <v>38</v>
      </c>
    </row>
    <row r="16" customFormat="false" ht="15" hidden="false" customHeight="false" outlineLevel="0" collapsed="false">
      <c r="B16" s="28" t="s">
        <v>39</v>
      </c>
    </row>
    <row r="17" customFormat="false" ht="15" hidden="false" customHeight="false" outlineLevel="0" collapsed="false">
      <c r="B17" s="28" t="s">
        <v>40</v>
      </c>
    </row>
    <row r="18" customFormat="false" ht="15" hidden="false" customHeight="false" outlineLevel="0" collapsed="false">
      <c r="B18" s="28" t="s">
        <v>41</v>
      </c>
    </row>
    <row r="19" customFormat="false" ht="15" hidden="false" customHeight="false" outlineLevel="0" collapsed="false">
      <c r="B19" s="28" t="s">
        <v>42</v>
      </c>
    </row>
    <row r="20" customFormat="false" ht="15" hidden="false" customHeight="false" outlineLevel="0" collapsed="false">
      <c r="B20" s="26"/>
    </row>
    <row r="21" customFormat="false" ht="15" hidden="false" customHeight="false" outlineLevel="0" collapsed="false">
      <c r="B21" s="27" t="s">
        <v>43</v>
      </c>
    </row>
    <row r="22" customFormat="false" ht="15" hidden="false" customHeight="false" outlineLevel="0" collapsed="false">
      <c r="B22" s="26" t="s">
        <v>44</v>
      </c>
    </row>
    <row r="23" customFormat="false" ht="15" hidden="false" customHeight="false" outlineLevel="0" collapsed="false">
      <c r="B23" s="26" t="s">
        <v>45</v>
      </c>
    </row>
    <row r="24" customFormat="false" ht="15" hidden="false" customHeight="false" outlineLevel="0" collapsed="false">
      <c r="B24" s="26" t="s">
        <v>46</v>
      </c>
    </row>
    <row r="25" customFormat="false" ht="15" hidden="false" customHeight="false" outlineLevel="0" collapsed="false">
      <c r="B25" s="28" t="s">
        <v>47</v>
      </c>
    </row>
    <row r="26" customFormat="false" ht="15" hidden="false" customHeight="false" outlineLevel="0" collapsed="false">
      <c r="B26" s="25" t="s">
        <v>48</v>
      </c>
    </row>
    <row r="27" customFormat="false" ht="15" hidden="false" customHeight="false" outlineLevel="0" collapsed="false">
      <c r="B27" s="26"/>
    </row>
    <row r="28" customFormat="false" ht="15" hidden="false" customHeight="false" outlineLevel="0" collapsed="false">
      <c r="B28" s="27" t="s">
        <v>49</v>
      </c>
    </row>
    <row r="29" customFormat="false" ht="15" hidden="false" customHeight="false" outlineLevel="0" collapsed="false">
      <c r="B29" s="28" t="s">
        <v>50</v>
      </c>
    </row>
    <row r="30" customFormat="false" ht="15" hidden="false" customHeight="false" outlineLevel="0" collapsed="false">
      <c r="B30" s="28" t="s">
        <v>51</v>
      </c>
    </row>
    <row r="31" customFormat="false" ht="15" hidden="false" customHeight="false" outlineLevel="0" collapsed="false">
      <c r="B31" s="26"/>
    </row>
    <row r="32" customFormat="false" ht="15" hidden="false" customHeight="false" outlineLevel="0" collapsed="false">
      <c r="B32" s="27" t="s">
        <v>52</v>
      </c>
    </row>
    <row r="33" customFormat="false" ht="15" hidden="false" customHeight="false" outlineLevel="0" collapsed="false">
      <c r="B33" s="28" t="s">
        <v>53</v>
      </c>
    </row>
    <row r="34" customFormat="false" ht="15" hidden="false" customHeight="false" outlineLevel="0" collapsed="false">
      <c r="B34" s="28" t="s">
        <v>54</v>
      </c>
    </row>
    <row r="35" customFormat="false" ht="15" hidden="false" customHeight="false" outlineLevel="0" collapsed="false">
      <c r="B35" s="28" t="s">
        <v>55</v>
      </c>
    </row>
    <row r="36" customFormat="false" ht="15" hidden="false" customHeight="false" outlineLevel="0" collapsed="false">
      <c r="B36" s="28" t="s">
        <v>56</v>
      </c>
    </row>
    <row r="37" customFormat="false" ht="15" hidden="false" customHeight="false" outlineLevel="0" collapsed="false">
      <c r="B37" s="28" t="s">
        <v>57</v>
      </c>
    </row>
    <row r="38" customFormat="false" ht="15" hidden="false" customHeight="false" outlineLevel="0" collapsed="false">
      <c r="B38" s="25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N6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5" min="4" style="0" width="12"/>
    <col collapsed="false" customWidth="true" hidden="false" outlineLevel="0" max="6" min="6" style="0" width="9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true" outlineLevel="0" max="12" min="12" style="0" width="9"/>
  </cols>
  <sheetData>
    <row r="1" customFormat="false" ht="15" hidden="false" customHeight="false" outlineLevel="0" collapsed="false">
      <c r="A1" s="29" t="s">
        <v>59</v>
      </c>
      <c r="B1" s="30" t="s">
        <v>60</v>
      </c>
      <c r="C1" s="29" t="s">
        <v>61</v>
      </c>
      <c r="D1" s="29" t="s">
        <v>62</v>
      </c>
      <c r="E1" s="29" t="s">
        <v>63</v>
      </c>
      <c r="F1" s="30" t="s">
        <v>64</v>
      </c>
      <c r="G1" s="30" t="s">
        <v>65</v>
      </c>
      <c r="H1" s="29" t="s">
        <v>19</v>
      </c>
      <c r="I1" s="29" t="s">
        <v>66</v>
      </c>
      <c r="J1" s="29" t="s">
        <v>67</v>
      </c>
      <c r="K1" s="29" t="s">
        <v>68</v>
      </c>
      <c r="L1" s="30" t="s">
        <v>69</v>
      </c>
      <c r="N1" s="31" t="s">
        <v>70</v>
      </c>
    </row>
    <row r="2" customFormat="false" ht="15" hidden="false" customHeight="false" outlineLevel="0" collapsed="false">
      <c r="A2" s="32" t="n">
        <v>45931</v>
      </c>
      <c r="B2" s="33" t="str">
        <f aca="false">IF(A2="","",TEXT(A2,"yyyy-mm"))</f>
        <v>2025-10</v>
      </c>
      <c r="C2" s="34" t="s">
        <v>71</v>
      </c>
      <c r="D2" s="35" t="n">
        <v>300000</v>
      </c>
      <c r="E2" s="34" t="s">
        <v>72</v>
      </c>
      <c r="F2" s="33" t="str">
        <f aca="false">IF(E2="","",IFERROR(INDEX(카테고리!$B$2:$B$200,MATCH(E2,카테고리!$A$2:$A$200,0)),"미분류"))</f>
        <v>변동비</v>
      </c>
      <c r="G2" s="33" t="str">
        <f aca="false">IF(E2="","",IFERROR(INDEX(카테고리!$C$2:$C$200,MATCH(E2,카테고리!$A$2:$A$200,0)),"N"))</f>
        <v>N</v>
      </c>
      <c r="H2" s="34" t="s">
        <v>73</v>
      </c>
      <c r="I2" s="34" t="s">
        <v>74</v>
      </c>
      <c r="J2" s="34" t="s">
        <v>75</v>
      </c>
      <c r="K2" s="34"/>
      <c r="L2" s="36" t="n">
        <f aca="false">IF(A2="","",YEAR(A2)*100+MONTH(A2))</f>
        <v>202510</v>
      </c>
      <c r="N2" s="31" t="s">
        <v>76</v>
      </c>
    </row>
    <row r="3" customFormat="false" ht="15" hidden="false" customHeight="false" outlineLevel="0" collapsed="false">
      <c r="A3" s="32" t="n">
        <v>45931</v>
      </c>
      <c r="B3" s="33" t="str">
        <f aca="false">IF(A3="","",TEXT(A3,"yyyy-mm"))</f>
        <v>2025-10</v>
      </c>
      <c r="C3" s="34" t="s">
        <v>77</v>
      </c>
      <c r="D3" s="35" t="n">
        <v>300000</v>
      </c>
      <c r="E3" s="34" t="s">
        <v>72</v>
      </c>
      <c r="F3" s="33" t="str">
        <f aca="false">IF(E3="","",IFERROR(INDEX(카테고리!$B$2:$B$200,MATCH(E3,카테고리!$A$2:$A$200,0)),"미분류"))</f>
        <v>변동비</v>
      </c>
      <c r="G3" s="33" t="str">
        <f aca="false">IF(E3="","",IFERROR(INDEX(카테고리!$C$2:$C$200,MATCH(E3,카테고리!$A$2:$A$200,0)),"N"))</f>
        <v>N</v>
      </c>
      <c r="H3" s="34" t="s">
        <v>78</v>
      </c>
      <c r="I3" s="34" t="s">
        <v>74</v>
      </c>
      <c r="J3" s="34" t="s">
        <v>75</v>
      </c>
      <c r="K3" s="34"/>
      <c r="L3" s="36" t="n">
        <f aca="false">IF(A3="","",YEAR(A3)*100+MONTH(A3))</f>
        <v>202510</v>
      </c>
    </row>
    <row r="4" customFormat="false" ht="15" hidden="false" customHeight="false" outlineLevel="0" collapsed="false">
      <c r="A4" s="32" t="n">
        <v>45931</v>
      </c>
      <c r="B4" s="33" t="str">
        <f aca="false">IF(A4="","",TEXT(A4,"yyyy-mm"))</f>
        <v>2025-10</v>
      </c>
      <c r="C4" s="34" t="s">
        <v>79</v>
      </c>
      <c r="D4" s="35" t="n">
        <v>140000</v>
      </c>
      <c r="E4" s="34" t="s">
        <v>80</v>
      </c>
      <c r="F4" s="33" t="str">
        <f aca="false">IF(E4="","",IFERROR(INDEX(카테고리!$B$2:$B$200,MATCH(E4,카테고리!$A$2:$A$200,0)),"미분류"))</f>
        <v>고정비</v>
      </c>
      <c r="G4" s="33" t="str">
        <f aca="false">IF(E4="","",IFERROR(INDEX(카테고리!$C$2:$C$200,MATCH(E4,카테고리!$A$2:$A$200,0)),"N"))</f>
        <v>Y</v>
      </c>
      <c r="H4" s="34" t="s">
        <v>81</v>
      </c>
      <c r="I4" s="34" t="s">
        <v>82</v>
      </c>
      <c r="J4" s="34" t="s">
        <v>75</v>
      </c>
      <c r="K4" s="34"/>
      <c r="L4" s="36" t="n">
        <f aca="false">IF(A4="","",YEAR(A4)*100+MONTH(A4))</f>
        <v>202510</v>
      </c>
    </row>
    <row r="5" customFormat="false" ht="15" hidden="false" customHeight="false" outlineLevel="0" collapsed="false">
      <c r="A5" s="32" t="n">
        <v>45931</v>
      </c>
      <c r="B5" s="33" t="str">
        <f aca="false">IF(A5="","",TEXT(A5,"yyyy-mm"))</f>
        <v>2025-10</v>
      </c>
      <c r="C5" s="34" t="s">
        <v>83</v>
      </c>
      <c r="D5" s="35" t="n">
        <v>380000</v>
      </c>
      <c r="E5" s="34" t="s">
        <v>80</v>
      </c>
      <c r="F5" s="33" t="str">
        <f aca="false">IF(E5="","",IFERROR(INDEX(카테고리!$B$2:$B$200,MATCH(E5,카테고리!$A$2:$A$200,0)),"미분류"))</f>
        <v>고정비</v>
      </c>
      <c r="G5" s="33" t="str">
        <f aca="false">IF(E5="","",IFERROR(INDEX(카테고리!$C$2:$C$200,MATCH(E5,카테고리!$A$2:$A$200,0)),"N"))</f>
        <v>Y</v>
      </c>
      <c r="H5" s="34" t="s">
        <v>81</v>
      </c>
      <c r="I5" s="34" t="s">
        <v>82</v>
      </c>
      <c r="J5" s="34" t="s">
        <v>75</v>
      </c>
      <c r="K5" s="34"/>
      <c r="L5" s="36" t="n">
        <f aca="false">IF(A5="","",YEAR(A5)*100+MONTH(A5))</f>
        <v>202510</v>
      </c>
    </row>
    <row r="6" customFormat="false" ht="15" hidden="false" customHeight="false" outlineLevel="0" collapsed="false">
      <c r="A6" s="32" t="n">
        <v>45932</v>
      </c>
      <c r="B6" s="33" t="str">
        <f aca="false">IF(A6="","",TEXT(A6,"yyyy-mm"))</f>
        <v>2025-10</v>
      </c>
      <c r="C6" s="37" t="s">
        <v>84</v>
      </c>
      <c r="D6" s="35" t="n">
        <v>77630</v>
      </c>
      <c r="E6" s="34" t="s">
        <v>85</v>
      </c>
      <c r="F6" s="33" t="str">
        <f aca="false">IF(E6="","",IFERROR(INDEX(카테고리!$B$2:$B$200,MATCH(E6,카테고리!$A$2:$A$200,0)),"미분류"))</f>
        <v>변동비</v>
      </c>
      <c r="G6" s="33" t="str">
        <f aca="false">IF(E6="","",IFERROR(INDEX(카테고리!$C$2:$C$200,MATCH(E6,카테고리!$A$2:$A$200,0)),"N"))</f>
        <v>Y</v>
      </c>
      <c r="H6" s="34" t="s">
        <v>81</v>
      </c>
      <c r="I6" s="34" t="s">
        <v>82</v>
      </c>
      <c r="J6" s="34" t="s">
        <v>75</v>
      </c>
      <c r="K6" s="37"/>
      <c r="L6" s="36" t="n">
        <f aca="false">IF(A6="","",YEAR(A6)*100+MONTH(A6))</f>
        <v>202510</v>
      </c>
    </row>
    <row r="7" customFormat="false" ht="15" hidden="false" customHeight="false" outlineLevel="0" collapsed="false">
      <c r="A7" s="32" t="n">
        <v>45933</v>
      </c>
      <c r="B7" s="33" t="str">
        <f aca="false">IF(A7="","",TEXT(A7,"yyyy-mm"))</f>
        <v>2025-10</v>
      </c>
      <c r="C7" s="34" t="s">
        <v>86</v>
      </c>
      <c r="D7" s="35" t="n">
        <v>68340</v>
      </c>
      <c r="E7" s="34" t="s">
        <v>87</v>
      </c>
      <c r="F7" s="33" t="str">
        <f aca="false">IF(E7="","",IFERROR(INDEX(카테고리!$B$2:$B$200,MATCH(E7,카테고리!$A$2:$A$200,0)),"미분류"))</f>
        <v>변동비</v>
      </c>
      <c r="G7" s="33" t="str">
        <f aca="false">IF(E7="","",IFERROR(INDEX(카테고리!$C$2:$C$200,MATCH(E7,카테고리!$A$2:$A$200,0)),"N"))</f>
        <v>Y</v>
      </c>
      <c r="H7" s="34" t="s">
        <v>81</v>
      </c>
      <c r="I7" s="34" t="s">
        <v>82</v>
      </c>
      <c r="J7" s="34" t="s">
        <v>75</v>
      </c>
      <c r="K7" s="37"/>
      <c r="L7" s="36" t="n">
        <f aca="false">IF(A7="","",YEAR(A7)*100+MONTH(A7))</f>
        <v>202510</v>
      </c>
    </row>
    <row r="8" customFormat="false" ht="15" hidden="false" customHeight="false" outlineLevel="0" collapsed="false">
      <c r="A8" s="32" t="n">
        <v>45933</v>
      </c>
      <c r="B8" s="33" t="str">
        <f aca="false">IF(A8="","",TEXT(A8,"yyyy-mm"))</f>
        <v>2025-10</v>
      </c>
      <c r="C8" s="34" t="s">
        <v>88</v>
      </c>
      <c r="D8" s="35" t="n">
        <v>56430</v>
      </c>
      <c r="E8" s="34" t="s">
        <v>89</v>
      </c>
      <c r="F8" s="33" t="str">
        <f aca="false">IF(E8="","",IFERROR(INDEX(카테고리!$B$2:$B$200,MATCH(E8,카테고리!$A$2:$A$200,0)),"미분류"))</f>
        <v>변동비</v>
      </c>
      <c r="G8" s="33" t="str">
        <f aca="false">IF(E8="","",IFERROR(INDEX(카테고리!$C$2:$C$200,MATCH(E8,카테고리!$A$2:$A$200,0)),"N"))</f>
        <v>N</v>
      </c>
      <c r="H8" s="34" t="s">
        <v>73</v>
      </c>
      <c r="I8" s="34" t="s">
        <v>90</v>
      </c>
      <c r="J8" s="34" t="s">
        <v>75</v>
      </c>
      <c r="K8" s="37"/>
      <c r="L8" s="36" t="n">
        <f aca="false">IF(A8="","",YEAR(A8)*100+MONTH(A8))</f>
        <v>202510</v>
      </c>
    </row>
    <row r="9" customFormat="false" ht="15" hidden="false" customHeight="false" outlineLevel="0" collapsed="false">
      <c r="A9" s="32" t="n">
        <v>45933</v>
      </c>
      <c r="B9" s="33" t="str">
        <f aca="false">IF(A9="","",TEXT(A9,"yyyy-mm"))</f>
        <v>2025-10</v>
      </c>
      <c r="C9" s="34" t="s">
        <v>91</v>
      </c>
      <c r="D9" s="35" t="n">
        <v>110300</v>
      </c>
      <c r="E9" s="34" t="s">
        <v>92</v>
      </c>
      <c r="F9" s="33" t="str">
        <f aca="false">IF(E9="","",IFERROR(INDEX(카테고리!$B$2:$B$200,MATCH(E9,카테고리!$A$2:$A$200,0)),"미분류"))</f>
        <v>변동비</v>
      </c>
      <c r="G9" s="33" t="str">
        <f aca="false">IF(E9="","",IFERROR(INDEX(카테고리!$C$2:$C$200,MATCH(E9,카테고리!$A$2:$A$200,0)),"N"))</f>
        <v>Y</v>
      </c>
      <c r="H9" s="34" t="s">
        <v>81</v>
      </c>
      <c r="I9" s="34" t="s">
        <v>82</v>
      </c>
      <c r="J9" s="34" t="s">
        <v>75</v>
      </c>
      <c r="K9" s="37"/>
      <c r="L9" s="36" t="n">
        <f aca="false">IF(A9="","",YEAR(A9)*100+MONTH(A9))</f>
        <v>202510</v>
      </c>
    </row>
    <row r="10" customFormat="false" ht="15" hidden="false" customHeight="false" outlineLevel="0" collapsed="false">
      <c r="A10" s="32" t="n">
        <v>45933</v>
      </c>
      <c r="B10" s="33" t="str">
        <f aca="false">IF(A10="","",TEXT(A10,"yyyy-mm"))</f>
        <v>2025-10</v>
      </c>
      <c r="C10" s="34" t="s">
        <v>93</v>
      </c>
      <c r="D10" s="35" t="n">
        <v>83660</v>
      </c>
      <c r="E10" s="34" t="s">
        <v>92</v>
      </c>
      <c r="F10" s="33" t="str">
        <f aca="false">IF(E10="","",IFERROR(INDEX(카테고리!$B$2:$B$200,MATCH(E10,카테고리!$A$2:$A$200,0)),"미분류"))</f>
        <v>변동비</v>
      </c>
      <c r="G10" s="33" t="str">
        <f aca="false">IF(E10="","",IFERROR(INDEX(카테고리!$C$2:$C$200,MATCH(E10,카테고리!$A$2:$A$200,0)),"N"))</f>
        <v>Y</v>
      </c>
      <c r="H10" s="34" t="s">
        <v>81</v>
      </c>
      <c r="I10" s="34" t="s">
        <v>82</v>
      </c>
      <c r="J10" s="34" t="s">
        <v>75</v>
      </c>
      <c r="K10" s="37"/>
      <c r="L10" s="36" t="n">
        <f aca="false">IF(A10="","",YEAR(A10)*100+MONTH(A10))</f>
        <v>202510</v>
      </c>
    </row>
    <row r="11" customFormat="false" ht="15" hidden="false" customHeight="false" outlineLevel="0" collapsed="false">
      <c r="A11" s="32" t="n">
        <v>45933</v>
      </c>
      <c r="B11" s="33" t="str">
        <f aca="false">IF(A11="","",TEXT(A11,"yyyy-mm"))</f>
        <v>2025-10</v>
      </c>
      <c r="C11" s="34" t="s">
        <v>94</v>
      </c>
      <c r="D11" s="35" t="n">
        <v>50000</v>
      </c>
      <c r="E11" s="34" t="s">
        <v>85</v>
      </c>
      <c r="F11" s="33" t="str">
        <f aca="false">IF(E11="","",IFERROR(INDEX(카테고리!$B$2:$B$200,MATCH(E11,카테고리!$A$2:$A$200,0)),"미분류"))</f>
        <v>변동비</v>
      </c>
      <c r="G11" s="33" t="str">
        <f aca="false">IF(E11="","",IFERROR(INDEX(카테고리!$C$2:$C$200,MATCH(E11,카테고리!$A$2:$A$200,0)),"N"))</f>
        <v>Y</v>
      </c>
      <c r="H11" s="34" t="s">
        <v>73</v>
      </c>
      <c r="I11" s="34" t="s">
        <v>90</v>
      </c>
      <c r="J11" s="34" t="s">
        <v>75</v>
      </c>
      <c r="K11" s="37"/>
      <c r="L11" s="36" t="n">
        <f aca="false">IF(A11="","",YEAR(A11)*100+MONTH(A11))</f>
        <v>202510</v>
      </c>
    </row>
    <row r="12" customFormat="false" ht="15" hidden="false" customHeight="false" outlineLevel="0" collapsed="false">
      <c r="A12" s="32" t="n">
        <v>45934</v>
      </c>
      <c r="B12" s="33" t="str">
        <f aca="false">IF(A12="","",TEXT(A12,"yyyy-mm"))</f>
        <v>2025-10</v>
      </c>
      <c r="C12" s="34" t="s">
        <v>95</v>
      </c>
      <c r="D12" s="35" t="n">
        <v>30160</v>
      </c>
      <c r="E12" s="34" t="s">
        <v>89</v>
      </c>
      <c r="F12" s="33" t="str">
        <f aca="false">IF(E12="","",IFERROR(INDEX(카테고리!$B$2:$B$200,MATCH(E12,카테고리!$A$2:$A$200,0)),"미분류"))</f>
        <v>변동비</v>
      </c>
      <c r="G12" s="33" t="str">
        <f aca="false">IF(E12="","",IFERROR(INDEX(카테고리!$C$2:$C$200,MATCH(E12,카테고리!$A$2:$A$200,0)),"N"))</f>
        <v>N</v>
      </c>
      <c r="H12" s="34" t="s">
        <v>78</v>
      </c>
      <c r="I12" s="34" t="s">
        <v>82</v>
      </c>
      <c r="J12" s="34" t="s">
        <v>75</v>
      </c>
      <c r="K12" s="37"/>
      <c r="L12" s="36" t="n">
        <f aca="false">IF(A12="","",YEAR(A12)*100+MONTH(A12))</f>
        <v>202510</v>
      </c>
    </row>
    <row r="13" customFormat="false" ht="15" hidden="false" customHeight="false" outlineLevel="0" collapsed="false">
      <c r="A13" s="32" t="n">
        <v>45935</v>
      </c>
      <c r="B13" s="33" t="str">
        <f aca="false">IF(A13="","",TEXT(A13,"yyyy-mm"))</f>
        <v>2025-10</v>
      </c>
      <c r="C13" s="34" t="s">
        <v>96</v>
      </c>
      <c r="D13" s="35" t="n">
        <v>300000</v>
      </c>
      <c r="E13" s="34" t="s">
        <v>97</v>
      </c>
      <c r="F13" s="33" t="str">
        <f aca="false">IF(E13="","",IFERROR(INDEX(카테고리!$B$2:$B$200,MATCH(E13,카테고리!$A$2:$A$200,0)),"미분류"))</f>
        <v>자본이동</v>
      </c>
      <c r="G13" s="33" t="str">
        <f aca="false">IF(E13="","",IFERROR(INDEX(카테고리!$C$2:$C$200,MATCH(E13,카테고리!$A$2:$A$200,0)),"N"))</f>
        <v>N</v>
      </c>
      <c r="H13" s="34" t="s">
        <v>78</v>
      </c>
      <c r="I13" s="34" t="s">
        <v>98</v>
      </c>
      <c r="J13" s="34" t="s">
        <v>75</v>
      </c>
      <c r="K13" s="37"/>
      <c r="L13" s="36" t="n">
        <f aca="false">IF(A13="","",YEAR(A13)*100+MONTH(A13))</f>
        <v>202510</v>
      </c>
    </row>
    <row r="14" customFormat="false" ht="15" hidden="false" customHeight="false" outlineLevel="0" collapsed="false">
      <c r="A14" s="32" t="n">
        <v>45935</v>
      </c>
      <c r="B14" s="33" t="str">
        <f aca="false">IF(A14="","",TEXT(A14,"yyyy-mm"))</f>
        <v>2025-10</v>
      </c>
      <c r="C14" s="34" t="s">
        <v>99</v>
      </c>
      <c r="D14" s="35" t="n">
        <v>82000</v>
      </c>
      <c r="E14" s="34" t="s">
        <v>100</v>
      </c>
      <c r="F14" s="33" t="str">
        <f aca="false">IF(E14="","",IFERROR(INDEX(카테고리!$B$2:$B$200,MATCH(E14,카테고리!$A$2:$A$200,0)),"미분류"))</f>
        <v>고정비</v>
      </c>
      <c r="G14" s="33" t="str">
        <f aca="false">IF(E14="","",IFERROR(INDEX(카테고리!$C$2:$C$200,MATCH(E14,카테고리!$A$2:$A$200,0)),"N"))</f>
        <v>Y</v>
      </c>
      <c r="H14" s="34" t="s">
        <v>78</v>
      </c>
      <c r="I14" s="34" t="s">
        <v>98</v>
      </c>
      <c r="J14" s="34" t="s">
        <v>75</v>
      </c>
      <c r="K14" s="37"/>
      <c r="L14" s="36" t="n">
        <f aca="false">IF(A14="","",YEAR(A14)*100+MONTH(A14))</f>
        <v>202510</v>
      </c>
    </row>
    <row r="15" customFormat="false" ht="15" hidden="false" customHeight="false" outlineLevel="0" collapsed="false">
      <c r="A15" s="32" t="n">
        <v>45935</v>
      </c>
      <c r="B15" s="33" t="str">
        <f aca="false">IF(A15="","",TEXT(A15,"yyyy-mm"))</f>
        <v>2025-10</v>
      </c>
      <c r="C15" s="34" t="s">
        <v>101</v>
      </c>
      <c r="D15" s="35" t="n">
        <v>600000</v>
      </c>
      <c r="E15" s="34" t="s">
        <v>97</v>
      </c>
      <c r="F15" s="33" t="str">
        <f aca="false">IF(E15="","",IFERROR(INDEX(카테고리!$B$2:$B$200,MATCH(E15,카테고리!$A$2:$A$200,0)),"미분류"))</f>
        <v>자본이동</v>
      </c>
      <c r="G15" s="33" t="str">
        <f aca="false">IF(E15="","",IFERROR(INDEX(카테고리!$C$2:$C$200,MATCH(E15,카테고리!$A$2:$A$200,0)),"N"))</f>
        <v>N</v>
      </c>
      <c r="H15" s="34" t="s">
        <v>81</v>
      </c>
      <c r="I15" s="34" t="s">
        <v>98</v>
      </c>
      <c r="J15" s="34" t="s">
        <v>75</v>
      </c>
      <c r="K15" s="37"/>
      <c r="L15" s="36" t="n">
        <f aca="false">IF(A15="","",YEAR(A15)*100+MONTH(A15))</f>
        <v>202510</v>
      </c>
    </row>
    <row r="16" customFormat="false" ht="15" hidden="false" customHeight="false" outlineLevel="0" collapsed="false">
      <c r="A16" s="32" t="n">
        <v>45935</v>
      </c>
      <c r="B16" s="33" t="str">
        <f aca="false">IF(A16="","",TEXT(A16,"yyyy-mm"))</f>
        <v>2025-10</v>
      </c>
      <c r="C16" s="34" t="s">
        <v>102</v>
      </c>
      <c r="D16" s="35" t="n">
        <v>1005000</v>
      </c>
      <c r="E16" s="34" t="s">
        <v>100</v>
      </c>
      <c r="F16" s="33" t="str">
        <f aca="false">IF(E16="","",IFERROR(INDEX(카테고리!$B$2:$B$200,MATCH(E16,카테고리!$A$2:$A$200,0)),"미분류"))</f>
        <v>고정비</v>
      </c>
      <c r="G16" s="33" t="str">
        <f aca="false">IF(E16="","",IFERROR(INDEX(카테고리!$C$2:$C$200,MATCH(E16,카테고리!$A$2:$A$200,0)),"N"))</f>
        <v>Y</v>
      </c>
      <c r="H16" s="34" t="s">
        <v>81</v>
      </c>
      <c r="I16" s="34" t="s">
        <v>98</v>
      </c>
      <c r="J16" s="34" t="s">
        <v>75</v>
      </c>
      <c r="K16" s="37"/>
      <c r="L16" s="36" t="n">
        <f aca="false">IF(A16="","",YEAR(A16)*100+MONTH(A16))</f>
        <v>202510</v>
      </c>
    </row>
    <row r="17" customFormat="false" ht="15" hidden="false" customHeight="false" outlineLevel="0" collapsed="false">
      <c r="A17" s="32" t="n">
        <v>45935</v>
      </c>
      <c r="B17" s="33" t="str">
        <f aca="false">IF(A17="","",TEXT(A17,"yyyy-mm"))</f>
        <v>2025-10</v>
      </c>
      <c r="C17" s="34" t="s">
        <v>103</v>
      </c>
      <c r="D17" s="35" t="n">
        <v>68430</v>
      </c>
      <c r="E17" s="34" t="s">
        <v>92</v>
      </c>
      <c r="F17" s="33" t="str">
        <f aca="false">IF(E17="","",IFERROR(INDEX(카테고리!$B$2:$B$200,MATCH(E17,카테고리!$A$2:$A$200,0)),"미분류"))</f>
        <v>변동비</v>
      </c>
      <c r="G17" s="33" t="str">
        <f aca="false">IF(E17="","",IFERROR(INDEX(카테고리!$C$2:$C$200,MATCH(E17,카테고리!$A$2:$A$200,0)),"N"))</f>
        <v>Y</v>
      </c>
      <c r="H17" s="34" t="s">
        <v>73</v>
      </c>
      <c r="I17" s="34" t="s">
        <v>82</v>
      </c>
      <c r="J17" s="34" t="s">
        <v>75</v>
      </c>
      <c r="K17" s="37"/>
      <c r="L17" s="36" t="n">
        <f aca="false">IF(A17="","",YEAR(A17)*100+MONTH(A17))</f>
        <v>202510</v>
      </c>
    </row>
    <row r="18" customFormat="false" ht="15" hidden="false" customHeight="false" outlineLevel="0" collapsed="false">
      <c r="A18" s="32" t="n">
        <v>45937</v>
      </c>
      <c r="B18" s="33" t="str">
        <f aca="false">IF(A18="","",TEXT(A18,"yyyy-mm"))</f>
        <v>2025-10</v>
      </c>
      <c r="C18" s="34" t="s">
        <v>104</v>
      </c>
      <c r="D18" s="35" t="n">
        <v>17000</v>
      </c>
      <c r="E18" s="34" t="s">
        <v>105</v>
      </c>
      <c r="F18" s="33" t="str">
        <f aca="false">IF(E18="","",IFERROR(INDEX(카테고리!$B$2:$B$200,MATCH(E18,카테고리!$A$2:$A$200,0)),"미분류"))</f>
        <v>고정비</v>
      </c>
      <c r="G18" s="33" t="str">
        <f aca="false">IF(E18="","",IFERROR(INDEX(카테고리!$C$2:$C$200,MATCH(E18,카테고리!$A$2:$A$200,0)),"N"))</f>
        <v>N</v>
      </c>
      <c r="H18" s="34" t="s">
        <v>81</v>
      </c>
      <c r="I18" s="34" t="s">
        <v>82</v>
      </c>
      <c r="J18" s="34" t="s">
        <v>75</v>
      </c>
      <c r="K18" s="37"/>
      <c r="L18" s="36" t="n">
        <f aca="false">IF(A18="","",YEAR(A18)*100+MONTH(A18))</f>
        <v>202510</v>
      </c>
    </row>
    <row r="19" customFormat="false" ht="15" hidden="false" customHeight="false" outlineLevel="0" collapsed="false">
      <c r="A19" s="32" t="n">
        <v>45937</v>
      </c>
      <c r="B19" s="33" t="str">
        <f aca="false">IF(A19="","",TEXT(A19,"yyyy-mm"))</f>
        <v>2025-10</v>
      </c>
      <c r="C19" s="34" t="s">
        <v>106</v>
      </c>
      <c r="D19" s="35" t="n">
        <v>14900</v>
      </c>
      <c r="E19" s="34" t="s">
        <v>105</v>
      </c>
      <c r="F19" s="33" t="str">
        <f aca="false">IF(E19="","",IFERROR(INDEX(카테고리!$B$2:$B$200,MATCH(E19,카테고리!$A$2:$A$200,0)),"미분류"))</f>
        <v>고정비</v>
      </c>
      <c r="G19" s="33" t="str">
        <f aca="false">IF(E19="","",IFERROR(INDEX(카테고리!$C$2:$C$200,MATCH(E19,카테고리!$A$2:$A$200,0)),"N"))</f>
        <v>N</v>
      </c>
      <c r="H19" s="34" t="s">
        <v>78</v>
      </c>
      <c r="I19" s="34" t="s">
        <v>107</v>
      </c>
      <c r="J19" s="34" t="s">
        <v>75</v>
      </c>
      <c r="K19" s="37"/>
      <c r="L19" s="36" t="n">
        <f aca="false">IF(A19="","",YEAR(A19)*100+MONTH(A19))</f>
        <v>202510</v>
      </c>
    </row>
    <row r="20" customFormat="false" ht="15" hidden="false" customHeight="false" outlineLevel="0" collapsed="false">
      <c r="A20" s="32" t="n">
        <v>45937</v>
      </c>
      <c r="B20" s="33" t="str">
        <f aca="false">IF(A20="","",TEXT(A20,"yyyy-mm"))</f>
        <v>2025-10</v>
      </c>
      <c r="C20" s="34" t="s">
        <v>108</v>
      </c>
      <c r="D20" s="35" t="n">
        <v>7890</v>
      </c>
      <c r="E20" s="34" t="s">
        <v>105</v>
      </c>
      <c r="F20" s="33" t="str">
        <f aca="false">IF(E20="","",IFERROR(INDEX(카테고리!$B$2:$B$200,MATCH(E20,카테고리!$A$2:$A$200,0)),"미분류"))</f>
        <v>고정비</v>
      </c>
      <c r="G20" s="33" t="str">
        <f aca="false">IF(E20="","",IFERROR(INDEX(카테고리!$C$2:$C$200,MATCH(E20,카테고리!$A$2:$A$200,0)),"N"))</f>
        <v>N</v>
      </c>
      <c r="H20" s="34" t="s">
        <v>73</v>
      </c>
      <c r="I20" s="34" t="s">
        <v>90</v>
      </c>
      <c r="J20" s="34" t="s">
        <v>75</v>
      </c>
      <c r="K20" s="37"/>
      <c r="L20" s="36" t="n">
        <f aca="false">IF(A20="","",YEAR(A20)*100+MONTH(A20))</f>
        <v>202510</v>
      </c>
    </row>
    <row r="21" customFormat="false" ht="15" hidden="false" customHeight="false" outlineLevel="0" collapsed="false">
      <c r="A21" s="32" t="n">
        <v>45938</v>
      </c>
      <c r="B21" s="33" t="str">
        <f aca="false">IF(A21="","",TEXT(A21,"yyyy-mm"))</f>
        <v>2025-10</v>
      </c>
      <c r="C21" s="34" t="s">
        <v>109</v>
      </c>
      <c r="D21" s="35" t="n">
        <v>89570</v>
      </c>
      <c r="E21" s="34" t="s">
        <v>87</v>
      </c>
      <c r="F21" s="33" t="str">
        <f aca="false">IF(E21="","",IFERROR(INDEX(카테고리!$B$2:$B$200,MATCH(E21,카테고리!$A$2:$A$200,0)),"미분류"))</f>
        <v>변동비</v>
      </c>
      <c r="G21" s="33" t="str">
        <f aca="false">IF(E21="","",IFERROR(INDEX(카테고리!$C$2:$C$200,MATCH(E21,카테고리!$A$2:$A$200,0)),"N"))</f>
        <v>Y</v>
      </c>
      <c r="H21" s="34" t="s">
        <v>81</v>
      </c>
      <c r="I21" s="34" t="s">
        <v>82</v>
      </c>
      <c r="J21" s="34" t="s">
        <v>75</v>
      </c>
      <c r="K21" s="37"/>
      <c r="L21" s="36" t="n">
        <f aca="false">IF(A21="","",YEAR(A21)*100+MONTH(A21))</f>
        <v>202510</v>
      </c>
    </row>
    <row r="22" customFormat="false" ht="15" hidden="false" customHeight="false" outlineLevel="0" collapsed="false">
      <c r="A22" s="32" t="n">
        <v>45939</v>
      </c>
      <c r="B22" s="33" t="str">
        <f aca="false">IF(A22="","",TEXT(A22,"yyyy-mm"))</f>
        <v>2025-10</v>
      </c>
      <c r="C22" s="34" t="s">
        <v>110</v>
      </c>
      <c r="D22" s="35" t="n">
        <v>16430</v>
      </c>
      <c r="E22" s="34" t="s">
        <v>85</v>
      </c>
      <c r="F22" s="33" t="str">
        <f aca="false">IF(E22="","",IFERROR(INDEX(카테고리!$B$2:$B$200,MATCH(E22,카테고리!$A$2:$A$200,0)),"미분류"))</f>
        <v>변동비</v>
      </c>
      <c r="G22" s="33" t="str">
        <f aca="false">IF(E22="","",IFERROR(INDEX(카테고리!$C$2:$C$200,MATCH(E22,카테고리!$A$2:$A$200,0)),"N"))</f>
        <v>Y</v>
      </c>
      <c r="H22" s="34" t="s">
        <v>78</v>
      </c>
      <c r="I22" s="34" t="s">
        <v>107</v>
      </c>
      <c r="J22" s="34" t="s">
        <v>75</v>
      </c>
      <c r="K22" s="37"/>
      <c r="L22" s="36" t="n">
        <f aca="false">IF(A22="","",YEAR(A22)*100+MONTH(A22))</f>
        <v>202510</v>
      </c>
    </row>
    <row r="23" customFormat="false" ht="15" hidden="false" customHeight="false" outlineLevel="0" collapsed="false">
      <c r="A23" s="32" t="n">
        <v>45940</v>
      </c>
      <c r="B23" s="33" t="str">
        <f aca="false">IF(A23="","",TEXT(A23,"yyyy-mm"))</f>
        <v>2025-10</v>
      </c>
      <c r="C23" s="37" t="s">
        <v>111</v>
      </c>
      <c r="D23" s="35" t="n">
        <v>68000</v>
      </c>
      <c r="E23" s="34" t="s">
        <v>112</v>
      </c>
      <c r="F23" s="33" t="str">
        <f aca="false">IF(E23="","",IFERROR(INDEX(카테고리!$B$2:$B$200,MATCH(E23,카테고리!$A$2:$A$200,0)),"미분류"))</f>
        <v>고정비</v>
      </c>
      <c r="G23" s="33" t="str">
        <f aca="false">IF(E23="","",IFERROR(INDEX(카테고리!$C$2:$C$200,MATCH(E23,카테고리!$A$2:$A$200,0)),"N"))</f>
        <v>Y</v>
      </c>
      <c r="H23" s="34" t="s">
        <v>81</v>
      </c>
      <c r="I23" s="34" t="s">
        <v>98</v>
      </c>
      <c r="J23" s="34" t="s">
        <v>75</v>
      </c>
      <c r="K23" s="37"/>
      <c r="L23" s="36" t="n">
        <f aca="false">IF(A23="","",YEAR(A23)*100+MONTH(A23))</f>
        <v>202510</v>
      </c>
    </row>
    <row r="24" customFormat="false" ht="15" hidden="false" customHeight="false" outlineLevel="0" collapsed="false">
      <c r="A24" s="32" t="n">
        <v>45940</v>
      </c>
      <c r="B24" s="33" t="str">
        <f aca="false">IF(A24="","",TEXT(A24,"yyyy-mm"))</f>
        <v>2025-10</v>
      </c>
      <c r="C24" s="34" t="s">
        <v>113</v>
      </c>
      <c r="D24" s="35" t="n">
        <v>172000</v>
      </c>
      <c r="E24" s="34" t="s">
        <v>112</v>
      </c>
      <c r="F24" s="33" t="str">
        <f aca="false">IF(E24="","",IFERROR(INDEX(카테고리!$B$2:$B$200,MATCH(E24,카테고리!$A$2:$A$200,0)),"미분류"))</f>
        <v>고정비</v>
      </c>
      <c r="G24" s="33" t="str">
        <f aca="false">IF(E24="","",IFERROR(INDEX(카테고리!$C$2:$C$200,MATCH(E24,카테고리!$A$2:$A$200,0)),"N"))</f>
        <v>Y</v>
      </c>
      <c r="H24" s="34" t="s">
        <v>78</v>
      </c>
      <c r="I24" s="34" t="s">
        <v>98</v>
      </c>
      <c r="J24" s="34" t="s">
        <v>75</v>
      </c>
      <c r="K24" s="37"/>
      <c r="L24" s="36" t="n">
        <f aca="false">IF(A24="","",YEAR(A24)*100+MONTH(A24))</f>
        <v>202510</v>
      </c>
    </row>
    <row r="25" customFormat="false" ht="15" hidden="false" customHeight="false" outlineLevel="0" collapsed="false">
      <c r="A25" s="32" t="n">
        <v>45940</v>
      </c>
      <c r="B25" s="33" t="str">
        <f aca="false">IF(A25="","",TEXT(A25,"yyyy-mm"))</f>
        <v>2025-10</v>
      </c>
      <c r="C25" s="34" t="s">
        <v>114</v>
      </c>
      <c r="D25" s="35" t="n">
        <v>148000</v>
      </c>
      <c r="E25" s="34" t="s">
        <v>112</v>
      </c>
      <c r="F25" s="33" t="str">
        <f aca="false">IF(E25="","",IFERROR(INDEX(카테고리!$B$2:$B$200,MATCH(E25,카테고리!$A$2:$A$200,0)),"미분류"))</f>
        <v>고정비</v>
      </c>
      <c r="G25" s="33" t="str">
        <f aca="false">IF(E25="","",IFERROR(INDEX(카테고리!$C$2:$C$200,MATCH(E25,카테고리!$A$2:$A$200,0)),"N"))</f>
        <v>Y</v>
      </c>
      <c r="H25" s="34" t="s">
        <v>73</v>
      </c>
      <c r="I25" s="34" t="s">
        <v>98</v>
      </c>
      <c r="J25" s="34" t="s">
        <v>75</v>
      </c>
      <c r="K25" s="37"/>
      <c r="L25" s="36" t="n">
        <f aca="false">IF(A25="","",YEAR(A25)*100+MONTH(A25))</f>
        <v>202510</v>
      </c>
    </row>
    <row r="26" customFormat="false" ht="15" hidden="false" customHeight="false" outlineLevel="0" collapsed="false">
      <c r="A26" s="32" t="n">
        <v>45941</v>
      </c>
      <c r="B26" s="33" t="str">
        <f aca="false">IF(A26="","",TEXT(A26,"yyyy-mm"))</f>
        <v>2025-10</v>
      </c>
      <c r="C26" s="34" t="s">
        <v>88</v>
      </c>
      <c r="D26" s="35" t="n">
        <v>54420</v>
      </c>
      <c r="E26" s="34" t="s">
        <v>89</v>
      </c>
      <c r="F26" s="33" t="str">
        <f aca="false">IF(E26="","",IFERROR(INDEX(카테고리!$B$2:$B$200,MATCH(E26,카테고리!$A$2:$A$200,0)),"미분류"))</f>
        <v>변동비</v>
      </c>
      <c r="G26" s="33" t="str">
        <f aca="false">IF(E26="","",IFERROR(INDEX(카테고리!$C$2:$C$200,MATCH(E26,카테고리!$A$2:$A$200,0)),"N"))</f>
        <v>N</v>
      </c>
      <c r="H26" s="34" t="s">
        <v>81</v>
      </c>
      <c r="I26" s="34" t="s">
        <v>82</v>
      </c>
      <c r="J26" s="34" t="s">
        <v>75</v>
      </c>
      <c r="K26" s="37"/>
      <c r="L26" s="36" t="n">
        <f aca="false">IF(A26="","",YEAR(A26)*100+MONTH(A26))</f>
        <v>202510</v>
      </c>
    </row>
    <row r="27" customFormat="false" ht="15" hidden="false" customHeight="false" outlineLevel="0" collapsed="false">
      <c r="A27" s="32" t="n">
        <v>45942</v>
      </c>
      <c r="B27" s="33" t="str">
        <f aca="false">IF(A27="","",TEXT(A27,"yyyy-mm"))</f>
        <v>2025-10</v>
      </c>
      <c r="C27" s="34" t="s">
        <v>110</v>
      </c>
      <c r="D27" s="35" t="n">
        <v>11660</v>
      </c>
      <c r="E27" s="34" t="s">
        <v>85</v>
      </c>
      <c r="F27" s="33" t="str">
        <f aca="false">IF(E27="","",IFERROR(INDEX(카테고리!$B$2:$B$200,MATCH(E27,카테고리!$A$2:$A$200,0)),"미분류"))</f>
        <v>변동비</v>
      </c>
      <c r="G27" s="33" t="str">
        <f aca="false">IF(E27="","",IFERROR(INDEX(카테고리!$C$2:$C$200,MATCH(E27,카테고리!$A$2:$A$200,0)),"N"))</f>
        <v>Y</v>
      </c>
      <c r="H27" s="34" t="s">
        <v>78</v>
      </c>
      <c r="I27" s="34" t="s">
        <v>107</v>
      </c>
      <c r="J27" s="34" t="s">
        <v>75</v>
      </c>
      <c r="K27" s="37"/>
      <c r="L27" s="36" t="n">
        <f aca="false">IF(A27="","",YEAR(A27)*100+MONTH(A27))</f>
        <v>202510</v>
      </c>
    </row>
    <row r="28" customFormat="false" ht="15" hidden="false" customHeight="false" outlineLevel="0" collapsed="false">
      <c r="A28" s="32" t="n">
        <v>45942</v>
      </c>
      <c r="B28" s="33" t="str">
        <f aca="false">IF(A28="","",TEXT(A28,"yyyy-mm"))</f>
        <v>2025-10</v>
      </c>
      <c r="C28" s="34" t="s">
        <v>110</v>
      </c>
      <c r="D28" s="35" t="n">
        <v>14820</v>
      </c>
      <c r="E28" s="34" t="s">
        <v>85</v>
      </c>
      <c r="F28" s="33" t="str">
        <f aca="false">IF(E28="","",IFERROR(INDEX(카테고리!$B$2:$B$200,MATCH(E28,카테고리!$A$2:$A$200,0)),"미분류"))</f>
        <v>변동비</v>
      </c>
      <c r="G28" s="33" t="str">
        <f aca="false">IF(E28="","",IFERROR(INDEX(카테고리!$C$2:$C$200,MATCH(E28,카테고리!$A$2:$A$200,0)),"N"))</f>
        <v>Y</v>
      </c>
      <c r="H28" s="34" t="s">
        <v>78</v>
      </c>
      <c r="I28" s="34" t="s">
        <v>107</v>
      </c>
      <c r="J28" s="34" t="s">
        <v>75</v>
      </c>
      <c r="K28" s="37"/>
      <c r="L28" s="36" t="n">
        <f aca="false">IF(A28="","",YEAR(A28)*100+MONTH(A28))</f>
        <v>202510</v>
      </c>
    </row>
    <row r="29" customFormat="false" ht="15" hidden="false" customHeight="false" outlineLevel="0" collapsed="false">
      <c r="A29" s="32" t="n">
        <v>45945</v>
      </c>
      <c r="B29" s="33" t="str">
        <f aca="false">IF(A29="","",TEXT(A29,"yyyy-mm"))</f>
        <v>2025-10</v>
      </c>
      <c r="C29" s="34" t="s">
        <v>115</v>
      </c>
      <c r="D29" s="35" t="n">
        <v>25690</v>
      </c>
      <c r="E29" s="34" t="s">
        <v>116</v>
      </c>
      <c r="F29" s="33" t="str">
        <f aca="false">IF(E29="","",IFERROR(INDEX(카테고리!$B$2:$B$200,MATCH(E29,카테고리!$A$2:$A$200,0)),"미분류"))</f>
        <v>변동비</v>
      </c>
      <c r="G29" s="33" t="str">
        <f aca="false">IF(E29="","",IFERROR(INDEX(카테고리!$C$2:$C$200,MATCH(E29,카테고리!$A$2:$A$200,0)),"N"))</f>
        <v>Y</v>
      </c>
      <c r="H29" s="34" t="s">
        <v>81</v>
      </c>
      <c r="I29" s="34" t="s">
        <v>82</v>
      </c>
      <c r="J29" s="34" t="s">
        <v>75</v>
      </c>
      <c r="K29" s="37"/>
      <c r="L29" s="36" t="n">
        <f aca="false">IF(A29="","",YEAR(A29)*100+MONTH(A29))</f>
        <v>202510</v>
      </c>
    </row>
    <row r="30" customFormat="false" ht="15" hidden="false" customHeight="false" outlineLevel="0" collapsed="false">
      <c r="A30" s="32" t="n">
        <v>45945</v>
      </c>
      <c r="B30" s="33" t="str">
        <f aca="false">IF(A30="","",TEXT(A30,"yyyy-mm"))</f>
        <v>2025-10</v>
      </c>
      <c r="C30" s="34" t="s">
        <v>103</v>
      </c>
      <c r="D30" s="35" t="n">
        <v>91460</v>
      </c>
      <c r="E30" s="34" t="s">
        <v>92</v>
      </c>
      <c r="F30" s="33" t="str">
        <f aca="false">IF(E30="","",IFERROR(INDEX(카테고리!$B$2:$B$200,MATCH(E30,카테고리!$A$2:$A$200,0)),"미분류"))</f>
        <v>변동비</v>
      </c>
      <c r="G30" s="33" t="str">
        <f aca="false">IF(E30="","",IFERROR(INDEX(카테고리!$C$2:$C$200,MATCH(E30,카테고리!$A$2:$A$200,0)),"N"))</f>
        <v>Y</v>
      </c>
      <c r="H30" s="34" t="s">
        <v>81</v>
      </c>
      <c r="I30" s="34" t="s">
        <v>82</v>
      </c>
      <c r="J30" s="34" t="s">
        <v>75</v>
      </c>
      <c r="K30" s="37"/>
      <c r="L30" s="36" t="n">
        <f aca="false">IF(A30="","",YEAR(A30)*100+MONTH(A30))</f>
        <v>202510</v>
      </c>
    </row>
    <row r="31" customFormat="false" ht="15" hidden="false" customHeight="false" outlineLevel="0" collapsed="false">
      <c r="A31" s="32" t="n">
        <v>45949</v>
      </c>
      <c r="B31" s="33" t="str">
        <f aca="false">IF(A31="","",TEXT(A31,"yyyy-mm"))</f>
        <v>2025-10</v>
      </c>
      <c r="C31" s="34" t="s">
        <v>86</v>
      </c>
      <c r="D31" s="35" t="n">
        <v>71170</v>
      </c>
      <c r="E31" s="34" t="s">
        <v>87</v>
      </c>
      <c r="F31" s="33" t="str">
        <f aca="false">IF(E31="","",IFERROR(INDEX(카테고리!$B$2:$B$200,MATCH(E31,카테고리!$A$2:$A$200,0)),"미분류"))</f>
        <v>변동비</v>
      </c>
      <c r="G31" s="33" t="str">
        <f aca="false">IF(E31="","",IFERROR(INDEX(카테고리!$C$2:$C$200,MATCH(E31,카테고리!$A$2:$A$200,0)),"N"))</f>
        <v>Y</v>
      </c>
      <c r="H31" s="34" t="s">
        <v>81</v>
      </c>
      <c r="I31" s="34" t="s">
        <v>82</v>
      </c>
      <c r="J31" s="34" t="s">
        <v>75</v>
      </c>
      <c r="K31" s="37"/>
      <c r="L31" s="36" t="n">
        <f aca="false">IF(A31="","",YEAR(A31)*100+MONTH(A31))</f>
        <v>202510</v>
      </c>
    </row>
    <row r="32" customFormat="false" ht="15" hidden="false" customHeight="false" outlineLevel="0" collapsed="false">
      <c r="A32" s="32" t="n">
        <v>45950</v>
      </c>
      <c r="B32" s="33" t="str">
        <f aca="false">IF(A32="","",TEXT(A32,"yyyy-mm"))</f>
        <v>2025-10</v>
      </c>
      <c r="C32" s="34" t="s">
        <v>91</v>
      </c>
      <c r="D32" s="35" t="n">
        <v>58480</v>
      </c>
      <c r="E32" s="34" t="s">
        <v>92</v>
      </c>
      <c r="F32" s="33" t="str">
        <f aca="false">IF(E32="","",IFERROR(INDEX(카테고리!$B$2:$B$200,MATCH(E32,카테고리!$A$2:$A$200,0)),"미분류"))</f>
        <v>변동비</v>
      </c>
      <c r="G32" s="33" t="str">
        <f aca="false">IF(E32="","",IFERROR(INDEX(카테고리!$C$2:$C$200,MATCH(E32,카테고리!$A$2:$A$200,0)),"N"))</f>
        <v>Y</v>
      </c>
      <c r="H32" s="34" t="s">
        <v>73</v>
      </c>
      <c r="I32" s="34" t="s">
        <v>82</v>
      </c>
      <c r="J32" s="34" t="s">
        <v>75</v>
      </c>
      <c r="K32" s="37"/>
      <c r="L32" s="36" t="n">
        <f aca="false">IF(A32="","",YEAR(A32)*100+MONTH(A32))</f>
        <v>202510</v>
      </c>
    </row>
    <row r="33" customFormat="false" ht="15" hidden="false" customHeight="false" outlineLevel="0" collapsed="false">
      <c r="A33" s="32" t="n">
        <v>45950</v>
      </c>
      <c r="B33" s="33" t="str">
        <f aca="false">IF(A33="","",TEXT(A33,"yyyy-mm"))</f>
        <v>2025-10</v>
      </c>
      <c r="C33" s="34" t="s">
        <v>117</v>
      </c>
      <c r="D33" s="35" t="n">
        <v>275950</v>
      </c>
      <c r="E33" s="34" t="s">
        <v>118</v>
      </c>
      <c r="F33" s="33" t="str">
        <f aca="false">IF(E33="","",IFERROR(INDEX(카테고리!$B$2:$B$200,MATCH(E33,카테고리!$A$2:$A$200,0)),"미분류"))</f>
        <v>고정비</v>
      </c>
      <c r="G33" s="33" t="str">
        <f aca="false">IF(E33="","",IFERROR(INDEX(카테고리!$C$2:$C$200,MATCH(E33,카테고리!$A$2:$A$200,0)),"N"))</f>
        <v>Y</v>
      </c>
      <c r="H33" s="34" t="s">
        <v>81</v>
      </c>
      <c r="I33" s="34" t="s">
        <v>98</v>
      </c>
      <c r="J33" s="34" t="s">
        <v>75</v>
      </c>
      <c r="K33" s="37"/>
      <c r="L33" s="36" t="n">
        <f aca="false">IF(A33="","",YEAR(A33)*100+MONTH(A33))</f>
        <v>202510</v>
      </c>
    </row>
    <row r="34" customFormat="false" ht="15" hidden="false" customHeight="false" outlineLevel="0" collapsed="false">
      <c r="A34" s="32" t="n">
        <v>45951</v>
      </c>
      <c r="B34" s="33" t="str">
        <f aca="false">IF(A34="","",TEXT(A34,"yyyy-mm"))</f>
        <v>2025-10</v>
      </c>
      <c r="C34" s="37" t="s">
        <v>119</v>
      </c>
      <c r="D34" s="35" t="n">
        <v>54000</v>
      </c>
      <c r="E34" s="34" t="s">
        <v>120</v>
      </c>
      <c r="F34" s="33" t="str">
        <f aca="false">IF(E34="","",IFERROR(INDEX(카테고리!$B$2:$B$200,MATCH(E34,카테고리!$A$2:$A$200,0)),"미분류"))</f>
        <v>고정비</v>
      </c>
      <c r="G34" s="33" t="str">
        <f aca="false">IF(E34="","",IFERROR(INDEX(카테고리!$C$2:$C$200,MATCH(E34,카테고리!$A$2:$A$200,0)),"N"))</f>
        <v>Y</v>
      </c>
      <c r="H34" s="34" t="s">
        <v>73</v>
      </c>
      <c r="I34" s="34" t="s">
        <v>90</v>
      </c>
      <c r="J34" s="34" t="s">
        <v>75</v>
      </c>
      <c r="K34" s="37"/>
      <c r="L34" s="36" t="n">
        <f aca="false">IF(A34="","",YEAR(A34)*100+MONTH(A34))</f>
        <v>202510</v>
      </c>
    </row>
    <row r="35" customFormat="false" ht="15" hidden="false" customHeight="false" outlineLevel="0" collapsed="false">
      <c r="A35" s="32" t="n">
        <v>45951</v>
      </c>
      <c r="B35" s="33" t="str">
        <f aca="false">IF(A35="","",TEXT(A35,"yyyy-mm"))</f>
        <v>2025-10</v>
      </c>
      <c r="C35" s="37" t="s">
        <v>121</v>
      </c>
      <c r="D35" s="35" t="n">
        <v>68000</v>
      </c>
      <c r="E35" s="34" t="s">
        <v>120</v>
      </c>
      <c r="F35" s="33" t="str">
        <f aca="false">IF(E35="","",IFERROR(INDEX(카테고리!$B$2:$B$200,MATCH(E35,카테고리!$A$2:$A$200,0)),"미분류"))</f>
        <v>고정비</v>
      </c>
      <c r="G35" s="33" t="str">
        <f aca="false">IF(E35="","",IFERROR(INDEX(카테고리!$C$2:$C$200,MATCH(E35,카테고리!$A$2:$A$200,0)),"N"))</f>
        <v>Y</v>
      </c>
      <c r="H35" s="34" t="s">
        <v>78</v>
      </c>
      <c r="I35" s="34" t="s">
        <v>107</v>
      </c>
      <c r="J35" s="34" t="s">
        <v>75</v>
      </c>
      <c r="K35" s="37"/>
      <c r="L35" s="36" t="n">
        <f aca="false">IF(A35="","",YEAR(A35)*100+MONTH(A35))</f>
        <v>202510</v>
      </c>
    </row>
    <row r="36" customFormat="false" ht="15" hidden="false" customHeight="false" outlineLevel="0" collapsed="false">
      <c r="A36" s="32" t="n">
        <v>45951</v>
      </c>
      <c r="B36" s="33" t="str">
        <f aca="false">IF(A36="","",TEXT(A36,"yyyy-mm"))</f>
        <v>2025-10</v>
      </c>
      <c r="C36" s="34" t="s">
        <v>122</v>
      </c>
      <c r="D36" s="35" t="n">
        <v>33000</v>
      </c>
      <c r="E36" s="34" t="s">
        <v>120</v>
      </c>
      <c r="F36" s="33" t="str">
        <f aca="false">IF(E36="","",IFERROR(INDEX(카테고리!$B$2:$B$200,MATCH(E36,카테고리!$A$2:$A$200,0)),"미분류"))</f>
        <v>고정비</v>
      </c>
      <c r="G36" s="33" t="str">
        <f aca="false">IF(E36="","",IFERROR(INDEX(카테고리!$C$2:$C$200,MATCH(E36,카테고리!$A$2:$A$200,0)),"N"))</f>
        <v>Y</v>
      </c>
      <c r="H36" s="34" t="s">
        <v>81</v>
      </c>
      <c r="I36" s="34" t="s">
        <v>98</v>
      </c>
      <c r="J36" s="34" t="s">
        <v>75</v>
      </c>
      <c r="K36" s="37"/>
      <c r="L36" s="36" t="n">
        <f aca="false">IF(A36="","",YEAR(A36)*100+MONTH(A36))</f>
        <v>202510</v>
      </c>
    </row>
    <row r="37" customFormat="false" ht="15" hidden="false" customHeight="false" outlineLevel="0" collapsed="false">
      <c r="A37" s="32" t="n">
        <v>45951</v>
      </c>
      <c r="B37" s="33" t="str">
        <f aca="false">IF(A37="","",TEXT(A37,"yyyy-mm"))</f>
        <v>2025-10</v>
      </c>
      <c r="C37" s="34" t="s">
        <v>110</v>
      </c>
      <c r="D37" s="35" t="n">
        <v>22670</v>
      </c>
      <c r="E37" s="34" t="s">
        <v>85</v>
      </c>
      <c r="F37" s="33" t="str">
        <f aca="false">IF(E37="","",IFERROR(INDEX(카테고리!$B$2:$B$200,MATCH(E37,카테고리!$A$2:$A$200,0)),"미분류"))</f>
        <v>변동비</v>
      </c>
      <c r="G37" s="33" t="str">
        <f aca="false">IF(E37="","",IFERROR(INDEX(카테고리!$C$2:$C$200,MATCH(E37,카테고리!$A$2:$A$200,0)),"N"))</f>
        <v>Y</v>
      </c>
      <c r="H37" s="34" t="s">
        <v>78</v>
      </c>
      <c r="I37" s="34" t="s">
        <v>107</v>
      </c>
      <c r="J37" s="34" t="s">
        <v>75</v>
      </c>
      <c r="K37" s="37"/>
      <c r="L37" s="36" t="n">
        <f aca="false">IF(A37="","",YEAR(A37)*100+MONTH(A37))</f>
        <v>202510</v>
      </c>
    </row>
    <row r="38" customFormat="false" ht="15" hidden="false" customHeight="false" outlineLevel="0" collapsed="false">
      <c r="A38" s="32" t="n">
        <v>45952</v>
      </c>
      <c r="B38" s="33" t="str">
        <f aca="false">IF(A38="","",TEXT(A38,"yyyy-mm"))</f>
        <v>2025-10</v>
      </c>
      <c r="C38" s="34" t="s">
        <v>123</v>
      </c>
      <c r="D38" s="35" t="n">
        <v>32330</v>
      </c>
      <c r="E38" s="34" t="s">
        <v>124</v>
      </c>
      <c r="F38" s="33" t="str">
        <f aca="false">IF(E38="","",IFERROR(INDEX(카테고리!$B$2:$B$200,MATCH(E38,카테고리!$A$2:$A$200,0)),"미분류"))</f>
        <v>변동비</v>
      </c>
      <c r="G38" s="33" t="str">
        <f aca="false">IF(E38="","",IFERROR(INDEX(카테고리!$C$2:$C$200,MATCH(E38,카테고리!$A$2:$A$200,0)),"N"))</f>
        <v>N</v>
      </c>
      <c r="H38" s="34" t="s">
        <v>78</v>
      </c>
      <c r="I38" s="34" t="s">
        <v>107</v>
      </c>
      <c r="J38" s="34" t="s">
        <v>75</v>
      </c>
      <c r="K38" s="37"/>
      <c r="L38" s="36" t="n">
        <f aca="false">IF(A38="","",YEAR(A38)*100+MONTH(A38))</f>
        <v>202510</v>
      </c>
    </row>
    <row r="39" customFormat="false" ht="15" hidden="false" customHeight="false" outlineLevel="0" collapsed="false">
      <c r="A39" s="32" t="n">
        <v>45952</v>
      </c>
      <c r="B39" s="33" t="str">
        <f aca="false">IF(A39="","",TEXT(A39,"yyyy-mm"))</f>
        <v>2025-10</v>
      </c>
      <c r="C39" s="34" t="s">
        <v>125</v>
      </c>
      <c r="D39" s="35" t="n">
        <v>131990</v>
      </c>
      <c r="E39" s="34" t="s">
        <v>126</v>
      </c>
      <c r="F39" s="33" t="str">
        <f aca="false">IF(E39="","",IFERROR(INDEX(카테고리!$B$2:$B$200,MATCH(E39,카테고리!$A$2:$A$200,0)),"미분류"))</f>
        <v>변동비</v>
      </c>
      <c r="G39" s="33" t="str">
        <f aca="false">IF(E39="","",IFERROR(INDEX(카테고리!$C$2:$C$200,MATCH(E39,카테고리!$A$2:$A$200,0)),"N"))</f>
        <v>N</v>
      </c>
      <c r="H39" s="34" t="s">
        <v>78</v>
      </c>
      <c r="I39" s="34" t="s">
        <v>107</v>
      </c>
      <c r="J39" s="34" t="s">
        <v>75</v>
      </c>
      <c r="K39" s="37"/>
      <c r="L39" s="36" t="n">
        <f aca="false">IF(A39="","",YEAR(A39)*100+MONTH(A39))</f>
        <v>202510</v>
      </c>
    </row>
    <row r="40" customFormat="false" ht="15" hidden="false" customHeight="false" outlineLevel="0" collapsed="false">
      <c r="A40" s="32" t="n">
        <v>45953</v>
      </c>
      <c r="B40" s="33" t="str">
        <f aca="false">IF(A40="","",TEXT(A40,"yyyy-mm"))</f>
        <v>2025-10</v>
      </c>
      <c r="C40" s="34" t="s">
        <v>103</v>
      </c>
      <c r="D40" s="35" t="n">
        <v>126430</v>
      </c>
      <c r="E40" s="34" t="s">
        <v>92</v>
      </c>
      <c r="F40" s="33" t="str">
        <f aca="false">IF(E40="","",IFERROR(INDEX(카테고리!$B$2:$B$200,MATCH(E40,카테고리!$A$2:$A$200,0)),"미분류"))</f>
        <v>변동비</v>
      </c>
      <c r="G40" s="33" t="str">
        <f aca="false">IF(E40="","",IFERROR(INDEX(카테고리!$C$2:$C$200,MATCH(E40,카테고리!$A$2:$A$200,0)),"N"))</f>
        <v>Y</v>
      </c>
      <c r="H40" s="34" t="s">
        <v>81</v>
      </c>
      <c r="I40" s="34" t="s">
        <v>82</v>
      </c>
      <c r="J40" s="34" t="s">
        <v>75</v>
      </c>
      <c r="K40" s="37"/>
      <c r="L40" s="36" t="n">
        <f aca="false">IF(A40="","",YEAR(A40)*100+MONTH(A40))</f>
        <v>202510</v>
      </c>
    </row>
    <row r="41" customFormat="false" ht="15" hidden="false" customHeight="false" outlineLevel="0" collapsed="false">
      <c r="A41" s="32" t="n">
        <v>45954</v>
      </c>
      <c r="B41" s="33" t="str">
        <f aca="false">IF(A41="","",TEXT(A41,"yyyy-mm"))</f>
        <v>2025-10</v>
      </c>
      <c r="C41" s="34" t="s">
        <v>127</v>
      </c>
      <c r="D41" s="35" t="n">
        <v>78220</v>
      </c>
      <c r="E41" s="34" t="s">
        <v>89</v>
      </c>
      <c r="F41" s="33" t="str">
        <f aca="false">IF(E41="","",IFERROR(INDEX(카테고리!$B$2:$B$200,MATCH(E41,카테고리!$A$2:$A$200,0)),"미분류"))</f>
        <v>변동비</v>
      </c>
      <c r="G41" s="33" t="str">
        <f aca="false">IF(E41="","",IFERROR(INDEX(카테고리!$C$2:$C$200,MATCH(E41,카테고리!$A$2:$A$200,0)),"N"))</f>
        <v>N</v>
      </c>
      <c r="H41" s="34" t="s">
        <v>73</v>
      </c>
      <c r="I41" s="34" t="s">
        <v>82</v>
      </c>
      <c r="J41" s="34" t="s">
        <v>75</v>
      </c>
      <c r="K41" s="37"/>
      <c r="L41" s="36" t="n">
        <f aca="false">IF(A41="","",YEAR(A41)*100+MONTH(A41))</f>
        <v>202510</v>
      </c>
    </row>
    <row r="42" customFormat="false" ht="15" hidden="false" customHeight="false" outlineLevel="0" collapsed="false">
      <c r="A42" s="32" t="n">
        <v>45954</v>
      </c>
      <c r="B42" s="33" t="str">
        <f aca="false">IF(A42="","",TEXT(A42,"yyyy-mm"))</f>
        <v>2025-10</v>
      </c>
      <c r="C42" s="34" t="s">
        <v>93</v>
      </c>
      <c r="D42" s="35" t="n">
        <v>91050</v>
      </c>
      <c r="E42" s="34" t="s">
        <v>92</v>
      </c>
      <c r="F42" s="33" t="str">
        <f aca="false">IF(E42="","",IFERROR(INDEX(카테고리!$B$2:$B$200,MATCH(E42,카테고리!$A$2:$A$200,0)),"미분류"))</f>
        <v>변동비</v>
      </c>
      <c r="G42" s="33" t="str">
        <f aca="false">IF(E42="","",IFERROR(INDEX(카테고리!$C$2:$C$200,MATCH(E42,카테고리!$A$2:$A$200,0)),"N"))</f>
        <v>Y</v>
      </c>
      <c r="H42" s="34" t="s">
        <v>81</v>
      </c>
      <c r="I42" s="34" t="s">
        <v>82</v>
      </c>
      <c r="J42" s="34" t="s">
        <v>75</v>
      </c>
      <c r="K42" s="37"/>
      <c r="L42" s="36" t="n">
        <f aca="false">IF(A42="","",YEAR(A42)*100+MONTH(A42))</f>
        <v>202510</v>
      </c>
    </row>
    <row r="43" customFormat="false" ht="15" hidden="false" customHeight="false" outlineLevel="0" collapsed="false">
      <c r="A43" s="32" t="n">
        <v>45954</v>
      </c>
      <c r="B43" s="33" t="str">
        <f aca="false">IF(A43="","",TEXT(A43,"yyyy-mm"))</f>
        <v>2025-10</v>
      </c>
      <c r="C43" s="34" t="s">
        <v>128</v>
      </c>
      <c r="D43" s="35" t="n">
        <v>18710</v>
      </c>
      <c r="E43" s="34" t="s">
        <v>116</v>
      </c>
      <c r="F43" s="33" t="str">
        <f aca="false">IF(E43="","",IFERROR(INDEX(카테고리!$B$2:$B$200,MATCH(E43,카테고리!$A$2:$A$200,0)),"미분류"))</f>
        <v>변동비</v>
      </c>
      <c r="G43" s="33" t="str">
        <f aca="false">IF(E43="","",IFERROR(INDEX(카테고리!$C$2:$C$200,MATCH(E43,카테고리!$A$2:$A$200,0)),"N"))</f>
        <v>Y</v>
      </c>
      <c r="H43" s="34" t="s">
        <v>81</v>
      </c>
      <c r="I43" s="34" t="s">
        <v>82</v>
      </c>
      <c r="J43" s="34" t="s">
        <v>75</v>
      </c>
      <c r="K43" s="37"/>
      <c r="L43" s="36" t="n">
        <f aca="false">IF(A43="","",YEAR(A43)*100+MONTH(A43))</f>
        <v>202510</v>
      </c>
    </row>
    <row r="44" customFormat="false" ht="15" hidden="false" customHeight="false" outlineLevel="0" collapsed="false">
      <c r="A44" s="32" t="n">
        <v>45955</v>
      </c>
      <c r="B44" s="33" t="str">
        <f aca="false">IF(A44="","",TEXT(A44,"yyyy-mm"))</f>
        <v>2025-10</v>
      </c>
      <c r="C44" s="34" t="s">
        <v>129</v>
      </c>
      <c r="D44" s="35" t="n">
        <v>3620000</v>
      </c>
      <c r="E44" s="34" t="s">
        <v>130</v>
      </c>
      <c r="F44" s="33" t="str">
        <f aca="false">IF(E44="","",IFERROR(INDEX(카테고리!$B$2:$B$200,MATCH(E44,카테고리!$A$2:$A$200,0)),"미분류"))</f>
        <v>소득</v>
      </c>
      <c r="G44" s="33" t="str">
        <f aca="false">IF(E44="","",IFERROR(INDEX(카테고리!$C$2:$C$200,MATCH(E44,카테고리!$A$2:$A$200,0)),"N"))</f>
        <v>N</v>
      </c>
      <c r="H44" s="34" t="s">
        <v>73</v>
      </c>
      <c r="I44" s="34" t="s">
        <v>131</v>
      </c>
      <c r="J44" s="34" t="s">
        <v>75</v>
      </c>
      <c r="K44" s="37"/>
      <c r="L44" s="36" t="n">
        <f aca="false">IF(A44="","",YEAR(A44)*100+MONTH(A44))</f>
        <v>202510</v>
      </c>
    </row>
    <row r="45" customFormat="false" ht="15" hidden="false" customHeight="false" outlineLevel="0" collapsed="false">
      <c r="A45" s="32" t="n">
        <v>45955</v>
      </c>
      <c r="B45" s="33" t="str">
        <f aca="false">IF(A45="","",TEXT(A45,"yyyy-mm"))</f>
        <v>2025-10</v>
      </c>
      <c r="C45" s="34" t="s">
        <v>132</v>
      </c>
      <c r="D45" s="35" t="n">
        <v>4850000</v>
      </c>
      <c r="E45" s="34" t="s">
        <v>130</v>
      </c>
      <c r="F45" s="33" t="str">
        <f aca="false">IF(E45="","",IFERROR(INDEX(카테고리!$B$2:$B$200,MATCH(E45,카테고리!$A$2:$A$200,0)),"미분류"))</f>
        <v>소득</v>
      </c>
      <c r="G45" s="33" t="str">
        <f aca="false">IF(E45="","",IFERROR(INDEX(카테고리!$C$2:$C$200,MATCH(E45,카테고리!$A$2:$A$200,0)),"N"))</f>
        <v>N</v>
      </c>
      <c r="H45" s="34" t="s">
        <v>78</v>
      </c>
      <c r="I45" s="34" t="s">
        <v>131</v>
      </c>
      <c r="J45" s="34" t="s">
        <v>75</v>
      </c>
      <c r="K45" s="37"/>
      <c r="L45" s="36" t="n">
        <f aca="false">IF(A45="","",YEAR(A45)*100+MONTH(A45))</f>
        <v>202510</v>
      </c>
    </row>
    <row r="46" customFormat="false" ht="15" hidden="false" customHeight="false" outlineLevel="0" collapsed="false">
      <c r="A46" s="32" t="n">
        <v>45956</v>
      </c>
      <c r="B46" s="33" t="str">
        <f aca="false">IF(A46="","",TEXT(A46,"yyyy-mm"))</f>
        <v>2025-10</v>
      </c>
      <c r="C46" s="37" t="s">
        <v>133</v>
      </c>
      <c r="D46" s="35" t="n">
        <v>200000</v>
      </c>
      <c r="E46" s="34" t="s">
        <v>134</v>
      </c>
      <c r="F46" s="33" t="str">
        <f aca="false">IF(E46="","",IFERROR(INDEX(카테고리!$B$2:$B$200,MATCH(E46,카테고리!$A$2:$A$200,0)),"미분류"))</f>
        <v>자본이동</v>
      </c>
      <c r="G46" s="33" t="str">
        <f aca="false">IF(E46="","",IFERROR(INDEX(카테고리!$C$2:$C$200,MATCH(E46,카테고리!$A$2:$A$200,0)),"N"))</f>
        <v>N</v>
      </c>
      <c r="H46" s="34" t="s">
        <v>73</v>
      </c>
      <c r="I46" s="34" t="s">
        <v>98</v>
      </c>
      <c r="J46" s="34" t="s">
        <v>75</v>
      </c>
      <c r="K46" s="37"/>
      <c r="L46" s="36" t="n">
        <f aca="false">IF(A46="","",YEAR(A46)*100+MONTH(A46))</f>
        <v>202510</v>
      </c>
    </row>
    <row r="47" customFormat="false" ht="15" hidden="false" customHeight="false" outlineLevel="0" collapsed="false">
      <c r="A47" s="32" t="n">
        <v>45956</v>
      </c>
      <c r="B47" s="33" t="str">
        <f aca="false">IF(A47="","",TEXT(A47,"yyyy-mm"))</f>
        <v>2025-10</v>
      </c>
      <c r="C47" s="34" t="s">
        <v>135</v>
      </c>
      <c r="D47" s="35" t="n">
        <v>650000</v>
      </c>
      <c r="E47" s="34" t="s">
        <v>136</v>
      </c>
      <c r="F47" s="33" t="str">
        <f aca="false">IF(E47="","",IFERROR(INDEX(카테고리!$B$2:$B$200,MATCH(E47,카테고리!$A$2:$A$200,0)),"미분류"))</f>
        <v>자본이동</v>
      </c>
      <c r="G47" s="33" t="str">
        <f aca="false">IF(E47="","",IFERROR(INDEX(카테고리!$C$2:$C$200,MATCH(E47,카테고리!$A$2:$A$200,0)),"N"))</f>
        <v>N</v>
      </c>
      <c r="H47" s="34" t="s">
        <v>73</v>
      </c>
      <c r="I47" s="34" t="s">
        <v>74</v>
      </c>
      <c r="J47" s="34" t="s">
        <v>75</v>
      </c>
      <c r="K47" s="37"/>
      <c r="L47" s="36" t="n">
        <f aca="false">IF(A47="","",YEAR(A47)*100+MONTH(A47))</f>
        <v>202510</v>
      </c>
    </row>
    <row r="48" customFormat="false" ht="15" hidden="false" customHeight="false" outlineLevel="0" collapsed="false">
      <c r="A48" s="32" t="n">
        <v>45956</v>
      </c>
      <c r="B48" s="33" t="str">
        <f aca="false">IF(A48="","",TEXT(A48,"yyyy-mm"))</f>
        <v>2025-10</v>
      </c>
      <c r="C48" s="34" t="s">
        <v>137</v>
      </c>
      <c r="D48" s="35" t="n">
        <v>300000</v>
      </c>
      <c r="E48" s="34" t="s">
        <v>134</v>
      </c>
      <c r="F48" s="33" t="str">
        <f aca="false">IF(E48="","",IFERROR(INDEX(카테고리!$B$2:$B$200,MATCH(E48,카테고리!$A$2:$A$200,0)),"미분류"))</f>
        <v>자본이동</v>
      </c>
      <c r="G48" s="33" t="str">
        <f aca="false">IF(E48="","",IFERROR(INDEX(카테고리!$C$2:$C$200,MATCH(E48,카테고리!$A$2:$A$200,0)),"N"))</f>
        <v>N</v>
      </c>
      <c r="H48" s="34" t="s">
        <v>78</v>
      </c>
      <c r="I48" s="34" t="s">
        <v>98</v>
      </c>
      <c r="J48" s="34" t="s">
        <v>75</v>
      </c>
      <c r="K48" s="37"/>
      <c r="L48" s="36" t="n">
        <f aca="false">IF(A48="","",YEAR(A48)*100+MONTH(A48))</f>
        <v>202510</v>
      </c>
    </row>
    <row r="49" customFormat="false" ht="15" hidden="false" customHeight="false" outlineLevel="0" collapsed="false">
      <c r="A49" s="32" t="n">
        <v>45956</v>
      </c>
      <c r="B49" s="33" t="str">
        <f aca="false">IF(A49="","",TEXT(A49,"yyyy-mm"))</f>
        <v>2025-10</v>
      </c>
      <c r="C49" s="34" t="s">
        <v>138</v>
      </c>
      <c r="D49" s="35" t="n">
        <v>300000</v>
      </c>
      <c r="E49" s="34" t="s">
        <v>139</v>
      </c>
      <c r="F49" s="33" t="str">
        <f aca="false">IF(E49="","",IFERROR(INDEX(카테고리!$B$2:$B$200,MATCH(E49,카테고리!$A$2:$A$200,0)),"미분류"))</f>
        <v>자본이동</v>
      </c>
      <c r="G49" s="33" t="str">
        <f aca="false">IF(E49="","",IFERROR(INDEX(카테고리!$C$2:$C$200,MATCH(E49,카테고리!$A$2:$A$200,0)),"N"))</f>
        <v>N</v>
      </c>
      <c r="H49" s="34" t="s">
        <v>81</v>
      </c>
      <c r="I49" s="34" t="s">
        <v>98</v>
      </c>
      <c r="J49" s="34" t="s">
        <v>75</v>
      </c>
      <c r="K49" s="37"/>
      <c r="L49" s="36" t="n">
        <f aca="false">IF(A49="","",YEAR(A49)*100+MONTH(A49))</f>
        <v>202510</v>
      </c>
    </row>
    <row r="50" customFormat="false" ht="15" hidden="false" customHeight="false" outlineLevel="0" collapsed="false">
      <c r="A50" s="32" t="n">
        <v>45956</v>
      </c>
      <c r="B50" s="33" t="str">
        <f aca="false">IF(A50="","",TEXT(A50,"yyyy-mm"))</f>
        <v>2025-10</v>
      </c>
      <c r="C50" s="34" t="s">
        <v>140</v>
      </c>
      <c r="D50" s="35" t="n">
        <v>100000</v>
      </c>
      <c r="E50" s="34" t="s">
        <v>139</v>
      </c>
      <c r="F50" s="33" t="str">
        <f aca="false">IF(E50="","",IFERROR(INDEX(카테고리!$B$2:$B$200,MATCH(E50,카테고리!$A$2:$A$200,0)),"미분류"))</f>
        <v>자본이동</v>
      </c>
      <c r="G50" s="33" t="str">
        <f aca="false">IF(E50="","",IFERROR(INDEX(카테고리!$C$2:$C$200,MATCH(E50,카테고리!$A$2:$A$200,0)),"N"))</f>
        <v>N</v>
      </c>
      <c r="H50" s="34" t="s">
        <v>78</v>
      </c>
      <c r="I50" s="34" t="s">
        <v>98</v>
      </c>
      <c r="J50" s="34" t="s">
        <v>75</v>
      </c>
      <c r="K50" s="37"/>
      <c r="L50" s="36" t="n">
        <f aca="false">IF(A50="","",YEAR(A50)*100+MONTH(A50))</f>
        <v>202510</v>
      </c>
    </row>
    <row r="51" customFormat="false" ht="15" hidden="false" customHeight="false" outlineLevel="0" collapsed="false">
      <c r="A51" s="32" t="n">
        <v>45956</v>
      </c>
      <c r="B51" s="33" t="str">
        <f aca="false">IF(A51="","",TEXT(A51,"yyyy-mm"))</f>
        <v>2025-10</v>
      </c>
      <c r="C51" s="34" t="s">
        <v>141</v>
      </c>
      <c r="D51" s="35" t="n">
        <v>850000</v>
      </c>
      <c r="E51" s="34" t="s">
        <v>136</v>
      </c>
      <c r="F51" s="33" t="str">
        <f aca="false">IF(E51="","",IFERROR(INDEX(카테고리!$B$2:$B$200,MATCH(E51,카테고리!$A$2:$A$200,0)),"미분류"))</f>
        <v>자본이동</v>
      </c>
      <c r="G51" s="33" t="str">
        <f aca="false">IF(E51="","",IFERROR(INDEX(카테고리!$C$2:$C$200,MATCH(E51,카테고리!$A$2:$A$200,0)),"N"))</f>
        <v>N</v>
      </c>
      <c r="H51" s="34" t="s">
        <v>78</v>
      </c>
      <c r="I51" s="34" t="s">
        <v>74</v>
      </c>
      <c r="J51" s="34" t="s">
        <v>75</v>
      </c>
      <c r="K51" s="37"/>
      <c r="L51" s="36" t="n">
        <f aca="false">IF(A51="","",YEAR(A51)*100+MONTH(A51))</f>
        <v>202510</v>
      </c>
    </row>
    <row r="52" customFormat="false" ht="15" hidden="false" customHeight="false" outlineLevel="0" collapsed="false">
      <c r="A52" s="32" t="n">
        <v>45956</v>
      </c>
      <c r="B52" s="33" t="str">
        <f aca="false">IF(A52="","",TEXT(A52,"yyyy-mm"))</f>
        <v>2025-10</v>
      </c>
      <c r="C52" s="34" t="s">
        <v>142</v>
      </c>
      <c r="D52" s="35" t="n">
        <v>200000</v>
      </c>
      <c r="E52" s="34" t="s">
        <v>136</v>
      </c>
      <c r="F52" s="33" t="str">
        <f aca="false">IF(E52="","",IFERROR(INDEX(카테고리!$B$2:$B$200,MATCH(E52,카테고리!$A$2:$A$200,0)),"미분류"))</f>
        <v>자본이동</v>
      </c>
      <c r="G52" s="33" t="str">
        <f aca="false">IF(E52="","",IFERROR(INDEX(카테고리!$C$2:$C$200,MATCH(E52,카테고리!$A$2:$A$200,0)),"N"))</f>
        <v>N</v>
      </c>
      <c r="H52" s="34" t="s">
        <v>81</v>
      </c>
      <c r="I52" s="34" t="s">
        <v>74</v>
      </c>
      <c r="J52" s="34" t="s">
        <v>75</v>
      </c>
      <c r="K52" s="37"/>
      <c r="L52" s="36" t="n">
        <f aca="false">IF(A52="","",YEAR(A52)*100+MONTH(A52))</f>
        <v>202510</v>
      </c>
    </row>
    <row r="53" customFormat="false" ht="15" hidden="false" customHeight="false" outlineLevel="0" collapsed="false">
      <c r="A53" s="32" t="n">
        <v>45958</v>
      </c>
      <c r="B53" s="33" t="str">
        <f aca="false">IF(A53="","",TEXT(A53,"yyyy-mm"))</f>
        <v>2025-10</v>
      </c>
      <c r="C53" s="37" t="s">
        <v>84</v>
      </c>
      <c r="D53" s="35" t="n">
        <v>73310</v>
      </c>
      <c r="E53" s="34" t="s">
        <v>85</v>
      </c>
      <c r="F53" s="33" t="str">
        <f aca="false">IF(E53="","",IFERROR(INDEX(카테고리!$B$2:$B$200,MATCH(E53,카테고리!$A$2:$A$200,0)),"미분류"))</f>
        <v>변동비</v>
      </c>
      <c r="G53" s="33" t="str">
        <f aca="false">IF(E53="","",IFERROR(INDEX(카테고리!$C$2:$C$200,MATCH(E53,카테고리!$A$2:$A$200,0)),"N"))</f>
        <v>Y</v>
      </c>
      <c r="H53" s="34" t="s">
        <v>81</v>
      </c>
      <c r="I53" s="34" t="s">
        <v>82</v>
      </c>
      <c r="J53" s="34" t="s">
        <v>75</v>
      </c>
      <c r="K53" s="37"/>
      <c r="L53" s="36" t="n">
        <f aca="false">IF(A53="","",YEAR(A53)*100+MONTH(A53))</f>
        <v>202510</v>
      </c>
    </row>
    <row r="54" customFormat="false" ht="15" hidden="false" customHeight="false" outlineLevel="0" collapsed="false">
      <c r="A54" s="32" t="n">
        <v>45958</v>
      </c>
      <c r="B54" s="33" t="str">
        <f aca="false">IF(A54="","",TEXT(A54,"yyyy-mm"))</f>
        <v>2025-10</v>
      </c>
      <c r="C54" s="34" t="s">
        <v>143</v>
      </c>
      <c r="D54" s="35" t="n">
        <v>14000</v>
      </c>
      <c r="E54" s="34" t="s">
        <v>144</v>
      </c>
      <c r="F54" s="33" t="str">
        <f aca="false">IF(E54="","",IFERROR(INDEX(카테고리!$B$2:$B$200,MATCH(E54,카테고리!$A$2:$A$200,0)),"미분류"))</f>
        <v>소득</v>
      </c>
      <c r="G54" s="33" t="str">
        <f aca="false">IF(E54="","",IFERROR(INDEX(카테고리!$C$2:$C$200,MATCH(E54,카테고리!$A$2:$A$200,0)),"N"))</f>
        <v>N</v>
      </c>
      <c r="H54" s="34" t="s">
        <v>81</v>
      </c>
      <c r="I54" s="34" t="s">
        <v>131</v>
      </c>
      <c r="J54" s="34" t="s">
        <v>75</v>
      </c>
      <c r="K54" s="37"/>
      <c r="L54" s="36" t="n">
        <f aca="false">IF(A54="","",YEAR(A54)*100+MONTH(A54))</f>
        <v>202510</v>
      </c>
    </row>
    <row r="55" customFormat="false" ht="15" hidden="false" customHeight="false" outlineLevel="0" collapsed="false">
      <c r="A55" s="32" t="n">
        <v>45958</v>
      </c>
      <c r="B55" s="33" t="str">
        <f aca="false">IF(A55="","",TEXT(A55,"yyyy-mm"))</f>
        <v>2025-10</v>
      </c>
      <c r="C55" s="34" t="s">
        <v>95</v>
      </c>
      <c r="D55" s="35" t="n">
        <v>63080</v>
      </c>
      <c r="E55" s="34" t="s">
        <v>89</v>
      </c>
      <c r="F55" s="33" t="str">
        <f aca="false">IF(E55="","",IFERROR(INDEX(카테고리!$B$2:$B$200,MATCH(E55,카테고리!$A$2:$A$200,0)),"미분류"))</f>
        <v>변동비</v>
      </c>
      <c r="G55" s="33" t="str">
        <f aca="false">IF(E55="","",IFERROR(INDEX(카테고리!$C$2:$C$200,MATCH(E55,카테고리!$A$2:$A$200,0)),"N"))</f>
        <v>N</v>
      </c>
      <c r="H55" s="34" t="s">
        <v>73</v>
      </c>
      <c r="I55" s="34" t="s">
        <v>107</v>
      </c>
      <c r="J55" s="34" t="s">
        <v>75</v>
      </c>
      <c r="K55" s="37"/>
      <c r="L55" s="36" t="n">
        <f aca="false">IF(A55="","",YEAR(A55)*100+MONTH(A55))</f>
        <v>202510</v>
      </c>
    </row>
    <row r="56" customFormat="false" ht="15" hidden="false" customHeight="false" outlineLevel="0" collapsed="false">
      <c r="A56" s="32" t="n">
        <v>45962</v>
      </c>
      <c r="B56" s="33" t="str">
        <f aca="false">IF(A56="","",TEXT(A56,"yyyy-mm"))</f>
        <v>2025-11</v>
      </c>
      <c r="C56" s="34" t="s">
        <v>71</v>
      </c>
      <c r="D56" s="35" t="n">
        <v>300000</v>
      </c>
      <c r="E56" s="34" t="s">
        <v>72</v>
      </c>
      <c r="F56" s="33" t="str">
        <f aca="false">IF(E56="","",IFERROR(INDEX(카테고리!$B$2:$B$200,MATCH(E56,카테고리!$A$2:$A$200,0)),"미분류"))</f>
        <v>변동비</v>
      </c>
      <c r="G56" s="33" t="str">
        <f aca="false">IF(E56="","",IFERROR(INDEX(카테고리!$C$2:$C$200,MATCH(E56,카테고리!$A$2:$A$200,0)),"N"))</f>
        <v>N</v>
      </c>
      <c r="H56" s="34" t="s">
        <v>73</v>
      </c>
      <c r="I56" s="34" t="s">
        <v>74</v>
      </c>
      <c r="J56" s="34" t="s">
        <v>75</v>
      </c>
      <c r="K56" s="37"/>
      <c r="L56" s="36" t="n">
        <f aca="false">IF(A56="","",YEAR(A56)*100+MONTH(A56))</f>
        <v>202511</v>
      </c>
    </row>
    <row r="57" customFormat="false" ht="15" hidden="false" customHeight="false" outlineLevel="0" collapsed="false">
      <c r="A57" s="32" t="n">
        <v>45962</v>
      </c>
      <c r="B57" s="33" t="str">
        <f aca="false">IF(A57="","",TEXT(A57,"yyyy-mm"))</f>
        <v>2025-11</v>
      </c>
      <c r="C57" s="34" t="s">
        <v>77</v>
      </c>
      <c r="D57" s="35" t="n">
        <v>300000</v>
      </c>
      <c r="E57" s="34" t="s">
        <v>72</v>
      </c>
      <c r="F57" s="33" t="str">
        <f aca="false">IF(E57="","",IFERROR(INDEX(카테고리!$B$2:$B$200,MATCH(E57,카테고리!$A$2:$A$200,0)),"미분류"))</f>
        <v>변동비</v>
      </c>
      <c r="G57" s="33" t="str">
        <f aca="false">IF(E57="","",IFERROR(INDEX(카테고리!$C$2:$C$200,MATCH(E57,카테고리!$A$2:$A$200,0)),"N"))</f>
        <v>N</v>
      </c>
      <c r="H57" s="34" t="s">
        <v>78</v>
      </c>
      <c r="I57" s="34" t="s">
        <v>74</v>
      </c>
      <c r="J57" s="34" t="s">
        <v>75</v>
      </c>
      <c r="K57" s="37"/>
      <c r="L57" s="36" t="n">
        <f aca="false">IF(A57="","",YEAR(A57)*100+MONTH(A57))</f>
        <v>202511</v>
      </c>
    </row>
    <row r="58" customFormat="false" ht="15" hidden="false" customHeight="false" outlineLevel="0" collapsed="false">
      <c r="A58" s="32" t="n">
        <v>45962</v>
      </c>
      <c r="B58" s="33" t="str">
        <f aca="false">IF(A58="","",TEXT(A58,"yyyy-mm"))</f>
        <v>2025-11</v>
      </c>
      <c r="C58" s="34" t="s">
        <v>79</v>
      </c>
      <c r="D58" s="35" t="n">
        <v>140000</v>
      </c>
      <c r="E58" s="34" t="s">
        <v>80</v>
      </c>
      <c r="F58" s="33" t="str">
        <f aca="false">IF(E58="","",IFERROR(INDEX(카테고리!$B$2:$B$200,MATCH(E58,카테고리!$A$2:$A$200,0)),"미분류"))</f>
        <v>고정비</v>
      </c>
      <c r="G58" s="33" t="str">
        <f aca="false">IF(E58="","",IFERROR(INDEX(카테고리!$C$2:$C$200,MATCH(E58,카테고리!$A$2:$A$200,0)),"N"))</f>
        <v>Y</v>
      </c>
      <c r="H58" s="34" t="s">
        <v>81</v>
      </c>
      <c r="I58" s="34" t="s">
        <v>82</v>
      </c>
      <c r="J58" s="34" t="s">
        <v>75</v>
      </c>
      <c r="K58" s="37"/>
      <c r="L58" s="36" t="n">
        <f aca="false">IF(A58="","",YEAR(A58)*100+MONTH(A58))</f>
        <v>202511</v>
      </c>
    </row>
    <row r="59" customFormat="false" ht="15" hidden="false" customHeight="false" outlineLevel="0" collapsed="false">
      <c r="A59" s="32" t="n">
        <v>45962</v>
      </c>
      <c r="B59" s="33" t="str">
        <f aca="false">IF(A59="","",TEXT(A59,"yyyy-mm"))</f>
        <v>2025-11</v>
      </c>
      <c r="C59" s="34" t="s">
        <v>83</v>
      </c>
      <c r="D59" s="35" t="n">
        <v>380000</v>
      </c>
      <c r="E59" s="34" t="s">
        <v>80</v>
      </c>
      <c r="F59" s="33" t="str">
        <f aca="false">IF(E59="","",IFERROR(INDEX(카테고리!$B$2:$B$200,MATCH(E59,카테고리!$A$2:$A$200,0)),"미분류"))</f>
        <v>고정비</v>
      </c>
      <c r="G59" s="33" t="str">
        <f aca="false">IF(E59="","",IFERROR(INDEX(카테고리!$C$2:$C$200,MATCH(E59,카테고리!$A$2:$A$200,0)),"N"))</f>
        <v>Y</v>
      </c>
      <c r="H59" s="34" t="s">
        <v>81</v>
      </c>
      <c r="I59" s="34" t="s">
        <v>82</v>
      </c>
      <c r="J59" s="34" t="s">
        <v>75</v>
      </c>
      <c r="K59" s="37"/>
      <c r="L59" s="36" t="n">
        <f aca="false">IF(A59="","",YEAR(A59)*100+MONTH(A59))</f>
        <v>202511</v>
      </c>
    </row>
    <row r="60" customFormat="false" ht="15" hidden="false" customHeight="false" outlineLevel="0" collapsed="false">
      <c r="A60" s="32" t="n">
        <v>45963</v>
      </c>
      <c r="B60" s="33" t="str">
        <f aca="false">IF(A60="","",TEXT(A60,"yyyy-mm"))</f>
        <v>2025-11</v>
      </c>
      <c r="C60" s="34" t="s">
        <v>110</v>
      </c>
      <c r="D60" s="35" t="n">
        <v>12950</v>
      </c>
      <c r="E60" s="34" t="s">
        <v>85</v>
      </c>
      <c r="F60" s="33" t="str">
        <f aca="false">IF(E60="","",IFERROR(INDEX(카테고리!$B$2:$B$200,MATCH(E60,카테고리!$A$2:$A$200,0)),"미분류"))</f>
        <v>변동비</v>
      </c>
      <c r="G60" s="33" t="str">
        <f aca="false">IF(E60="","",IFERROR(INDEX(카테고리!$C$2:$C$200,MATCH(E60,카테고리!$A$2:$A$200,0)),"N"))</f>
        <v>Y</v>
      </c>
      <c r="H60" s="34" t="s">
        <v>78</v>
      </c>
      <c r="I60" s="34" t="s">
        <v>107</v>
      </c>
      <c r="J60" s="34" t="s">
        <v>75</v>
      </c>
      <c r="K60" s="37"/>
      <c r="L60" s="36" t="n">
        <f aca="false">IF(A60="","",YEAR(A60)*100+MONTH(A60))</f>
        <v>202511</v>
      </c>
    </row>
    <row r="61" customFormat="false" ht="15" hidden="false" customHeight="false" outlineLevel="0" collapsed="false">
      <c r="A61" s="32" t="n">
        <v>45964</v>
      </c>
      <c r="B61" s="33" t="str">
        <f aca="false">IF(A61="","",TEXT(A61,"yyyy-mm"))</f>
        <v>2025-11</v>
      </c>
      <c r="C61" s="34" t="s">
        <v>145</v>
      </c>
      <c r="D61" s="35" t="n">
        <v>68430</v>
      </c>
      <c r="E61" s="34" t="s">
        <v>89</v>
      </c>
      <c r="F61" s="33" t="str">
        <f aca="false">IF(E61="","",IFERROR(INDEX(카테고리!$B$2:$B$200,MATCH(E61,카테고리!$A$2:$A$200,0)),"미분류"))</f>
        <v>변동비</v>
      </c>
      <c r="G61" s="33" t="str">
        <f aca="false">IF(E61="","",IFERROR(INDEX(카테고리!$C$2:$C$200,MATCH(E61,카테고리!$A$2:$A$200,0)),"N"))</f>
        <v>N</v>
      </c>
      <c r="H61" s="34" t="s">
        <v>78</v>
      </c>
      <c r="I61" s="34" t="s">
        <v>90</v>
      </c>
      <c r="J61" s="34" t="s">
        <v>75</v>
      </c>
      <c r="K61" s="37"/>
      <c r="L61" s="36" t="n">
        <f aca="false">IF(A61="","",YEAR(A61)*100+MONTH(A61))</f>
        <v>202511</v>
      </c>
    </row>
    <row r="62" customFormat="false" ht="15" hidden="false" customHeight="false" outlineLevel="0" collapsed="false">
      <c r="A62" s="32" t="n">
        <v>45964</v>
      </c>
      <c r="B62" s="33" t="str">
        <f aca="false">IF(A62="","",TEXT(A62,"yyyy-mm"))</f>
        <v>2025-11</v>
      </c>
      <c r="C62" s="34" t="s">
        <v>94</v>
      </c>
      <c r="D62" s="35" t="n">
        <v>50000</v>
      </c>
      <c r="E62" s="34" t="s">
        <v>85</v>
      </c>
      <c r="F62" s="33" t="str">
        <f aca="false">IF(E62="","",IFERROR(INDEX(카테고리!$B$2:$B$200,MATCH(E62,카테고리!$A$2:$A$200,0)),"미분류"))</f>
        <v>변동비</v>
      </c>
      <c r="G62" s="33" t="str">
        <f aca="false">IF(E62="","",IFERROR(INDEX(카테고리!$C$2:$C$200,MATCH(E62,카테고리!$A$2:$A$200,0)),"N"))</f>
        <v>Y</v>
      </c>
      <c r="H62" s="34" t="s">
        <v>73</v>
      </c>
      <c r="I62" s="34" t="s">
        <v>90</v>
      </c>
      <c r="J62" s="34" t="s">
        <v>75</v>
      </c>
      <c r="K62" s="37"/>
      <c r="L62" s="36" t="n">
        <f aca="false">IF(A62="","",YEAR(A62)*100+MONTH(A62))</f>
        <v>202511</v>
      </c>
    </row>
    <row r="63" customFormat="false" ht="15" hidden="false" customHeight="false" outlineLevel="0" collapsed="false">
      <c r="A63" s="32" t="n">
        <v>45965</v>
      </c>
      <c r="B63" s="33" t="str">
        <f aca="false">IF(A63="","",TEXT(A63,"yyyy-mm"))</f>
        <v>2025-11</v>
      </c>
      <c r="C63" s="34" t="s">
        <v>145</v>
      </c>
      <c r="D63" s="35" t="n">
        <v>57120</v>
      </c>
      <c r="E63" s="34" t="s">
        <v>89</v>
      </c>
      <c r="F63" s="33" t="str">
        <f aca="false">IF(E63="","",IFERROR(INDEX(카테고리!$B$2:$B$200,MATCH(E63,카테고리!$A$2:$A$200,0)),"미분류"))</f>
        <v>변동비</v>
      </c>
      <c r="G63" s="33" t="str">
        <f aca="false">IF(E63="","",IFERROR(INDEX(카테고리!$C$2:$C$200,MATCH(E63,카테고리!$A$2:$A$200,0)),"N"))</f>
        <v>N</v>
      </c>
      <c r="H63" s="34" t="s">
        <v>73</v>
      </c>
      <c r="I63" s="34" t="s">
        <v>90</v>
      </c>
      <c r="J63" s="34" t="s">
        <v>75</v>
      </c>
      <c r="K63" s="37"/>
      <c r="L63" s="36" t="n">
        <f aca="false">IF(A63="","",YEAR(A63)*100+MONTH(A63))</f>
        <v>202511</v>
      </c>
    </row>
    <row r="64" customFormat="false" ht="15" hidden="false" customHeight="false" outlineLevel="0" collapsed="false">
      <c r="A64" s="32" t="n">
        <v>45966</v>
      </c>
      <c r="B64" s="33" t="str">
        <f aca="false">IF(A64="","",TEXT(A64,"yyyy-mm"))</f>
        <v>2025-11</v>
      </c>
      <c r="C64" s="34" t="s">
        <v>146</v>
      </c>
      <c r="D64" s="35" t="n">
        <v>89720</v>
      </c>
      <c r="E64" s="34" t="s">
        <v>92</v>
      </c>
      <c r="F64" s="33" t="str">
        <f aca="false">IF(E64="","",IFERROR(INDEX(카테고리!$B$2:$B$200,MATCH(E64,카테고리!$A$2:$A$200,0)),"미분류"))</f>
        <v>변동비</v>
      </c>
      <c r="G64" s="33" t="str">
        <f aca="false">IF(E64="","",IFERROR(INDEX(카테고리!$C$2:$C$200,MATCH(E64,카테고리!$A$2:$A$200,0)),"N"))</f>
        <v>Y</v>
      </c>
      <c r="H64" s="34" t="s">
        <v>81</v>
      </c>
      <c r="I64" s="34" t="s">
        <v>82</v>
      </c>
      <c r="J64" s="34" t="s">
        <v>75</v>
      </c>
      <c r="K64" s="37"/>
      <c r="L64" s="36" t="n">
        <f aca="false">IF(A64="","",YEAR(A64)*100+MONTH(A64))</f>
        <v>202511</v>
      </c>
    </row>
    <row r="65" customFormat="false" ht="15" hidden="false" customHeight="false" outlineLevel="0" collapsed="false">
      <c r="A65" s="32" t="n">
        <v>45966</v>
      </c>
      <c r="B65" s="33" t="str">
        <f aca="false">IF(A65="","",TEXT(A65,"yyyy-mm"))</f>
        <v>2025-11</v>
      </c>
      <c r="C65" s="34" t="s">
        <v>96</v>
      </c>
      <c r="D65" s="35" t="n">
        <v>300000</v>
      </c>
      <c r="E65" s="34" t="s">
        <v>97</v>
      </c>
      <c r="F65" s="33" t="str">
        <f aca="false">IF(E65="","",IFERROR(INDEX(카테고리!$B$2:$B$200,MATCH(E65,카테고리!$A$2:$A$200,0)),"미분류"))</f>
        <v>자본이동</v>
      </c>
      <c r="G65" s="33" t="str">
        <f aca="false">IF(E65="","",IFERROR(INDEX(카테고리!$C$2:$C$200,MATCH(E65,카테고리!$A$2:$A$200,0)),"N"))</f>
        <v>N</v>
      </c>
      <c r="H65" s="34" t="s">
        <v>78</v>
      </c>
      <c r="I65" s="34" t="s">
        <v>98</v>
      </c>
      <c r="J65" s="34" t="s">
        <v>75</v>
      </c>
      <c r="K65" s="37"/>
      <c r="L65" s="36" t="n">
        <f aca="false">IF(A65="","",YEAR(A65)*100+MONTH(A65))</f>
        <v>202511</v>
      </c>
    </row>
    <row r="66" customFormat="false" ht="15" hidden="false" customHeight="false" outlineLevel="0" collapsed="false">
      <c r="A66" s="32" t="n">
        <v>45966</v>
      </c>
      <c r="B66" s="33" t="str">
        <f aca="false">IF(A66="","",TEXT(A66,"yyyy-mm"))</f>
        <v>2025-11</v>
      </c>
      <c r="C66" s="34" t="s">
        <v>99</v>
      </c>
      <c r="D66" s="35" t="n">
        <v>80700</v>
      </c>
      <c r="E66" s="34" t="s">
        <v>100</v>
      </c>
      <c r="F66" s="33" t="str">
        <f aca="false">IF(E66="","",IFERROR(INDEX(카테고리!$B$2:$B$200,MATCH(E66,카테고리!$A$2:$A$200,0)),"미분류"))</f>
        <v>고정비</v>
      </c>
      <c r="G66" s="33" t="str">
        <f aca="false">IF(E66="","",IFERROR(INDEX(카테고리!$C$2:$C$200,MATCH(E66,카테고리!$A$2:$A$200,0)),"N"))</f>
        <v>Y</v>
      </c>
      <c r="H66" s="34" t="s">
        <v>78</v>
      </c>
      <c r="I66" s="34" t="s">
        <v>98</v>
      </c>
      <c r="J66" s="34" t="s">
        <v>75</v>
      </c>
      <c r="K66" s="37"/>
      <c r="L66" s="36" t="n">
        <f aca="false">IF(A66="","",YEAR(A66)*100+MONTH(A66))</f>
        <v>202511</v>
      </c>
    </row>
    <row r="67" customFormat="false" ht="15" hidden="false" customHeight="false" outlineLevel="0" collapsed="false">
      <c r="A67" s="32" t="n">
        <v>45966</v>
      </c>
      <c r="B67" s="33" t="str">
        <f aca="false">IF(A67="","",TEXT(A67,"yyyy-mm"))</f>
        <v>2025-11</v>
      </c>
      <c r="C67" s="34" t="s">
        <v>93</v>
      </c>
      <c r="D67" s="35" t="n">
        <v>75970</v>
      </c>
      <c r="E67" s="34" t="s">
        <v>92</v>
      </c>
      <c r="F67" s="33" t="str">
        <f aca="false">IF(E67="","",IFERROR(INDEX(카테고리!$B$2:$B$200,MATCH(E67,카테고리!$A$2:$A$200,0)),"미분류"))</f>
        <v>변동비</v>
      </c>
      <c r="G67" s="33" t="str">
        <f aca="false">IF(E67="","",IFERROR(INDEX(카테고리!$C$2:$C$200,MATCH(E67,카테고리!$A$2:$A$200,0)),"N"))</f>
        <v>Y</v>
      </c>
      <c r="H67" s="34" t="s">
        <v>73</v>
      </c>
      <c r="I67" s="34" t="s">
        <v>82</v>
      </c>
      <c r="J67" s="34" t="s">
        <v>75</v>
      </c>
      <c r="K67" s="37"/>
      <c r="L67" s="36" t="n">
        <f aca="false">IF(A67="","",YEAR(A67)*100+MONTH(A67))</f>
        <v>202511</v>
      </c>
    </row>
    <row r="68" customFormat="false" ht="15" hidden="false" customHeight="false" outlineLevel="0" collapsed="false">
      <c r="A68" s="32" t="n">
        <v>45966</v>
      </c>
      <c r="B68" s="33" t="str">
        <f aca="false">IF(A68="","",TEXT(A68,"yyyy-mm"))</f>
        <v>2025-11</v>
      </c>
      <c r="C68" s="34" t="s">
        <v>101</v>
      </c>
      <c r="D68" s="35" t="n">
        <v>600000</v>
      </c>
      <c r="E68" s="34" t="s">
        <v>97</v>
      </c>
      <c r="F68" s="33" t="str">
        <f aca="false">IF(E68="","",IFERROR(INDEX(카테고리!$B$2:$B$200,MATCH(E68,카테고리!$A$2:$A$200,0)),"미분류"))</f>
        <v>자본이동</v>
      </c>
      <c r="G68" s="33" t="str">
        <f aca="false">IF(E68="","",IFERROR(INDEX(카테고리!$C$2:$C$200,MATCH(E68,카테고리!$A$2:$A$200,0)),"N"))</f>
        <v>N</v>
      </c>
      <c r="H68" s="34" t="s">
        <v>81</v>
      </c>
      <c r="I68" s="34" t="s">
        <v>98</v>
      </c>
      <c r="J68" s="34" t="s">
        <v>75</v>
      </c>
      <c r="K68" s="37"/>
      <c r="L68" s="36" t="n">
        <f aca="false">IF(A68="","",YEAR(A68)*100+MONTH(A68))</f>
        <v>202511</v>
      </c>
    </row>
    <row r="69" customFormat="false" ht="15" hidden="false" customHeight="false" outlineLevel="0" collapsed="false">
      <c r="A69" s="32" t="n">
        <v>45966</v>
      </c>
      <c r="B69" s="33" t="str">
        <f aca="false">IF(A69="","",TEXT(A69,"yyyy-mm"))</f>
        <v>2025-11</v>
      </c>
      <c r="C69" s="34" t="s">
        <v>102</v>
      </c>
      <c r="D69" s="35" t="n">
        <v>1003000</v>
      </c>
      <c r="E69" s="34" t="s">
        <v>100</v>
      </c>
      <c r="F69" s="33" t="str">
        <f aca="false">IF(E69="","",IFERROR(INDEX(카테고리!$B$2:$B$200,MATCH(E69,카테고리!$A$2:$A$200,0)),"미분류"))</f>
        <v>고정비</v>
      </c>
      <c r="G69" s="33" t="str">
        <f aca="false">IF(E69="","",IFERROR(INDEX(카테고리!$C$2:$C$200,MATCH(E69,카테고리!$A$2:$A$200,0)),"N"))</f>
        <v>Y</v>
      </c>
      <c r="H69" s="34" t="s">
        <v>81</v>
      </c>
      <c r="I69" s="34" t="s">
        <v>98</v>
      </c>
      <c r="J69" s="34" t="s">
        <v>75</v>
      </c>
      <c r="K69" s="37"/>
      <c r="L69" s="36" t="n">
        <f aca="false">IF(A69="","",YEAR(A69)*100+MONTH(A69))</f>
        <v>202511</v>
      </c>
    </row>
    <row r="70" customFormat="false" ht="15" hidden="false" customHeight="false" outlineLevel="0" collapsed="false">
      <c r="A70" s="32" t="n">
        <v>45966</v>
      </c>
      <c r="B70" s="33" t="str">
        <f aca="false">IF(A70="","",TEXT(A70,"yyyy-mm"))</f>
        <v>2025-11</v>
      </c>
      <c r="C70" s="34" t="s">
        <v>109</v>
      </c>
      <c r="D70" s="35" t="n">
        <v>74970</v>
      </c>
      <c r="E70" s="34" t="s">
        <v>87</v>
      </c>
      <c r="F70" s="33" t="str">
        <f aca="false">IF(E70="","",IFERROR(INDEX(카테고리!$B$2:$B$200,MATCH(E70,카테고리!$A$2:$A$200,0)),"미분류"))</f>
        <v>변동비</v>
      </c>
      <c r="G70" s="33" t="str">
        <f aca="false">IF(E70="","",IFERROR(INDEX(카테고리!$C$2:$C$200,MATCH(E70,카테고리!$A$2:$A$200,0)),"N"))</f>
        <v>Y</v>
      </c>
      <c r="H70" s="34" t="s">
        <v>81</v>
      </c>
      <c r="I70" s="34" t="s">
        <v>82</v>
      </c>
      <c r="J70" s="34" t="s">
        <v>75</v>
      </c>
      <c r="K70" s="37"/>
      <c r="L70" s="36" t="n">
        <f aca="false">IF(A70="","",YEAR(A70)*100+MONTH(A70))</f>
        <v>202511</v>
      </c>
    </row>
    <row r="71" customFormat="false" ht="15" hidden="false" customHeight="false" outlineLevel="0" collapsed="false">
      <c r="A71" s="32" t="n">
        <v>45967</v>
      </c>
      <c r="B71" s="33" t="str">
        <f aca="false">IF(A71="","",TEXT(A71,"yyyy-mm"))</f>
        <v>2025-11</v>
      </c>
      <c r="C71" s="37" t="s">
        <v>84</v>
      </c>
      <c r="D71" s="35" t="n">
        <v>86010</v>
      </c>
      <c r="E71" s="34" t="s">
        <v>85</v>
      </c>
      <c r="F71" s="33" t="str">
        <f aca="false">IF(E71="","",IFERROR(INDEX(카테고리!$B$2:$B$200,MATCH(E71,카테고리!$A$2:$A$200,0)),"미분류"))</f>
        <v>변동비</v>
      </c>
      <c r="G71" s="33" t="str">
        <f aca="false">IF(E71="","",IFERROR(INDEX(카테고리!$C$2:$C$200,MATCH(E71,카테고리!$A$2:$A$200,0)),"N"))</f>
        <v>Y</v>
      </c>
      <c r="H71" s="34" t="s">
        <v>81</v>
      </c>
      <c r="I71" s="34" t="s">
        <v>82</v>
      </c>
      <c r="J71" s="34" t="s">
        <v>75</v>
      </c>
      <c r="K71" s="37"/>
      <c r="L71" s="36" t="n">
        <f aca="false">IF(A71="","",YEAR(A71)*100+MONTH(A71))</f>
        <v>202511</v>
      </c>
    </row>
    <row r="72" customFormat="false" ht="15" hidden="false" customHeight="false" outlineLevel="0" collapsed="false">
      <c r="A72" s="32" t="n">
        <v>45967</v>
      </c>
      <c r="B72" s="33" t="str">
        <f aca="false">IF(A72="","",TEXT(A72,"yyyy-mm"))</f>
        <v>2025-11</v>
      </c>
      <c r="C72" s="34" t="s">
        <v>86</v>
      </c>
      <c r="D72" s="35" t="n">
        <v>64250</v>
      </c>
      <c r="E72" s="34" t="s">
        <v>87</v>
      </c>
      <c r="F72" s="33" t="str">
        <f aca="false">IF(E72="","",IFERROR(INDEX(카테고리!$B$2:$B$200,MATCH(E72,카테고리!$A$2:$A$200,0)),"미분류"))</f>
        <v>변동비</v>
      </c>
      <c r="G72" s="33" t="str">
        <f aca="false">IF(E72="","",IFERROR(INDEX(카테고리!$C$2:$C$200,MATCH(E72,카테고리!$A$2:$A$200,0)),"N"))</f>
        <v>Y</v>
      </c>
      <c r="H72" s="34" t="s">
        <v>81</v>
      </c>
      <c r="I72" s="34" t="s">
        <v>82</v>
      </c>
      <c r="J72" s="34" t="s">
        <v>75</v>
      </c>
      <c r="K72" s="37"/>
      <c r="L72" s="36" t="n">
        <f aca="false">IF(A72="","",YEAR(A72)*100+MONTH(A72))</f>
        <v>202511</v>
      </c>
    </row>
    <row r="73" customFormat="false" ht="15" hidden="false" customHeight="false" outlineLevel="0" collapsed="false">
      <c r="A73" s="32" t="n">
        <v>45968</v>
      </c>
      <c r="B73" s="33" t="str">
        <f aca="false">IF(A73="","",TEXT(A73,"yyyy-mm"))</f>
        <v>2025-11</v>
      </c>
      <c r="C73" s="34" t="s">
        <v>147</v>
      </c>
      <c r="D73" s="35" t="n">
        <v>51360</v>
      </c>
      <c r="E73" s="34" t="s">
        <v>124</v>
      </c>
      <c r="F73" s="33" t="str">
        <f aca="false">IF(E73="","",IFERROR(INDEX(카테고리!$B$2:$B$200,MATCH(E73,카테고리!$A$2:$A$200,0)),"미분류"))</f>
        <v>변동비</v>
      </c>
      <c r="G73" s="33" t="str">
        <f aca="false">IF(E73="","",IFERROR(INDEX(카테고리!$C$2:$C$200,MATCH(E73,카테고리!$A$2:$A$200,0)),"N"))</f>
        <v>N</v>
      </c>
      <c r="H73" s="34" t="s">
        <v>81</v>
      </c>
      <c r="I73" s="34" t="s">
        <v>90</v>
      </c>
      <c r="J73" s="34" t="s">
        <v>75</v>
      </c>
      <c r="K73" s="37"/>
      <c r="L73" s="36" t="n">
        <f aca="false">IF(A73="","",YEAR(A73)*100+MONTH(A73))</f>
        <v>202511</v>
      </c>
    </row>
    <row r="74" customFormat="false" ht="15" hidden="false" customHeight="false" outlineLevel="0" collapsed="false">
      <c r="A74" s="32" t="n">
        <v>45968</v>
      </c>
      <c r="B74" s="33" t="str">
        <f aca="false">IF(A74="","",TEXT(A74,"yyyy-mm"))</f>
        <v>2025-11</v>
      </c>
      <c r="C74" s="34" t="s">
        <v>104</v>
      </c>
      <c r="D74" s="35" t="n">
        <v>17000</v>
      </c>
      <c r="E74" s="34" t="s">
        <v>105</v>
      </c>
      <c r="F74" s="33" t="str">
        <f aca="false">IF(E74="","",IFERROR(INDEX(카테고리!$B$2:$B$200,MATCH(E74,카테고리!$A$2:$A$200,0)),"미분류"))</f>
        <v>고정비</v>
      </c>
      <c r="G74" s="33" t="str">
        <f aca="false">IF(E74="","",IFERROR(INDEX(카테고리!$C$2:$C$200,MATCH(E74,카테고리!$A$2:$A$200,0)),"N"))</f>
        <v>N</v>
      </c>
      <c r="H74" s="34" t="s">
        <v>81</v>
      </c>
      <c r="I74" s="34" t="s">
        <v>82</v>
      </c>
      <c r="J74" s="34" t="s">
        <v>75</v>
      </c>
      <c r="K74" s="37"/>
      <c r="L74" s="36" t="n">
        <f aca="false">IF(A74="","",YEAR(A74)*100+MONTH(A74))</f>
        <v>202511</v>
      </c>
    </row>
    <row r="75" customFormat="false" ht="15" hidden="false" customHeight="false" outlineLevel="0" collapsed="false">
      <c r="A75" s="32" t="n">
        <v>45968</v>
      </c>
      <c r="B75" s="33" t="str">
        <f aca="false">IF(A75="","",TEXT(A75,"yyyy-mm"))</f>
        <v>2025-11</v>
      </c>
      <c r="C75" s="34" t="s">
        <v>106</v>
      </c>
      <c r="D75" s="35" t="n">
        <v>14900</v>
      </c>
      <c r="E75" s="34" t="s">
        <v>105</v>
      </c>
      <c r="F75" s="33" t="str">
        <f aca="false">IF(E75="","",IFERROR(INDEX(카테고리!$B$2:$B$200,MATCH(E75,카테고리!$A$2:$A$200,0)),"미분류"))</f>
        <v>고정비</v>
      </c>
      <c r="G75" s="33" t="str">
        <f aca="false">IF(E75="","",IFERROR(INDEX(카테고리!$C$2:$C$200,MATCH(E75,카테고리!$A$2:$A$200,0)),"N"))</f>
        <v>N</v>
      </c>
      <c r="H75" s="34" t="s">
        <v>78</v>
      </c>
      <c r="I75" s="34" t="s">
        <v>107</v>
      </c>
      <c r="J75" s="34" t="s">
        <v>75</v>
      </c>
      <c r="K75" s="37"/>
      <c r="L75" s="36" t="n">
        <f aca="false">IF(A75="","",YEAR(A75)*100+MONTH(A75))</f>
        <v>202511</v>
      </c>
    </row>
    <row r="76" customFormat="false" ht="15" hidden="false" customHeight="false" outlineLevel="0" collapsed="false">
      <c r="A76" s="32" t="n">
        <v>45968</v>
      </c>
      <c r="B76" s="33" t="str">
        <f aca="false">IF(A76="","",TEXT(A76,"yyyy-mm"))</f>
        <v>2025-11</v>
      </c>
      <c r="C76" s="34" t="s">
        <v>93</v>
      </c>
      <c r="D76" s="35" t="n">
        <v>129340</v>
      </c>
      <c r="E76" s="34" t="s">
        <v>92</v>
      </c>
      <c r="F76" s="33" t="str">
        <f aca="false">IF(E76="","",IFERROR(INDEX(카테고리!$B$2:$B$200,MATCH(E76,카테고리!$A$2:$A$200,0)),"미분류"))</f>
        <v>변동비</v>
      </c>
      <c r="G76" s="33" t="str">
        <f aca="false">IF(E76="","",IFERROR(INDEX(카테고리!$C$2:$C$200,MATCH(E76,카테고리!$A$2:$A$200,0)),"N"))</f>
        <v>Y</v>
      </c>
      <c r="H76" s="34" t="s">
        <v>73</v>
      </c>
      <c r="I76" s="34" t="s">
        <v>82</v>
      </c>
      <c r="J76" s="34" t="s">
        <v>75</v>
      </c>
      <c r="K76" s="37"/>
      <c r="L76" s="36" t="n">
        <f aca="false">IF(A76="","",YEAR(A76)*100+MONTH(A76))</f>
        <v>202511</v>
      </c>
    </row>
    <row r="77" customFormat="false" ht="15" hidden="false" customHeight="false" outlineLevel="0" collapsed="false">
      <c r="A77" s="32" t="n">
        <v>45968</v>
      </c>
      <c r="B77" s="33" t="str">
        <f aca="false">IF(A77="","",TEXT(A77,"yyyy-mm"))</f>
        <v>2025-11</v>
      </c>
      <c r="C77" s="34" t="s">
        <v>148</v>
      </c>
      <c r="D77" s="35" t="n">
        <v>120440</v>
      </c>
      <c r="E77" s="34" t="s">
        <v>92</v>
      </c>
      <c r="F77" s="33" t="str">
        <f aca="false">IF(E77="","",IFERROR(INDEX(카테고리!$B$2:$B$200,MATCH(E77,카테고리!$A$2:$A$200,0)),"미분류"))</f>
        <v>변동비</v>
      </c>
      <c r="G77" s="33" t="str">
        <f aca="false">IF(E77="","",IFERROR(INDEX(카테고리!$C$2:$C$200,MATCH(E77,카테고리!$A$2:$A$200,0)),"N"))</f>
        <v>Y</v>
      </c>
      <c r="H77" s="34" t="s">
        <v>81</v>
      </c>
      <c r="I77" s="34" t="s">
        <v>82</v>
      </c>
      <c r="J77" s="34" t="s">
        <v>75</v>
      </c>
      <c r="K77" s="37"/>
      <c r="L77" s="36" t="n">
        <f aca="false">IF(A77="","",YEAR(A77)*100+MONTH(A77))</f>
        <v>202511</v>
      </c>
    </row>
    <row r="78" customFormat="false" ht="15" hidden="false" customHeight="false" outlineLevel="0" collapsed="false">
      <c r="A78" s="32" t="n">
        <v>45968</v>
      </c>
      <c r="B78" s="33" t="str">
        <f aca="false">IF(A78="","",TEXT(A78,"yyyy-mm"))</f>
        <v>2025-11</v>
      </c>
      <c r="C78" s="34" t="s">
        <v>108</v>
      </c>
      <c r="D78" s="35" t="n">
        <v>7890</v>
      </c>
      <c r="E78" s="34" t="s">
        <v>105</v>
      </c>
      <c r="F78" s="33" t="str">
        <f aca="false">IF(E78="","",IFERROR(INDEX(카테고리!$B$2:$B$200,MATCH(E78,카테고리!$A$2:$A$200,0)),"미분류"))</f>
        <v>고정비</v>
      </c>
      <c r="G78" s="33" t="str">
        <f aca="false">IF(E78="","",IFERROR(INDEX(카테고리!$C$2:$C$200,MATCH(E78,카테고리!$A$2:$A$200,0)),"N"))</f>
        <v>N</v>
      </c>
      <c r="H78" s="34" t="s">
        <v>73</v>
      </c>
      <c r="I78" s="34" t="s">
        <v>90</v>
      </c>
      <c r="J78" s="34" t="s">
        <v>75</v>
      </c>
      <c r="K78" s="37"/>
      <c r="L78" s="36" t="n">
        <f aca="false">IF(A78="","",YEAR(A78)*100+MONTH(A78))</f>
        <v>202511</v>
      </c>
    </row>
    <row r="79" customFormat="false" ht="15" hidden="false" customHeight="false" outlineLevel="0" collapsed="false">
      <c r="A79" s="32" t="n">
        <v>45971</v>
      </c>
      <c r="B79" s="33" t="str">
        <f aca="false">IF(A79="","",TEXT(A79,"yyyy-mm"))</f>
        <v>2025-11</v>
      </c>
      <c r="C79" s="37" t="s">
        <v>111</v>
      </c>
      <c r="D79" s="35" t="n">
        <v>68000</v>
      </c>
      <c r="E79" s="34" t="s">
        <v>112</v>
      </c>
      <c r="F79" s="33" t="str">
        <f aca="false">IF(E79="","",IFERROR(INDEX(카테고리!$B$2:$B$200,MATCH(E79,카테고리!$A$2:$A$200,0)),"미분류"))</f>
        <v>고정비</v>
      </c>
      <c r="G79" s="33" t="str">
        <f aca="false">IF(E79="","",IFERROR(INDEX(카테고리!$C$2:$C$200,MATCH(E79,카테고리!$A$2:$A$200,0)),"N"))</f>
        <v>Y</v>
      </c>
      <c r="H79" s="34" t="s">
        <v>81</v>
      </c>
      <c r="I79" s="34" t="s">
        <v>98</v>
      </c>
      <c r="J79" s="34" t="s">
        <v>75</v>
      </c>
      <c r="K79" s="37"/>
      <c r="L79" s="36" t="n">
        <f aca="false">IF(A79="","",YEAR(A79)*100+MONTH(A79))</f>
        <v>202511</v>
      </c>
    </row>
    <row r="80" customFormat="false" ht="15" hidden="false" customHeight="false" outlineLevel="0" collapsed="false">
      <c r="A80" s="32" t="n">
        <v>45971</v>
      </c>
      <c r="B80" s="33" t="str">
        <f aca="false">IF(A80="","",TEXT(A80,"yyyy-mm"))</f>
        <v>2025-11</v>
      </c>
      <c r="C80" s="34" t="s">
        <v>127</v>
      </c>
      <c r="D80" s="35" t="n">
        <v>74980</v>
      </c>
      <c r="E80" s="34" t="s">
        <v>89</v>
      </c>
      <c r="F80" s="33" t="str">
        <f aca="false">IF(E80="","",IFERROR(INDEX(카테고리!$B$2:$B$200,MATCH(E80,카테고리!$A$2:$A$200,0)),"미분류"))</f>
        <v>변동비</v>
      </c>
      <c r="G80" s="33" t="str">
        <f aca="false">IF(E80="","",IFERROR(INDEX(카테고리!$C$2:$C$200,MATCH(E80,카테고리!$A$2:$A$200,0)),"N"))</f>
        <v>N</v>
      </c>
      <c r="H80" s="34" t="s">
        <v>81</v>
      </c>
      <c r="I80" s="34" t="s">
        <v>107</v>
      </c>
      <c r="J80" s="34" t="s">
        <v>75</v>
      </c>
      <c r="K80" s="37"/>
      <c r="L80" s="36" t="n">
        <f aca="false">IF(A80="","",YEAR(A80)*100+MONTH(A80))</f>
        <v>202511</v>
      </c>
    </row>
    <row r="81" customFormat="false" ht="15" hidden="false" customHeight="false" outlineLevel="0" collapsed="false">
      <c r="A81" s="32" t="n">
        <v>45971</v>
      </c>
      <c r="B81" s="33" t="str">
        <f aca="false">IF(A81="","",TEXT(A81,"yyyy-mm"))</f>
        <v>2025-11</v>
      </c>
      <c r="C81" s="34" t="s">
        <v>113</v>
      </c>
      <c r="D81" s="35" t="n">
        <v>172000</v>
      </c>
      <c r="E81" s="34" t="s">
        <v>112</v>
      </c>
      <c r="F81" s="33" t="str">
        <f aca="false">IF(E81="","",IFERROR(INDEX(카테고리!$B$2:$B$200,MATCH(E81,카테고리!$A$2:$A$200,0)),"미분류"))</f>
        <v>고정비</v>
      </c>
      <c r="G81" s="33" t="str">
        <f aca="false">IF(E81="","",IFERROR(INDEX(카테고리!$C$2:$C$200,MATCH(E81,카테고리!$A$2:$A$200,0)),"N"))</f>
        <v>Y</v>
      </c>
      <c r="H81" s="34" t="s">
        <v>78</v>
      </c>
      <c r="I81" s="34" t="s">
        <v>98</v>
      </c>
      <c r="J81" s="34" t="s">
        <v>75</v>
      </c>
      <c r="K81" s="37"/>
      <c r="L81" s="36" t="n">
        <f aca="false">IF(A81="","",YEAR(A81)*100+MONTH(A81))</f>
        <v>202511</v>
      </c>
    </row>
    <row r="82" customFormat="false" ht="15" hidden="false" customHeight="false" outlineLevel="0" collapsed="false">
      <c r="A82" s="32" t="n">
        <v>45971</v>
      </c>
      <c r="B82" s="33" t="str">
        <f aca="false">IF(A82="","",TEXT(A82,"yyyy-mm"))</f>
        <v>2025-11</v>
      </c>
      <c r="C82" s="34" t="s">
        <v>110</v>
      </c>
      <c r="D82" s="35" t="n">
        <v>12920</v>
      </c>
      <c r="E82" s="34" t="s">
        <v>85</v>
      </c>
      <c r="F82" s="33" t="str">
        <f aca="false">IF(E82="","",IFERROR(INDEX(카테고리!$B$2:$B$200,MATCH(E82,카테고리!$A$2:$A$200,0)),"미분류"))</f>
        <v>변동비</v>
      </c>
      <c r="G82" s="33" t="str">
        <f aca="false">IF(E82="","",IFERROR(INDEX(카테고리!$C$2:$C$200,MATCH(E82,카테고리!$A$2:$A$200,0)),"N"))</f>
        <v>Y</v>
      </c>
      <c r="H82" s="34" t="s">
        <v>78</v>
      </c>
      <c r="I82" s="34" t="s">
        <v>107</v>
      </c>
      <c r="J82" s="34" t="s">
        <v>75</v>
      </c>
      <c r="K82" s="37"/>
      <c r="L82" s="36" t="n">
        <f aca="false">IF(A82="","",YEAR(A82)*100+MONTH(A82))</f>
        <v>202511</v>
      </c>
    </row>
    <row r="83" customFormat="false" ht="15" hidden="false" customHeight="false" outlineLevel="0" collapsed="false">
      <c r="A83" s="32" t="n">
        <v>45971</v>
      </c>
      <c r="B83" s="33" t="str">
        <f aca="false">IF(A83="","",TEXT(A83,"yyyy-mm"))</f>
        <v>2025-11</v>
      </c>
      <c r="C83" s="34" t="s">
        <v>114</v>
      </c>
      <c r="D83" s="35" t="n">
        <v>148000</v>
      </c>
      <c r="E83" s="34" t="s">
        <v>112</v>
      </c>
      <c r="F83" s="33" t="str">
        <f aca="false">IF(E83="","",IFERROR(INDEX(카테고리!$B$2:$B$200,MATCH(E83,카테고리!$A$2:$A$200,0)),"미분류"))</f>
        <v>고정비</v>
      </c>
      <c r="G83" s="33" t="str">
        <f aca="false">IF(E83="","",IFERROR(INDEX(카테고리!$C$2:$C$200,MATCH(E83,카테고리!$A$2:$A$200,0)),"N"))</f>
        <v>Y</v>
      </c>
      <c r="H83" s="34" t="s">
        <v>73</v>
      </c>
      <c r="I83" s="34" t="s">
        <v>98</v>
      </c>
      <c r="J83" s="34" t="s">
        <v>75</v>
      </c>
      <c r="K83" s="37"/>
      <c r="L83" s="36" t="n">
        <f aca="false">IF(A83="","",YEAR(A83)*100+MONTH(A83))</f>
        <v>202511</v>
      </c>
    </row>
    <row r="84" customFormat="false" ht="15" hidden="false" customHeight="false" outlineLevel="0" collapsed="false">
      <c r="A84" s="32" t="n">
        <v>45973</v>
      </c>
      <c r="B84" s="33" t="str">
        <f aca="false">IF(A84="","",TEXT(A84,"yyyy-mm"))</f>
        <v>2025-11</v>
      </c>
      <c r="C84" s="34" t="s">
        <v>146</v>
      </c>
      <c r="D84" s="35" t="n">
        <v>83750</v>
      </c>
      <c r="E84" s="34" t="s">
        <v>92</v>
      </c>
      <c r="F84" s="33" t="str">
        <f aca="false">IF(E84="","",IFERROR(INDEX(카테고리!$B$2:$B$200,MATCH(E84,카테고리!$A$2:$A$200,0)),"미분류"))</f>
        <v>변동비</v>
      </c>
      <c r="G84" s="33" t="str">
        <f aca="false">IF(E84="","",IFERROR(INDEX(카테고리!$C$2:$C$200,MATCH(E84,카테고리!$A$2:$A$200,0)),"N"))</f>
        <v>Y</v>
      </c>
      <c r="H84" s="34" t="s">
        <v>81</v>
      </c>
      <c r="I84" s="34" t="s">
        <v>82</v>
      </c>
      <c r="J84" s="34" t="s">
        <v>75</v>
      </c>
      <c r="K84" s="37"/>
      <c r="L84" s="36" t="n">
        <f aca="false">IF(A84="","",YEAR(A84)*100+MONTH(A84))</f>
        <v>202511</v>
      </c>
    </row>
    <row r="85" customFormat="false" ht="15" hidden="false" customHeight="false" outlineLevel="0" collapsed="false">
      <c r="A85" s="32" t="n">
        <v>45976</v>
      </c>
      <c r="B85" s="33" t="str">
        <f aca="false">IF(A85="","",TEXT(A85,"yyyy-mm"))</f>
        <v>2025-11</v>
      </c>
      <c r="C85" s="37" t="s">
        <v>84</v>
      </c>
      <c r="D85" s="35" t="n">
        <v>73660</v>
      </c>
      <c r="E85" s="34" t="s">
        <v>85</v>
      </c>
      <c r="F85" s="33" t="str">
        <f aca="false">IF(E85="","",IFERROR(INDEX(카테고리!$B$2:$B$200,MATCH(E85,카테고리!$A$2:$A$200,0)),"미분류"))</f>
        <v>변동비</v>
      </c>
      <c r="G85" s="33" t="str">
        <f aca="false">IF(E85="","",IFERROR(INDEX(카테고리!$C$2:$C$200,MATCH(E85,카테고리!$A$2:$A$200,0)),"N"))</f>
        <v>Y</v>
      </c>
      <c r="H85" s="34" t="s">
        <v>81</v>
      </c>
      <c r="I85" s="34" t="s">
        <v>82</v>
      </c>
      <c r="J85" s="34" t="s">
        <v>75</v>
      </c>
      <c r="K85" s="37"/>
      <c r="L85" s="36" t="n">
        <f aca="false">IF(A85="","",YEAR(A85)*100+MONTH(A85))</f>
        <v>202511</v>
      </c>
    </row>
    <row r="86" customFormat="false" ht="15" hidden="false" customHeight="false" outlineLevel="0" collapsed="false">
      <c r="A86" s="32" t="n">
        <v>45977</v>
      </c>
      <c r="B86" s="33" t="str">
        <f aca="false">IF(A86="","",TEXT(A86,"yyyy-mm"))</f>
        <v>2025-11</v>
      </c>
      <c r="C86" s="34" t="s">
        <v>91</v>
      </c>
      <c r="D86" s="35" t="n">
        <v>66920</v>
      </c>
      <c r="E86" s="34" t="s">
        <v>92</v>
      </c>
      <c r="F86" s="33" t="str">
        <f aca="false">IF(E86="","",IFERROR(INDEX(카테고리!$B$2:$B$200,MATCH(E86,카테고리!$A$2:$A$200,0)),"미분류"))</f>
        <v>변동비</v>
      </c>
      <c r="G86" s="33" t="str">
        <f aca="false">IF(E86="","",IFERROR(INDEX(카테고리!$C$2:$C$200,MATCH(E86,카테고리!$A$2:$A$200,0)),"N"))</f>
        <v>Y</v>
      </c>
      <c r="H86" s="34" t="s">
        <v>81</v>
      </c>
      <c r="I86" s="34" t="s">
        <v>82</v>
      </c>
      <c r="J86" s="34" t="s">
        <v>75</v>
      </c>
      <c r="K86" s="37"/>
      <c r="L86" s="36" t="n">
        <f aca="false">IF(A86="","",YEAR(A86)*100+MONTH(A86))</f>
        <v>202511</v>
      </c>
    </row>
    <row r="87" customFormat="false" ht="15" hidden="false" customHeight="false" outlineLevel="0" collapsed="false">
      <c r="A87" s="32" t="n">
        <v>45978</v>
      </c>
      <c r="B87" s="33" t="str">
        <f aca="false">IF(A87="","",TEXT(A87,"yyyy-mm"))</f>
        <v>2025-11</v>
      </c>
      <c r="C87" s="34" t="s">
        <v>88</v>
      </c>
      <c r="D87" s="35" t="n">
        <v>50950</v>
      </c>
      <c r="E87" s="34" t="s">
        <v>89</v>
      </c>
      <c r="F87" s="33" t="str">
        <f aca="false">IF(E87="","",IFERROR(INDEX(카테고리!$B$2:$B$200,MATCH(E87,카테고리!$A$2:$A$200,0)),"미분류"))</f>
        <v>변동비</v>
      </c>
      <c r="G87" s="33" t="str">
        <f aca="false">IF(E87="","",IFERROR(INDEX(카테고리!$C$2:$C$200,MATCH(E87,카테고리!$A$2:$A$200,0)),"N"))</f>
        <v>N</v>
      </c>
      <c r="H87" s="34" t="s">
        <v>73</v>
      </c>
      <c r="I87" s="34" t="s">
        <v>82</v>
      </c>
      <c r="J87" s="34" t="s">
        <v>75</v>
      </c>
      <c r="K87" s="37"/>
      <c r="L87" s="36" t="n">
        <f aca="false">IF(A87="","",YEAR(A87)*100+MONTH(A87))</f>
        <v>202511</v>
      </c>
    </row>
    <row r="88" customFormat="false" ht="15" hidden="false" customHeight="false" outlineLevel="0" collapsed="false">
      <c r="A88" s="32" t="n">
        <v>45979</v>
      </c>
      <c r="B88" s="33" t="str">
        <f aca="false">IF(A88="","",TEXT(A88,"yyyy-mm"))</f>
        <v>2025-11</v>
      </c>
      <c r="C88" s="37" t="s">
        <v>149</v>
      </c>
      <c r="D88" s="35" t="n">
        <v>59740</v>
      </c>
      <c r="E88" s="34" t="s">
        <v>124</v>
      </c>
      <c r="F88" s="33" t="str">
        <f aca="false">IF(E88="","",IFERROR(INDEX(카테고리!$B$2:$B$200,MATCH(E88,카테고리!$A$2:$A$200,0)),"미분류"))</f>
        <v>변동비</v>
      </c>
      <c r="G88" s="33" t="str">
        <f aca="false">IF(E88="","",IFERROR(INDEX(카테고리!$C$2:$C$200,MATCH(E88,카테고리!$A$2:$A$200,0)),"N"))</f>
        <v>N</v>
      </c>
      <c r="H88" s="34" t="s">
        <v>81</v>
      </c>
      <c r="I88" s="34" t="s">
        <v>90</v>
      </c>
      <c r="J88" s="34" t="s">
        <v>75</v>
      </c>
      <c r="K88" s="37"/>
      <c r="L88" s="36" t="n">
        <f aca="false">IF(A88="","",YEAR(A88)*100+MONTH(A88))</f>
        <v>202511</v>
      </c>
    </row>
    <row r="89" customFormat="false" ht="15" hidden="false" customHeight="false" outlineLevel="0" collapsed="false">
      <c r="A89" s="32" t="n">
        <v>45979</v>
      </c>
      <c r="B89" s="33" t="str">
        <f aca="false">IF(A89="","",TEXT(A89,"yyyy-mm"))</f>
        <v>2025-11</v>
      </c>
      <c r="C89" s="34" t="s">
        <v>150</v>
      </c>
      <c r="D89" s="35" t="n">
        <v>300000</v>
      </c>
      <c r="E89" s="34" t="s">
        <v>151</v>
      </c>
      <c r="F89" s="33" t="str">
        <f aca="false">IF(E89="","",IFERROR(INDEX(카테고리!$B$2:$B$200,MATCH(E89,카테고리!$A$2:$A$200,0)),"미분류"))</f>
        <v>소득</v>
      </c>
      <c r="G89" s="33" t="str">
        <f aca="false">IF(E89="","",IFERROR(INDEX(카테고리!$C$2:$C$200,MATCH(E89,카테고리!$A$2:$A$200,0)),"N"))</f>
        <v>N</v>
      </c>
      <c r="H89" s="34" t="s">
        <v>73</v>
      </c>
      <c r="I89" s="34" t="s">
        <v>131</v>
      </c>
      <c r="J89" s="34" t="s">
        <v>75</v>
      </c>
      <c r="K89" s="37"/>
      <c r="L89" s="36" t="n">
        <f aca="false">IF(A89="","",YEAR(A89)*100+MONTH(A89))</f>
        <v>202511</v>
      </c>
    </row>
    <row r="90" customFormat="false" ht="15" hidden="false" customHeight="false" outlineLevel="0" collapsed="false">
      <c r="A90" s="32" t="n">
        <v>45980</v>
      </c>
      <c r="B90" s="33" t="str">
        <f aca="false">IF(A90="","",TEXT(A90,"yyyy-mm"))</f>
        <v>2025-11</v>
      </c>
      <c r="C90" s="34" t="s">
        <v>110</v>
      </c>
      <c r="D90" s="35" t="n">
        <v>10290</v>
      </c>
      <c r="E90" s="34" t="s">
        <v>85</v>
      </c>
      <c r="F90" s="33" t="str">
        <f aca="false">IF(E90="","",IFERROR(INDEX(카테고리!$B$2:$B$200,MATCH(E90,카테고리!$A$2:$A$200,0)),"미분류"))</f>
        <v>변동비</v>
      </c>
      <c r="G90" s="33" t="str">
        <f aca="false">IF(E90="","",IFERROR(INDEX(카테고리!$C$2:$C$200,MATCH(E90,카테고리!$A$2:$A$200,0)),"N"))</f>
        <v>Y</v>
      </c>
      <c r="H90" s="34" t="s">
        <v>78</v>
      </c>
      <c r="I90" s="34" t="s">
        <v>107</v>
      </c>
      <c r="J90" s="34" t="s">
        <v>75</v>
      </c>
      <c r="K90" s="37"/>
      <c r="L90" s="36" t="n">
        <f aca="false">IF(A90="","",YEAR(A90)*100+MONTH(A90))</f>
        <v>202511</v>
      </c>
    </row>
    <row r="91" customFormat="false" ht="15" hidden="false" customHeight="false" outlineLevel="0" collapsed="false">
      <c r="A91" s="32" t="n">
        <v>45981</v>
      </c>
      <c r="B91" s="33" t="str">
        <f aca="false">IF(A91="","",TEXT(A91,"yyyy-mm"))</f>
        <v>2025-11</v>
      </c>
      <c r="C91" s="34" t="s">
        <v>117</v>
      </c>
      <c r="D91" s="35" t="n">
        <v>268140</v>
      </c>
      <c r="E91" s="34" t="s">
        <v>118</v>
      </c>
      <c r="F91" s="33" t="str">
        <f aca="false">IF(E91="","",IFERROR(INDEX(카테고리!$B$2:$B$200,MATCH(E91,카테고리!$A$2:$A$200,0)),"미분류"))</f>
        <v>고정비</v>
      </c>
      <c r="G91" s="33" t="str">
        <f aca="false">IF(E91="","",IFERROR(INDEX(카테고리!$C$2:$C$200,MATCH(E91,카테고리!$A$2:$A$200,0)),"N"))</f>
        <v>Y</v>
      </c>
      <c r="H91" s="34" t="s">
        <v>81</v>
      </c>
      <c r="I91" s="34" t="s">
        <v>98</v>
      </c>
      <c r="J91" s="34" t="s">
        <v>75</v>
      </c>
      <c r="K91" s="37"/>
      <c r="L91" s="36" t="n">
        <f aca="false">IF(A91="","",YEAR(A91)*100+MONTH(A91))</f>
        <v>202511</v>
      </c>
    </row>
    <row r="92" customFormat="false" ht="15" hidden="false" customHeight="false" outlineLevel="0" collapsed="false">
      <c r="A92" s="32" t="n">
        <v>45982</v>
      </c>
      <c r="B92" s="33" t="str">
        <f aca="false">IF(A92="","",TEXT(A92,"yyyy-mm"))</f>
        <v>2025-11</v>
      </c>
      <c r="C92" s="37" t="s">
        <v>119</v>
      </c>
      <c r="D92" s="35" t="n">
        <v>54000</v>
      </c>
      <c r="E92" s="34" t="s">
        <v>120</v>
      </c>
      <c r="F92" s="33" t="str">
        <f aca="false">IF(E92="","",IFERROR(INDEX(카테고리!$B$2:$B$200,MATCH(E92,카테고리!$A$2:$A$200,0)),"미분류"))</f>
        <v>고정비</v>
      </c>
      <c r="G92" s="33" t="str">
        <f aca="false">IF(E92="","",IFERROR(INDEX(카테고리!$C$2:$C$200,MATCH(E92,카테고리!$A$2:$A$200,0)),"N"))</f>
        <v>Y</v>
      </c>
      <c r="H92" s="34" t="s">
        <v>73</v>
      </c>
      <c r="I92" s="34" t="s">
        <v>90</v>
      </c>
      <c r="J92" s="34" t="s">
        <v>75</v>
      </c>
      <c r="K92" s="37"/>
      <c r="L92" s="36" t="n">
        <f aca="false">IF(A92="","",YEAR(A92)*100+MONTH(A92))</f>
        <v>202511</v>
      </c>
    </row>
    <row r="93" customFormat="false" ht="15" hidden="false" customHeight="false" outlineLevel="0" collapsed="false">
      <c r="A93" s="32" t="n">
        <v>45982</v>
      </c>
      <c r="B93" s="33" t="str">
        <f aca="false">IF(A93="","",TEXT(A93,"yyyy-mm"))</f>
        <v>2025-11</v>
      </c>
      <c r="C93" s="37" t="s">
        <v>121</v>
      </c>
      <c r="D93" s="35" t="n">
        <v>68000</v>
      </c>
      <c r="E93" s="34" t="s">
        <v>120</v>
      </c>
      <c r="F93" s="33" t="str">
        <f aca="false">IF(E93="","",IFERROR(INDEX(카테고리!$B$2:$B$200,MATCH(E93,카테고리!$A$2:$A$200,0)),"미분류"))</f>
        <v>고정비</v>
      </c>
      <c r="G93" s="33" t="str">
        <f aca="false">IF(E93="","",IFERROR(INDEX(카테고리!$C$2:$C$200,MATCH(E93,카테고리!$A$2:$A$200,0)),"N"))</f>
        <v>Y</v>
      </c>
      <c r="H93" s="34" t="s">
        <v>78</v>
      </c>
      <c r="I93" s="34" t="s">
        <v>107</v>
      </c>
      <c r="J93" s="34" t="s">
        <v>75</v>
      </c>
      <c r="K93" s="37"/>
      <c r="L93" s="36" t="n">
        <f aca="false">IF(A93="","",YEAR(A93)*100+MONTH(A93))</f>
        <v>202511</v>
      </c>
    </row>
    <row r="94" customFormat="false" ht="15" hidden="false" customHeight="false" outlineLevel="0" collapsed="false">
      <c r="A94" s="32" t="n">
        <v>45982</v>
      </c>
      <c r="B94" s="33" t="str">
        <f aca="false">IF(A94="","",TEXT(A94,"yyyy-mm"))</f>
        <v>2025-11</v>
      </c>
      <c r="C94" s="34" t="s">
        <v>122</v>
      </c>
      <c r="D94" s="35" t="n">
        <v>33000</v>
      </c>
      <c r="E94" s="34" t="s">
        <v>120</v>
      </c>
      <c r="F94" s="33" t="str">
        <f aca="false">IF(E94="","",IFERROR(INDEX(카테고리!$B$2:$B$200,MATCH(E94,카테고리!$A$2:$A$200,0)),"미분류"))</f>
        <v>고정비</v>
      </c>
      <c r="G94" s="33" t="str">
        <f aca="false">IF(E94="","",IFERROR(INDEX(카테고리!$C$2:$C$200,MATCH(E94,카테고리!$A$2:$A$200,0)),"N"))</f>
        <v>Y</v>
      </c>
      <c r="H94" s="34" t="s">
        <v>81</v>
      </c>
      <c r="I94" s="34" t="s">
        <v>98</v>
      </c>
      <c r="J94" s="34" t="s">
        <v>75</v>
      </c>
      <c r="K94" s="37"/>
      <c r="L94" s="36" t="n">
        <f aca="false">IF(A94="","",YEAR(A94)*100+MONTH(A94))</f>
        <v>202511</v>
      </c>
    </row>
    <row r="95" customFormat="false" ht="15" hidden="false" customHeight="false" outlineLevel="0" collapsed="false">
      <c r="A95" s="32" t="n">
        <v>45983</v>
      </c>
      <c r="B95" s="33" t="str">
        <f aca="false">IF(A95="","",TEXT(A95,"yyyy-mm"))</f>
        <v>2025-11</v>
      </c>
      <c r="C95" s="34" t="s">
        <v>127</v>
      </c>
      <c r="D95" s="35" t="n">
        <v>52970</v>
      </c>
      <c r="E95" s="34" t="s">
        <v>89</v>
      </c>
      <c r="F95" s="33" t="str">
        <f aca="false">IF(E95="","",IFERROR(INDEX(카테고리!$B$2:$B$200,MATCH(E95,카테고리!$A$2:$A$200,0)),"미분류"))</f>
        <v>변동비</v>
      </c>
      <c r="G95" s="33" t="str">
        <f aca="false">IF(E95="","",IFERROR(INDEX(카테고리!$C$2:$C$200,MATCH(E95,카테고리!$A$2:$A$200,0)),"N"))</f>
        <v>N</v>
      </c>
      <c r="H95" s="34" t="s">
        <v>73</v>
      </c>
      <c r="I95" s="34" t="s">
        <v>107</v>
      </c>
      <c r="J95" s="34" t="s">
        <v>75</v>
      </c>
      <c r="K95" s="37"/>
      <c r="L95" s="36" t="n">
        <f aca="false">IF(A95="","",YEAR(A95)*100+MONTH(A95))</f>
        <v>202511</v>
      </c>
    </row>
    <row r="96" customFormat="false" ht="15" hidden="false" customHeight="false" outlineLevel="0" collapsed="false">
      <c r="A96" s="32" t="n">
        <v>45983</v>
      </c>
      <c r="B96" s="33" t="str">
        <f aca="false">IF(A96="","",TEXT(A96,"yyyy-mm"))</f>
        <v>2025-11</v>
      </c>
      <c r="C96" s="34" t="s">
        <v>152</v>
      </c>
      <c r="D96" s="35" t="n">
        <v>100000</v>
      </c>
      <c r="E96" s="34" t="s">
        <v>153</v>
      </c>
      <c r="F96" s="33" t="str">
        <f aca="false">IF(E96="","",IFERROR(INDEX(카테고리!$B$2:$B$200,MATCH(E96,카테고리!$A$2:$A$200,0)),"미분류"))</f>
        <v>비정기비</v>
      </c>
      <c r="G96" s="33" t="str">
        <f aca="false">IF(E96="","",IFERROR(INDEX(카테고리!$C$2:$C$200,MATCH(E96,카테고리!$A$2:$A$200,0)),"N"))</f>
        <v>N</v>
      </c>
      <c r="H96" s="34" t="s">
        <v>73</v>
      </c>
      <c r="I96" s="34" t="s">
        <v>74</v>
      </c>
      <c r="J96" s="34" t="s">
        <v>75</v>
      </c>
      <c r="K96" s="37"/>
      <c r="L96" s="36" t="n">
        <f aca="false">IF(A96="","",YEAR(A96)*100+MONTH(A96))</f>
        <v>202511</v>
      </c>
    </row>
    <row r="97" customFormat="false" ht="15" hidden="false" customHeight="false" outlineLevel="0" collapsed="false">
      <c r="A97" s="32" t="n">
        <v>45985</v>
      </c>
      <c r="B97" s="33" t="str">
        <f aca="false">IF(A97="","",TEXT(A97,"yyyy-mm"))</f>
        <v>2025-11</v>
      </c>
      <c r="C97" s="34" t="s">
        <v>127</v>
      </c>
      <c r="D97" s="35" t="n">
        <v>52520</v>
      </c>
      <c r="E97" s="34" t="s">
        <v>89</v>
      </c>
      <c r="F97" s="33" t="str">
        <f aca="false">IF(E97="","",IFERROR(INDEX(카테고리!$B$2:$B$200,MATCH(E97,카테고리!$A$2:$A$200,0)),"미분류"))</f>
        <v>변동비</v>
      </c>
      <c r="G97" s="33" t="str">
        <f aca="false">IF(E97="","",IFERROR(INDEX(카테고리!$C$2:$C$200,MATCH(E97,카테고리!$A$2:$A$200,0)),"N"))</f>
        <v>N</v>
      </c>
      <c r="H97" s="34" t="s">
        <v>73</v>
      </c>
      <c r="I97" s="34" t="s">
        <v>82</v>
      </c>
      <c r="J97" s="34" t="s">
        <v>75</v>
      </c>
      <c r="K97" s="37"/>
      <c r="L97" s="36" t="n">
        <f aca="false">IF(A97="","",YEAR(A97)*100+MONTH(A97))</f>
        <v>202511</v>
      </c>
    </row>
    <row r="98" customFormat="false" ht="15" hidden="false" customHeight="false" outlineLevel="0" collapsed="false">
      <c r="A98" s="32" t="n">
        <v>45985</v>
      </c>
      <c r="B98" s="33" t="str">
        <f aca="false">IF(A98="","",TEXT(A98,"yyyy-mm"))</f>
        <v>2025-11</v>
      </c>
      <c r="C98" s="34" t="s">
        <v>125</v>
      </c>
      <c r="D98" s="35" t="n">
        <v>146960</v>
      </c>
      <c r="E98" s="34" t="s">
        <v>126</v>
      </c>
      <c r="F98" s="33" t="str">
        <f aca="false">IF(E98="","",IFERROR(INDEX(카테고리!$B$2:$B$200,MATCH(E98,카테고리!$A$2:$A$200,0)),"미분류"))</f>
        <v>변동비</v>
      </c>
      <c r="G98" s="33" t="str">
        <f aca="false">IF(E98="","",IFERROR(INDEX(카테고리!$C$2:$C$200,MATCH(E98,카테고리!$A$2:$A$200,0)),"N"))</f>
        <v>N</v>
      </c>
      <c r="H98" s="34" t="s">
        <v>78</v>
      </c>
      <c r="I98" s="34" t="s">
        <v>107</v>
      </c>
      <c r="J98" s="34" t="s">
        <v>75</v>
      </c>
      <c r="K98" s="37"/>
      <c r="L98" s="36" t="n">
        <f aca="false">IF(A98="","",YEAR(A98)*100+MONTH(A98))</f>
        <v>202511</v>
      </c>
    </row>
    <row r="99" customFormat="false" ht="15" hidden="false" customHeight="false" outlineLevel="0" collapsed="false">
      <c r="A99" s="32" t="n">
        <v>45985</v>
      </c>
      <c r="B99" s="33" t="str">
        <f aca="false">IF(A99="","",TEXT(A99,"yyyy-mm"))</f>
        <v>2025-11</v>
      </c>
      <c r="C99" s="34" t="s">
        <v>148</v>
      </c>
      <c r="D99" s="35" t="n">
        <v>111160</v>
      </c>
      <c r="E99" s="34" t="s">
        <v>92</v>
      </c>
      <c r="F99" s="33" t="str">
        <f aca="false">IF(E99="","",IFERROR(INDEX(카테고리!$B$2:$B$200,MATCH(E99,카테고리!$A$2:$A$200,0)),"미분류"))</f>
        <v>변동비</v>
      </c>
      <c r="G99" s="33" t="str">
        <f aca="false">IF(E99="","",IFERROR(INDEX(카테고리!$C$2:$C$200,MATCH(E99,카테고리!$A$2:$A$200,0)),"N"))</f>
        <v>Y</v>
      </c>
      <c r="H99" s="34" t="s">
        <v>73</v>
      </c>
      <c r="I99" s="34" t="s">
        <v>82</v>
      </c>
      <c r="J99" s="34" t="s">
        <v>75</v>
      </c>
      <c r="K99" s="37"/>
      <c r="L99" s="36" t="n">
        <f aca="false">IF(A99="","",YEAR(A99)*100+MONTH(A99))</f>
        <v>202511</v>
      </c>
    </row>
    <row r="100" customFormat="false" ht="15" hidden="false" customHeight="false" outlineLevel="0" collapsed="false">
      <c r="A100" s="32" t="n">
        <v>45985</v>
      </c>
      <c r="B100" s="33" t="str">
        <f aca="false">IF(A100="","",TEXT(A100,"yyyy-mm"))</f>
        <v>2025-11</v>
      </c>
      <c r="C100" s="34" t="s">
        <v>103</v>
      </c>
      <c r="D100" s="35" t="n">
        <v>128580</v>
      </c>
      <c r="E100" s="34" t="s">
        <v>92</v>
      </c>
      <c r="F100" s="33" t="str">
        <f aca="false">IF(E100="","",IFERROR(INDEX(카테고리!$B$2:$B$200,MATCH(E100,카테고리!$A$2:$A$200,0)),"미분류"))</f>
        <v>변동비</v>
      </c>
      <c r="G100" s="33" t="str">
        <f aca="false">IF(E100="","",IFERROR(INDEX(카테고리!$C$2:$C$200,MATCH(E100,카테고리!$A$2:$A$200,0)),"N"))</f>
        <v>Y</v>
      </c>
      <c r="H100" s="34" t="s">
        <v>73</v>
      </c>
      <c r="I100" s="34" t="s">
        <v>82</v>
      </c>
      <c r="J100" s="34" t="s">
        <v>75</v>
      </c>
      <c r="K100" s="37"/>
      <c r="L100" s="36" t="n">
        <f aca="false">IF(A100="","",YEAR(A100)*100+MONTH(A100))</f>
        <v>202511</v>
      </c>
    </row>
    <row r="101" customFormat="false" ht="15" hidden="false" customHeight="false" outlineLevel="0" collapsed="false">
      <c r="A101" s="32" t="n">
        <v>45986</v>
      </c>
      <c r="B101" s="33" t="str">
        <f aca="false">IF(A101="","",TEXT(A101,"yyyy-mm"))</f>
        <v>2025-11</v>
      </c>
      <c r="C101" s="34" t="s">
        <v>129</v>
      </c>
      <c r="D101" s="35" t="n">
        <v>3620000</v>
      </c>
      <c r="E101" s="34" t="s">
        <v>130</v>
      </c>
      <c r="F101" s="33" t="str">
        <f aca="false">IF(E101="","",IFERROR(INDEX(카테고리!$B$2:$B$200,MATCH(E101,카테고리!$A$2:$A$200,0)),"미분류"))</f>
        <v>소득</v>
      </c>
      <c r="G101" s="33" t="str">
        <f aca="false">IF(E101="","",IFERROR(INDEX(카테고리!$C$2:$C$200,MATCH(E101,카테고리!$A$2:$A$200,0)),"N"))</f>
        <v>N</v>
      </c>
      <c r="H101" s="34" t="s">
        <v>73</v>
      </c>
      <c r="I101" s="34" t="s">
        <v>131</v>
      </c>
      <c r="J101" s="34" t="s">
        <v>75</v>
      </c>
      <c r="K101" s="37"/>
      <c r="L101" s="36" t="n">
        <f aca="false">IF(A101="","",YEAR(A101)*100+MONTH(A101))</f>
        <v>202511</v>
      </c>
    </row>
    <row r="102" customFormat="false" ht="15" hidden="false" customHeight="false" outlineLevel="0" collapsed="false">
      <c r="A102" s="32" t="n">
        <v>45986</v>
      </c>
      <c r="B102" s="33" t="str">
        <f aca="false">IF(A102="","",TEXT(A102,"yyyy-mm"))</f>
        <v>2025-11</v>
      </c>
      <c r="C102" s="34" t="s">
        <v>132</v>
      </c>
      <c r="D102" s="35" t="n">
        <v>4850000</v>
      </c>
      <c r="E102" s="34" t="s">
        <v>130</v>
      </c>
      <c r="F102" s="33" t="str">
        <f aca="false">IF(E102="","",IFERROR(INDEX(카테고리!$B$2:$B$200,MATCH(E102,카테고리!$A$2:$A$200,0)),"미분류"))</f>
        <v>소득</v>
      </c>
      <c r="G102" s="33" t="str">
        <f aca="false">IF(E102="","",IFERROR(INDEX(카테고리!$C$2:$C$200,MATCH(E102,카테고리!$A$2:$A$200,0)),"N"))</f>
        <v>N</v>
      </c>
      <c r="H102" s="34" t="s">
        <v>78</v>
      </c>
      <c r="I102" s="34" t="s">
        <v>131</v>
      </c>
      <c r="J102" s="34" t="s">
        <v>75</v>
      </c>
      <c r="K102" s="37"/>
      <c r="L102" s="36" t="n">
        <f aca="false">IF(A102="","",YEAR(A102)*100+MONTH(A102))</f>
        <v>202511</v>
      </c>
    </row>
    <row r="103" customFormat="false" ht="15" hidden="false" customHeight="false" outlineLevel="0" collapsed="false">
      <c r="A103" s="32" t="n">
        <v>45987</v>
      </c>
      <c r="B103" s="33" t="str">
        <f aca="false">IF(A103="","",TEXT(A103,"yyyy-mm"))</f>
        <v>2025-11</v>
      </c>
      <c r="C103" s="37" t="s">
        <v>133</v>
      </c>
      <c r="D103" s="35" t="n">
        <v>200000</v>
      </c>
      <c r="E103" s="34" t="s">
        <v>134</v>
      </c>
      <c r="F103" s="33" t="str">
        <f aca="false">IF(E103="","",IFERROR(INDEX(카테고리!$B$2:$B$200,MATCH(E103,카테고리!$A$2:$A$200,0)),"미분류"))</f>
        <v>자본이동</v>
      </c>
      <c r="G103" s="33" t="str">
        <f aca="false">IF(E103="","",IFERROR(INDEX(카테고리!$C$2:$C$200,MATCH(E103,카테고리!$A$2:$A$200,0)),"N"))</f>
        <v>N</v>
      </c>
      <c r="H103" s="34" t="s">
        <v>73</v>
      </c>
      <c r="I103" s="34" t="s">
        <v>98</v>
      </c>
      <c r="J103" s="34" t="s">
        <v>75</v>
      </c>
      <c r="K103" s="37"/>
      <c r="L103" s="36" t="n">
        <f aca="false">IF(A103="","",YEAR(A103)*100+MONTH(A103))</f>
        <v>202511</v>
      </c>
    </row>
    <row r="104" customFormat="false" ht="15" hidden="false" customHeight="false" outlineLevel="0" collapsed="false">
      <c r="A104" s="32" t="n">
        <v>45987</v>
      </c>
      <c r="B104" s="33" t="str">
        <f aca="false">IF(A104="","",TEXT(A104,"yyyy-mm"))</f>
        <v>2025-11</v>
      </c>
      <c r="C104" s="34" t="s">
        <v>135</v>
      </c>
      <c r="D104" s="35" t="n">
        <v>650000</v>
      </c>
      <c r="E104" s="34" t="s">
        <v>136</v>
      </c>
      <c r="F104" s="33" t="str">
        <f aca="false">IF(E104="","",IFERROR(INDEX(카테고리!$B$2:$B$200,MATCH(E104,카테고리!$A$2:$A$200,0)),"미분류"))</f>
        <v>자본이동</v>
      </c>
      <c r="G104" s="33" t="str">
        <f aca="false">IF(E104="","",IFERROR(INDEX(카테고리!$C$2:$C$200,MATCH(E104,카테고리!$A$2:$A$200,0)),"N"))</f>
        <v>N</v>
      </c>
      <c r="H104" s="34" t="s">
        <v>73</v>
      </c>
      <c r="I104" s="34" t="s">
        <v>74</v>
      </c>
      <c r="J104" s="34" t="s">
        <v>75</v>
      </c>
      <c r="K104" s="37"/>
      <c r="L104" s="36" t="n">
        <f aca="false">IF(A104="","",YEAR(A104)*100+MONTH(A104))</f>
        <v>202511</v>
      </c>
    </row>
    <row r="105" customFormat="false" ht="15" hidden="false" customHeight="false" outlineLevel="0" collapsed="false">
      <c r="A105" s="32" t="n">
        <v>45987</v>
      </c>
      <c r="B105" s="33" t="str">
        <f aca="false">IF(A105="","",TEXT(A105,"yyyy-mm"))</f>
        <v>2025-11</v>
      </c>
      <c r="C105" s="34" t="s">
        <v>137</v>
      </c>
      <c r="D105" s="35" t="n">
        <v>300000</v>
      </c>
      <c r="E105" s="34" t="s">
        <v>134</v>
      </c>
      <c r="F105" s="33" t="str">
        <f aca="false">IF(E105="","",IFERROR(INDEX(카테고리!$B$2:$B$200,MATCH(E105,카테고리!$A$2:$A$200,0)),"미분류"))</f>
        <v>자본이동</v>
      </c>
      <c r="G105" s="33" t="str">
        <f aca="false">IF(E105="","",IFERROR(INDEX(카테고리!$C$2:$C$200,MATCH(E105,카테고리!$A$2:$A$200,0)),"N"))</f>
        <v>N</v>
      </c>
      <c r="H105" s="34" t="s">
        <v>78</v>
      </c>
      <c r="I105" s="34" t="s">
        <v>98</v>
      </c>
      <c r="J105" s="34" t="s">
        <v>75</v>
      </c>
      <c r="K105" s="37"/>
      <c r="L105" s="36" t="n">
        <f aca="false">IF(A105="","",YEAR(A105)*100+MONTH(A105))</f>
        <v>202511</v>
      </c>
    </row>
    <row r="106" customFormat="false" ht="15" hidden="false" customHeight="false" outlineLevel="0" collapsed="false">
      <c r="A106" s="32" t="n">
        <v>45987</v>
      </c>
      <c r="B106" s="33" t="str">
        <f aca="false">IF(A106="","",TEXT(A106,"yyyy-mm"))</f>
        <v>2025-11</v>
      </c>
      <c r="C106" s="34" t="s">
        <v>138</v>
      </c>
      <c r="D106" s="35" t="n">
        <v>300000</v>
      </c>
      <c r="E106" s="34" t="s">
        <v>139</v>
      </c>
      <c r="F106" s="33" t="str">
        <f aca="false">IF(E106="","",IFERROR(INDEX(카테고리!$B$2:$B$200,MATCH(E106,카테고리!$A$2:$A$200,0)),"미분류"))</f>
        <v>자본이동</v>
      </c>
      <c r="G106" s="33" t="str">
        <f aca="false">IF(E106="","",IFERROR(INDEX(카테고리!$C$2:$C$200,MATCH(E106,카테고리!$A$2:$A$200,0)),"N"))</f>
        <v>N</v>
      </c>
      <c r="H106" s="34" t="s">
        <v>81</v>
      </c>
      <c r="I106" s="34" t="s">
        <v>98</v>
      </c>
      <c r="J106" s="34" t="s">
        <v>75</v>
      </c>
      <c r="K106" s="37"/>
      <c r="L106" s="36" t="n">
        <f aca="false">IF(A106="","",YEAR(A106)*100+MONTH(A106))</f>
        <v>202511</v>
      </c>
    </row>
    <row r="107" customFormat="false" ht="15" hidden="false" customHeight="false" outlineLevel="0" collapsed="false">
      <c r="A107" s="32" t="n">
        <v>45987</v>
      </c>
      <c r="B107" s="33" t="str">
        <f aca="false">IF(A107="","",TEXT(A107,"yyyy-mm"))</f>
        <v>2025-11</v>
      </c>
      <c r="C107" s="34" t="s">
        <v>140</v>
      </c>
      <c r="D107" s="35" t="n">
        <v>100000</v>
      </c>
      <c r="E107" s="34" t="s">
        <v>139</v>
      </c>
      <c r="F107" s="33" t="str">
        <f aca="false">IF(E107="","",IFERROR(INDEX(카테고리!$B$2:$B$200,MATCH(E107,카테고리!$A$2:$A$200,0)),"미분류"))</f>
        <v>자본이동</v>
      </c>
      <c r="G107" s="33" t="str">
        <f aca="false">IF(E107="","",IFERROR(INDEX(카테고리!$C$2:$C$200,MATCH(E107,카테고리!$A$2:$A$200,0)),"N"))</f>
        <v>N</v>
      </c>
      <c r="H107" s="34" t="s">
        <v>78</v>
      </c>
      <c r="I107" s="34" t="s">
        <v>98</v>
      </c>
      <c r="J107" s="34" t="s">
        <v>75</v>
      </c>
      <c r="K107" s="37"/>
      <c r="L107" s="36" t="n">
        <f aca="false">IF(A107="","",YEAR(A107)*100+MONTH(A107))</f>
        <v>202511</v>
      </c>
    </row>
    <row r="108" customFormat="false" ht="15" hidden="false" customHeight="false" outlineLevel="0" collapsed="false">
      <c r="A108" s="32" t="n">
        <v>45987</v>
      </c>
      <c r="B108" s="33" t="str">
        <f aca="false">IF(A108="","",TEXT(A108,"yyyy-mm"))</f>
        <v>2025-11</v>
      </c>
      <c r="C108" s="34" t="s">
        <v>141</v>
      </c>
      <c r="D108" s="35" t="n">
        <v>850000</v>
      </c>
      <c r="E108" s="34" t="s">
        <v>136</v>
      </c>
      <c r="F108" s="33" t="str">
        <f aca="false">IF(E108="","",IFERROR(INDEX(카테고리!$B$2:$B$200,MATCH(E108,카테고리!$A$2:$A$200,0)),"미분류"))</f>
        <v>자본이동</v>
      </c>
      <c r="G108" s="33" t="str">
        <f aca="false">IF(E108="","",IFERROR(INDEX(카테고리!$C$2:$C$200,MATCH(E108,카테고리!$A$2:$A$200,0)),"N"))</f>
        <v>N</v>
      </c>
      <c r="H108" s="34" t="s">
        <v>78</v>
      </c>
      <c r="I108" s="34" t="s">
        <v>74</v>
      </c>
      <c r="J108" s="34" t="s">
        <v>75</v>
      </c>
      <c r="K108" s="37"/>
      <c r="L108" s="36" t="n">
        <f aca="false">IF(A108="","",YEAR(A108)*100+MONTH(A108))</f>
        <v>202511</v>
      </c>
    </row>
    <row r="109" customFormat="false" ht="15" hidden="false" customHeight="false" outlineLevel="0" collapsed="false">
      <c r="A109" s="32" t="n">
        <v>45987</v>
      </c>
      <c r="B109" s="33" t="str">
        <f aca="false">IF(A109="","",TEXT(A109,"yyyy-mm"))</f>
        <v>2025-11</v>
      </c>
      <c r="C109" s="34" t="s">
        <v>142</v>
      </c>
      <c r="D109" s="35" t="n">
        <v>200000</v>
      </c>
      <c r="E109" s="34" t="s">
        <v>136</v>
      </c>
      <c r="F109" s="33" t="str">
        <f aca="false">IF(E109="","",IFERROR(INDEX(카테고리!$B$2:$B$200,MATCH(E109,카테고리!$A$2:$A$200,0)),"미분류"))</f>
        <v>자본이동</v>
      </c>
      <c r="G109" s="33" t="str">
        <f aca="false">IF(E109="","",IFERROR(INDEX(카테고리!$C$2:$C$200,MATCH(E109,카테고리!$A$2:$A$200,0)),"N"))</f>
        <v>N</v>
      </c>
      <c r="H109" s="34" t="s">
        <v>81</v>
      </c>
      <c r="I109" s="34" t="s">
        <v>74</v>
      </c>
      <c r="J109" s="34" t="s">
        <v>75</v>
      </c>
      <c r="K109" s="37"/>
      <c r="L109" s="36" t="n">
        <f aca="false">IF(A109="","",YEAR(A109)*100+MONTH(A109))</f>
        <v>202511</v>
      </c>
    </row>
    <row r="110" customFormat="false" ht="15" hidden="false" customHeight="false" outlineLevel="0" collapsed="false">
      <c r="A110" s="32" t="n">
        <v>45988</v>
      </c>
      <c r="B110" s="33" t="str">
        <f aca="false">IF(A110="","",TEXT(A110,"yyyy-mm"))</f>
        <v>2025-11</v>
      </c>
      <c r="C110" s="34" t="s">
        <v>110</v>
      </c>
      <c r="D110" s="35" t="n">
        <v>22220</v>
      </c>
      <c r="E110" s="34" t="s">
        <v>85</v>
      </c>
      <c r="F110" s="33" t="str">
        <f aca="false">IF(E110="","",IFERROR(INDEX(카테고리!$B$2:$B$200,MATCH(E110,카테고리!$A$2:$A$200,0)),"미분류"))</f>
        <v>변동비</v>
      </c>
      <c r="G110" s="33" t="str">
        <f aca="false">IF(E110="","",IFERROR(INDEX(카테고리!$C$2:$C$200,MATCH(E110,카테고리!$A$2:$A$200,0)),"N"))</f>
        <v>Y</v>
      </c>
      <c r="H110" s="34" t="s">
        <v>78</v>
      </c>
      <c r="I110" s="34" t="s">
        <v>107</v>
      </c>
      <c r="J110" s="34" t="s">
        <v>75</v>
      </c>
      <c r="K110" s="37"/>
      <c r="L110" s="36" t="n">
        <f aca="false">IF(A110="","",YEAR(A110)*100+MONTH(A110))</f>
        <v>202511</v>
      </c>
    </row>
    <row r="111" customFormat="false" ht="15" hidden="false" customHeight="false" outlineLevel="0" collapsed="false">
      <c r="A111" s="32" t="n">
        <v>45989</v>
      </c>
      <c r="B111" s="33" t="str">
        <f aca="false">IF(A111="","",TEXT(A111,"yyyy-mm"))</f>
        <v>2025-11</v>
      </c>
      <c r="C111" s="34" t="s">
        <v>143</v>
      </c>
      <c r="D111" s="35" t="n">
        <v>15500</v>
      </c>
      <c r="E111" s="34" t="s">
        <v>144</v>
      </c>
      <c r="F111" s="33" t="str">
        <f aca="false">IF(E111="","",IFERROR(INDEX(카테고리!$B$2:$B$200,MATCH(E111,카테고리!$A$2:$A$200,0)),"미분류"))</f>
        <v>소득</v>
      </c>
      <c r="G111" s="33" t="str">
        <f aca="false">IF(E111="","",IFERROR(INDEX(카테고리!$C$2:$C$200,MATCH(E111,카테고리!$A$2:$A$200,0)),"N"))</f>
        <v>N</v>
      </c>
      <c r="H111" s="34" t="s">
        <v>81</v>
      </c>
      <c r="I111" s="34" t="s">
        <v>131</v>
      </c>
      <c r="J111" s="34" t="s">
        <v>75</v>
      </c>
      <c r="K111" s="37"/>
      <c r="L111" s="36" t="n">
        <f aca="false">IF(A111="","",YEAR(A111)*100+MONTH(A111))</f>
        <v>202511</v>
      </c>
    </row>
    <row r="112" customFormat="false" ht="15" hidden="false" customHeight="false" outlineLevel="0" collapsed="false">
      <c r="A112" s="32" t="n">
        <v>45992</v>
      </c>
      <c r="B112" s="33" t="str">
        <f aca="false">IF(A112="","",TEXT(A112,"yyyy-mm"))</f>
        <v>2025-12</v>
      </c>
      <c r="C112" s="34" t="s">
        <v>71</v>
      </c>
      <c r="D112" s="35" t="n">
        <v>300000</v>
      </c>
      <c r="E112" s="34" t="s">
        <v>72</v>
      </c>
      <c r="F112" s="33" t="str">
        <f aca="false">IF(E112="","",IFERROR(INDEX(카테고리!$B$2:$B$200,MATCH(E112,카테고리!$A$2:$A$200,0)),"미분류"))</f>
        <v>변동비</v>
      </c>
      <c r="G112" s="33" t="str">
        <f aca="false">IF(E112="","",IFERROR(INDEX(카테고리!$C$2:$C$200,MATCH(E112,카테고리!$A$2:$A$200,0)),"N"))</f>
        <v>N</v>
      </c>
      <c r="H112" s="34" t="s">
        <v>73</v>
      </c>
      <c r="I112" s="34" t="s">
        <v>74</v>
      </c>
      <c r="J112" s="34" t="s">
        <v>75</v>
      </c>
      <c r="K112" s="37"/>
      <c r="L112" s="36" t="n">
        <f aca="false">IF(A112="","",YEAR(A112)*100+MONTH(A112))</f>
        <v>202512</v>
      </c>
    </row>
    <row r="113" customFormat="false" ht="15" hidden="false" customHeight="false" outlineLevel="0" collapsed="false">
      <c r="A113" s="32" t="n">
        <v>45992</v>
      </c>
      <c r="B113" s="33" t="str">
        <f aca="false">IF(A113="","",TEXT(A113,"yyyy-mm"))</f>
        <v>2025-12</v>
      </c>
      <c r="C113" s="34" t="s">
        <v>77</v>
      </c>
      <c r="D113" s="35" t="n">
        <v>300000</v>
      </c>
      <c r="E113" s="34" t="s">
        <v>72</v>
      </c>
      <c r="F113" s="33" t="str">
        <f aca="false">IF(E113="","",IFERROR(INDEX(카테고리!$B$2:$B$200,MATCH(E113,카테고리!$A$2:$A$200,0)),"미분류"))</f>
        <v>변동비</v>
      </c>
      <c r="G113" s="33" t="str">
        <f aca="false">IF(E113="","",IFERROR(INDEX(카테고리!$C$2:$C$200,MATCH(E113,카테고리!$A$2:$A$200,0)),"N"))</f>
        <v>N</v>
      </c>
      <c r="H113" s="34" t="s">
        <v>78</v>
      </c>
      <c r="I113" s="34" t="s">
        <v>74</v>
      </c>
      <c r="J113" s="34" t="s">
        <v>75</v>
      </c>
      <c r="K113" s="37"/>
      <c r="L113" s="36" t="n">
        <f aca="false">IF(A113="","",YEAR(A113)*100+MONTH(A113))</f>
        <v>202512</v>
      </c>
    </row>
    <row r="114" customFormat="false" ht="15" hidden="false" customHeight="false" outlineLevel="0" collapsed="false">
      <c r="A114" s="32" t="n">
        <v>45992</v>
      </c>
      <c r="B114" s="33" t="str">
        <f aca="false">IF(A114="","",TEXT(A114,"yyyy-mm"))</f>
        <v>2025-12</v>
      </c>
      <c r="C114" s="34" t="s">
        <v>79</v>
      </c>
      <c r="D114" s="35" t="n">
        <v>140000</v>
      </c>
      <c r="E114" s="34" t="s">
        <v>80</v>
      </c>
      <c r="F114" s="33" t="str">
        <f aca="false">IF(E114="","",IFERROR(INDEX(카테고리!$B$2:$B$200,MATCH(E114,카테고리!$A$2:$A$200,0)),"미분류"))</f>
        <v>고정비</v>
      </c>
      <c r="G114" s="33" t="str">
        <f aca="false">IF(E114="","",IFERROR(INDEX(카테고리!$C$2:$C$200,MATCH(E114,카테고리!$A$2:$A$200,0)),"N"))</f>
        <v>Y</v>
      </c>
      <c r="H114" s="34" t="s">
        <v>81</v>
      </c>
      <c r="I114" s="34" t="s">
        <v>82</v>
      </c>
      <c r="J114" s="34" t="s">
        <v>75</v>
      </c>
      <c r="K114" s="37"/>
      <c r="L114" s="36" t="n">
        <f aca="false">IF(A114="","",YEAR(A114)*100+MONTH(A114))</f>
        <v>202512</v>
      </c>
    </row>
    <row r="115" customFormat="false" ht="15" hidden="false" customHeight="false" outlineLevel="0" collapsed="false">
      <c r="A115" s="32" t="n">
        <v>45992</v>
      </c>
      <c r="B115" s="33" t="str">
        <f aca="false">IF(A115="","",TEXT(A115,"yyyy-mm"))</f>
        <v>2025-12</v>
      </c>
      <c r="C115" s="34" t="s">
        <v>83</v>
      </c>
      <c r="D115" s="35" t="n">
        <v>380000</v>
      </c>
      <c r="E115" s="34" t="s">
        <v>80</v>
      </c>
      <c r="F115" s="33" t="str">
        <f aca="false">IF(E115="","",IFERROR(INDEX(카테고리!$B$2:$B$200,MATCH(E115,카테고리!$A$2:$A$200,0)),"미분류"))</f>
        <v>고정비</v>
      </c>
      <c r="G115" s="33" t="str">
        <f aca="false">IF(E115="","",IFERROR(INDEX(카테고리!$C$2:$C$200,MATCH(E115,카테고리!$A$2:$A$200,0)),"N"))</f>
        <v>Y</v>
      </c>
      <c r="H115" s="34" t="s">
        <v>81</v>
      </c>
      <c r="I115" s="34" t="s">
        <v>82</v>
      </c>
      <c r="J115" s="34" t="s">
        <v>75</v>
      </c>
      <c r="K115" s="37"/>
      <c r="L115" s="36" t="n">
        <f aca="false">IF(A115="","",YEAR(A115)*100+MONTH(A115))</f>
        <v>202512</v>
      </c>
    </row>
    <row r="116" customFormat="false" ht="15" hidden="false" customHeight="false" outlineLevel="0" collapsed="false">
      <c r="A116" s="32" t="n">
        <v>45992</v>
      </c>
      <c r="B116" s="33" t="str">
        <f aca="false">IF(A116="","",TEXT(A116,"yyyy-mm"))</f>
        <v>2025-12</v>
      </c>
      <c r="C116" s="34" t="s">
        <v>103</v>
      </c>
      <c r="D116" s="35" t="n">
        <v>64300</v>
      </c>
      <c r="E116" s="34" t="s">
        <v>92</v>
      </c>
      <c r="F116" s="33" t="str">
        <f aca="false">IF(E116="","",IFERROR(INDEX(카테고리!$B$2:$B$200,MATCH(E116,카테고리!$A$2:$A$200,0)),"미분류"))</f>
        <v>변동비</v>
      </c>
      <c r="G116" s="33" t="str">
        <f aca="false">IF(E116="","",IFERROR(INDEX(카테고리!$C$2:$C$200,MATCH(E116,카테고리!$A$2:$A$200,0)),"N"))</f>
        <v>Y</v>
      </c>
      <c r="H116" s="34" t="s">
        <v>73</v>
      </c>
      <c r="I116" s="34" t="s">
        <v>82</v>
      </c>
      <c r="J116" s="34" t="s">
        <v>75</v>
      </c>
      <c r="K116" s="37"/>
      <c r="L116" s="36" t="n">
        <f aca="false">IF(A116="","",YEAR(A116)*100+MONTH(A116))</f>
        <v>202512</v>
      </c>
    </row>
    <row r="117" customFormat="false" ht="15" hidden="false" customHeight="false" outlineLevel="0" collapsed="false">
      <c r="A117" s="32" t="n">
        <v>45993</v>
      </c>
      <c r="B117" s="33" t="str">
        <f aca="false">IF(A117="","",TEXT(A117,"yyyy-mm"))</f>
        <v>2025-12</v>
      </c>
      <c r="C117" s="37" t="s">
        <v>84</v>
      </c>
      <c r="D117" s="35" t="n">
        <v>77740</v>
      </c>
      <c r="E117" s="34" t="s">
        <v>85</v>
      </c>
      <c r="F117" s="33" t="str">
        <f aca="false">IF(E117="","",IFERROR(INDEX(카테고리!$B$2:$B$200,MATCH(E117,카테고리!$A$2:$A$200,0)),"미분류"))</f>
        <v>변동비</v>
      </c>
      <c r="G117" s="33" t="str">
        <f aca="false">IF(E117="","",IFERROR(INDEX(카테고리!$C$2:$C$200,MATCH(E117,카테고리!$A$2:$A$200,0)),"N"))</f>
        <v>Y</v>
      </c>
      <c r="H117" s="34" t="s">
        <v>81</v>
      </c>
      <c r="I117" s="34" t="s">
        <v>82</v>
      </c>
      <c r="J117" s="34" t="s">
        <v>75</v>
      </c>
      <c r="K117" s="37"/>
      <c r="L117" s="36" t="n">
        <f aca="false">IF(A117="","",YEAR(A117)*100+MONTH(A117))</f>
        <v>202512</v>
      </c>
    </row>
    <row r="118" customFormat="false" ht="15" hidden="false" customHeight="false" outlineLevel="0" collapsed="false">
      <c r="A118" s="32" t="n">
        <v>45993</v>
      </c>
      <c r="B118" s="33" t="str">
        <f aca="false">IF(A118="","",TEXT(A118,"yyyy-mm"))</f>
        <v>2025-12</v>
      </c>
      <c r="C118" s="34" t="s">
        <v>127</v>
      </c>
      <c r="D118" s="35" t="n">
        <v>70770</v>
      </c>
      <c r="E118" s="34" t="s">
        <v>89</v>
      </c>
      <c r="F118" s="33" t="str">
        <f aca="false">IF(E118="","",IFERROR(INDEX(카테고리!$B$2:$B$200,MATCH(E118,카테고리!$A$2:$A$200,0)),"미분류"))</f>
        <v>변동비</v>
      </c>
      <c r="G118" s="33" t="str">
        <f aca="false">IF(E118="","",IFERROR(INDEX(카테고리!$C$2:$C$200,MATCH(E118,카테고리!$A$2:$A$200,0)),"N"))</f>
        <v>N</v>
      </c>
      <c r="H118" s="34" t="s">
        <v>73</v>
      </c>
      <c r="I118" s="34" t="s">
        <v>107</v>
      </c>
      <c r="J118" s="34" t="s">
        <v>75</v>
      </c>
      <c r="K118" s="37"/>
      <c r="L118" s="36" t="n">
        <f aca="false">IF(A118="","",YEAR(A118)*100+MONTH(A118))</f>
        <v>202512</v>
      </c>
    </row>
    <row r="119" customFormat="false" ht="15" hidden="false" customHeight="false" outlineLevel="0" collapsed="false">
      <c r="A119" s="32" t="n">
        <v>45993</v>
      </c>
      <c r="B119" s="33" t="str">
        <f aca="false">IF(A119="","",TEXT(A119,"yyyy-mm"))</f>
        <v>2025-12</v>
      </c>
      <c r="C119" s="34" t="s">
        <v>110</v>
      </c>
      <c r="D119" s="35" t="n">
        <v>11700</v>
      </c>
      <c r="E119" s="34" t="s">
        <v>85</v>
      </c>
      <c r="F119" s="33" t="str">
        <f aca="false">IF(E119="","",IFERROR(INDEX(카테고리!$B$2:$B$200,MATCH(E119,카테고리!$A$2:$A$200,0)),"미분류"))</f>
        <v>변동비</v>
      </c>
      <c r="G119" s="33" t="str">
        <f aca="false">IF(E119="","",IFERROR(INDEX(카테고리!$C$2:$C$200,MATCH(E119,카테고리!$A$2:$A$200,0)),"N"))</f>
        <v>Y</v>
      </c>
      <c r="H119" s="34" t="s">
        <v>78</v>
      </c>
      <c r="I119" s="34" t="s">
        <v>107</v>
      </c>
      <c r="J119" s="34" t="s">
        <v>75</v>
      </c>
      <c r="K119" s="37"/>
      <c r="L119" s="36" t="n">
        <f aca="false">IF(A119="","",YEAR(A119)*100+MONTH(A119))</f>
        <v>202512</v>
      </c>
    </row>
    <row r="120" customFormat="false" ht="15" hidden="false" customHeight="false" outlineLevel="0" collapsed="false">
      <c r="A120" s="32" t="n">
        <v>45994</v>
      </c>
      <c r="B120" s="33" t="str">
        <f aca="false">IF(A120="","",TEXT(A120,"yyyy-mm"))</f>
        <v>2025-12</v>
      </c>
      <c r="C120" s="34" t="s">
        <v>148</v>
      </c>
      <c r="D120" s="35" t="n">
        <v>122390</v>
      </c>
      <c r="E120" s="34" t="s">
        <v>92</v>
      </c>
      <c r="F120" s="33" t="str">
        <f aca="false">IF(E120="","",IFERROR(INDEX(카테고리!$B$2:$B$200,MATCH(E120,카테고리!$A$2:$A$200,0)),"미분류"))</f>
        <v>변동비</v>
      </c>
      <c r="G120" s="33" t="str">
        <f aca="false">IF(E120="","",IFERROR(INDEX(카테고리!$C$2:$C$200,MATCH(E120,카테고리!$A$2:$A$200,0)),"N"))</f>
        <v>Y</v>
      </c>
      <c r="H120" s="34" t="s">
        <v>81</v>
      </c>
      <c r="I120" s="34" t="s">
        <v>82</v>
      </c>
      <c r="J120" s="34" t="s">
        <v>75</v>
      </c>
      <c r="K120" s="37"/>
      <c r="L120" s="36" t="n">
        <f aca="false">IF(A120="","",YEAR(A120)*100+MONTH(A120))</f>
        <v>202512</v>
      </c>
    </row>
    <row r="121" customFormat="false" ht="15" hidden="false" customHeight="false" outlineLevel="0" collapsed="false">
      <c r="A121" s="32" t="n">
        <v>45994</v>
      </c>
      <c r="B121" s="33" t="str">
        <f aca="false">IF(A121="","",TEXT(A121,"yyyy-mm"))</f>
        <v>2025-12</v>
      </c>
      <c r="C121" s="34" t="s">
        <v>94</v>
      </c>
      <c r="D121" s="35" t="n">
        <v>50000</v>
      </c>
      <c r="E121" s="34" t="s">
        <v>85</v>
      </c>
      <c r="F121" s="33" t="str">
        <f aca="false">IF(E121="","",IFERROR(INDEX(카테고리!$B$2:$B$200,MATCH(E121,카테고리!$A$2:$A$200,0)),"미분류"))</f>
        <v>변동비</v>
      </c>
      <c r="G121" s="33" t="str">
        <f aca="false">IF(E121="","",IFERROR(INDEX(카테고리!$C$2:$C$200,MATCH(E121,카테고리!$A$2:$A$200,0)),"N"))</f>
        <v>Y</v>
      </c>
      <c r="H121" s="34" t="s">
        <v>73</v>
      </c>
      <c r="I121" s="34" t="s">
        <v>90</v>
      </c>
      <c r="J121" s="34" t="s">
        <v>75</v>
      </c>
      <c r="K121" s="37"/>
      <c r="L121" s="36" t="n">
        <f aca="false">IF(A121="","",YEAR(A121)*100+MONTH(A121))</f>
        <v>202512</v>
      </c>
    </row>
    <row r="122" customFormat="false" ht="15" hidden="false" customHeight="false" outlineLevel="0" collapsed="false">
      <c r="A122" s="32" t="n">
        <v>45994</v>
      </c>
      <c r="B122" s="33" t="str">
        <f aca="false">IF(A122="","",TEXT(A122,"yyyy-mm"))</f>
        <v>2025-12</v>
      </c>
      <c r="C122" s="34" t="s">
        <v>103</v>
      </c>
      <c r="D122" s="35" t="n">
        <v>99310</v>
      </c>
      <c r="E122" s="34" t="s">
        <v>92</v>
      </c>
      <c r="F122" s="33" t="str">
        <f aca="false">IF(E122="","",IFERROR(INDEX(카테고리!$B$2:$B$200,MATCH(E122,카테고리!$A$2:$A$200,0)),"미분류"))</f>
        <v>변동비</v>
      </c>
      <c r="G122" s="33" t="str">
        <f aca="false">IF(E122="","",IFERROR(INDEX(카테고리!$C$2:$C$200,MATCH(E122,카테고리!$A$2:$A$200,0)),"N"))</f>
        <v>Y</v>
      </c>
      <c r="H122" s="34" t="s">
        <v>81</v>
      </c>
      <c r="I122" s="34" t="s">
        <v>82</v>
      </c>
      <c r="J122" s="34" t="s">
        <v>75</v>
      </c>
      <c r="K122" s="37"/>
      <c r="L122" s="36" t="n">
        <f aca="false">IF(A122="","",YEAR(A122)*100+MONTH(A122))</f>
        <v>202512</v>
      </c>
    </row>
    <row r="123" customFormat="false" ht="15" hidden="false" customHeight="false" outlineLevel="0" collapsed="false">
      <c r="A123" s="32" t="n">
        <v>45995</v>
      </c>
      <c r="B123" s="33" t="str">
        <f aca="false">IF(A123="","",TEXT(A123,"yyyy-mm"))</f>
        <v>2025-12</v>
      </c>
      <c r="C123" s="34" t="s">
        <v>127</v>
      </c>
      <c r="D123" s="35" t="n">
        <v>74500</v>
      </c>
      <c r="E123" s="34" t="s">
        <v>89</v>
      </c>
      <c r="F123" s="33" t="str">
        <f aca="false">IF(E123="","",IFERROR(INDEX(카테고리!$B$2:$B$200,MATCH(E123,카테고리!$A$2:$A$200,0)),"미분류"))</f>
        <v>변동비</v>
      </c>
      <c r="G123" s="33" t="str">
        <f aca="false">IF(E123="","",IFERROR(INDEX(카테고리!$C$2:$C$200,MATCH(E123,카테고리!$A$2:$A$200,0)),"N"))</f>
        <v>N</v>
      </c>
      <c r="H123" s="34" t="s">
        <v>78</v>
      </c>
      <c r="I123" s="34" t="s">
        <v>107</v>
      </c>
      <c r="J123" s="34" t="s">
        <v>75</v>
      </c>
      <c r="K123" s="37"/>
      <c r="L123" s="36" t="n">
        <f aca="false">IF(A123="","",YEAR(A123)*100+MONTH(A123))</f>
        <v>202512</v>
      </c>
    </row>
    <row r="124" customFormat="false" ht="15" hidden="false" customHeight="false" outlineLevel="0" collapsed="false">
      <c r="A124" s="32" t="n">
        <v>45996</v>
      </c>
      <c r="B124" s="33" t="str">
        <f aca="false">IF(A124="","",TEXT(A124,"yyyy-mm"))</f>
        <v>2025-12</v>
      </c>
      <c r="C124" s="34" t="s">
        <v>88</v>
      </c>
      <c r="D124" s="35" t="n">
        <v>73300</v>
      </c>
      <c r="E124" s="34" t="s">
        <v>89</v>
      </c>
      <c r="F124" s="33" t="str">
        <f aca="false">IF(E124="","",IFERROR(INDEX(카테고리!$B$2:$B$200,MATCH(E124,카테고리!$A$2:$A$200,0)),"미분류"))</f>
        <v>변동비</v>
      </c>
      <c r="G124" s="33" t="str">
        <f aca="false">IF(E124="","",IFERROR(INDEX(카테고리!$C$2:$C$200,MATCH(E124,카테고리!$A$2:$A$200,0)),"N"))</f>
        <v>N</v>
      </c>
      <c r="H124" s="34" t="s">
        <v>81</v>
      </c>
      <c r="I124" s="34" t="s">
        <v>107</v>
      </c>
      <c r="J124" s="34" t="s">
        <v>75</v>
      </c>
      <c r="K124" s="37"/>
      <c r="L124" s="36" t="n">
        <f aca="false">IF(A124="","",YEAR(A124)*100+MONTH(A124))</f>
        <v>202512</v>
      </c>
    </row>
    <row r="125" customFormat="false" ht="15" hidden="false" customHeight="false" outlineLevel="0" collapsed="false">
      <c r="A125" s="32" t="n">
        <v>45996</v>
      </c>
      <c r="B125" s="33" t="str">
        <f aca="false">IF(A125="","",TEXT(A125,"yyyy-mm"))</f>
        <v>2025-12</v>
      </c>
      <c r="C125" s="34" t="s">
        <v>91</v>
      </c>
      <c r="D125" s="35" t="n">
        <v>129850</v>
      </c>
      <c r="E125" s="34" t="s">
        <v>92</v>
      </c>
      <c r="F125" s="33" t="str">
        <f aca="false">IF(E125="","",IFERROR(INDEX(카테고리!$B$2:$B$200,MATCH(E125,카테고리!$A$2:$A$200,0)),"미분류"))</f>
        <v>변동비</v>
      </c>
      <c r="G125" s="33" t="str">
        <f aca="false">IF(E125="","",IFERROR(INDEX(카테고리!$C$2:$C$200,MATCH(E125,카테고리!$A$2:$A$200,0)),"N"))</f>
        <v>Y</v>
      </c>
      <c r="H125" s="34" t="s">
        <v>73</v>
      </c>
      <c r="I125" s="34" t="s">
        <v>82</v>
      </c>
      <c r="J125" s="34" t="s">
        <v>75</v>
      </c>
      <c r="K125" s="37"/>
      <c r="L125" s="36" t="n">
        <f aca="false">IF(A125="","",YEAR(A125)*100+MONTH(A125))</f>
        <v>202512</v>
      </c>
    </row>
    <row r="126" customFormat="false" ht="15" hidden="false" customHeight="false" outlineLevel="0" collapsed="false">
      <c r="A126" s="32" t="n">
        <v>45996</v>
      </c>
      <c r="B126" s="33" t="str">
        <f aca="false">IF(A126="","",TEXT(A126,"yyyy-mm"))</f>
        <v>2025-12</v>
      </c>
      <c r="C126" s="34" t="s">
        <v>154</v>
      </c>
      <c r="D126" s="35" t="n">
        <v>78890</v>
      </c>
      <c r="E126" s="34" t="s">
        <v>126</v>
      </c>
      <c r="F126" s="33" t="str">
        <f aca="false">IF(E126="","",IFERROR(INDEX(카테고리!$B$2:$B$200,MATCH(E126,카테고리!$A$2:$A$200,0)),"미분류"))</f>
        <v>변동비</v>
      </c>
      <c r="G126" s="33" t="str">
        <f aca="false">IF(E126="","",IFERROR(INDEX(카테고리!$C$2:$C$200,MATCH(E126,카테고리!$A$2:$A$200,0)),"N"))</f>
        <v>N</v>
      </c>
      <c r="H126" s="34" t="s">
        <v>78</v>
      </c>
      <c r="I126" s="34" t="s">
        <v>107</v>
      </c>
      <c r="J126" s="34" t="s">
        <v>75</v>
      </c>
      <c r="K126" s="37"/>
      <c r="L126" s="36" t="n">
        <f aca="false">IF(A126="","",YEAR(A126)*100+MONTH(A126))</f>
        <v>202512</v>
      </c>
    </row>
    <row r="127" customFormat="false" ht="15" hidden="false" customHeight="false" outlineLevel="0" collapsed="false">
      <c r="A127" s="32" t="n">
        <v>45996</v>
      </c>
      <c r="B127" s="33" t="str">
        <f aca="false">IF(A127="","",TEXT(A127,"yyyy-mm"))</f>
        <v>2025-12</v>
      </c>
      <c r="C127" s="34" t="s">
        <v>96</v>
      </c>
      <c r="D127" s="35" t="n">
        <v>300000</v>
      </c>
      <c r="E127" s="34" t="s">
        <v>97</v>
      </c>
      <c r="F127" s="33" t="str">
        <f aca="false">IF(E127="","",IFERROR(INDEX(카테고리!$B$2:$B$200,MATCH(E127,카테고리!$A$2:$A$200,0)),"미분류"))</f>
        <v>자본이동</v>
      </c>
      <c r="G127" s="33" t="str">
        <f aca="false">IF(E127="","",IFERROR(INDEX(카테고리!$C$2:$C$200,MATCH(E127,카테고리!$A$2:$A$200,0)),"N"))</f>
        <v>N</v>
      </c>
      <c r="H127" s="34" t="s">
        <v>78</v>
      </c>
      <c r="I127" s="34" t="s">
        <v>98</v>
      </c>
      <c r="J127" s="34" t="s">
        <v>75</v>
      </c>
      <c r="K127" s="37"/>
      <c r="L127" s="36" t="n">
        <f aca="false">IF(A127="","",YEAR(A127)*100+MONTH(A127))</f>
        <v>202512</v>
      </c>
    </row>
    <row r="128" customFormat="false" ht="15" hidden="false" customHeight="false" outlineLevel="0" collapsed="false">
      <c r="A128" s="32" t="n">
        <v>45996</v>
      </c>
      <c r="B128" s="33" t="str">
        <f aca="false">IF(A128="","",TEXT(A128,"yyyy-mm"))</f>
        <v>2025-12</v>
      </c>
      <c r="C128" s="34" t="s">
        <v>99</v>
      </c>
      <c r="D128" s="35" t="n">
        <v>79400</v>
      </c>
      <c r="E128" s="34" t="s">
        <v>100</v>
      </c>
      <c r="F128" s="33" t="str">
        <f aca="false">IF(E128="","",IFERROR(INDEX(카테고리!$B$2:$B$200,MATCH(E128,카테고리!$A$2:$A$200,0)),"미분류"))</f>
        <v>고정비</v>
      </c>
      <c r="G128" s="33" t="str">
        <f aca="false">IF(E128="","",IFERROR(INDEX(카테고리!$C$2:$C$200,MATCH(E128,카테고리!$A$2:$A$200,0)),"N"))</f>
        <v>Y</v>
      </c>
      <c r="H128" s="34" t="s">
        <v>78</v>
      </c>
      <c r="I128" s="34" t="s">
        <v>98</v>
      </c>
      <c r="J128" s="34" t="s">
        <v>75</v>
      </c>
      <c r="K128" s="37"/>
      <c r="L128" s="36" t="n">
        <f aca="false">IF(A128="","",YEAR(A128)*100+MONTH(A128))</f>
        <v>202512</v>
      </c>
    </row>
    <row r="129" customFormat="false" ht="15" hidden="false" customHeight="false" outlineLevel="0" collapsed="false">
      <c r="A129" s="32" t="n">
        <v>45996</v>
      </c>
      <c r="B129" s="33" t="str">
        <f aca="false">IF(A129="","",TEXT(A129,"yyyy-mm"))</f>
        <v>2025-12</v>
      </c>
      <c r="C129" s="34" t="s">
        <v>101</v>
      </c>
      <c r="D129" s="35" t="n">
        <v>600000</v>
      </c>
      <c r="E129" s="34" t="s">
        <v>97</v>
      </c>
      <c r="F129" s="33" t="str">
        <f aca="false">IF(E129="","",IFERROR(INDEX(카테고리!$B$2:$B$200,MATCH(E129,카테고리!$A$2:$A$200,0)),"미분류"))</f>
        <v>자본이동</v>
      </c>
      <c r="G129" s="33" t="str">
        <f aca="false">IF(E129="","",IFERROR(INDEX(카테고리!$C$2:$C$200,MATCH(E129,카테고리!$A$2:$A$200,0)),"N"))</f>
        <v>N</v>
      </c>
      <c r="H129" s="34" t="s">
        <v>81</v>
      </c>
      <c r="I129" s="34" t="s">
        <v>98</v>
      </c>
      <c r="J129" s="34" t="s">
        <v>75</v>
      </c>
      <c r="K129" s="37"/>
      <c r="L129" s="36" t="n">
        <f aca="false">IF(A129="","",YEAR(A129)*100+MONTH(A129))</f>
        <v>202512</v>
      </c>
    </row>
    <row r="130" customFormat="false" ht="15" hidden="false" customHeight="false" outlineLevel="0" collapsed="false">
      <c r="A130" s="32" t="n">
        <v>45996</v>
      </c>
      <c r="B130" s="33" t="str">
        <f aca="false">IF(A130="","",TEXT(A130,"yyyy-mm"))</f>
        <v>2025-12</v>
      </c>
      <c r="C130" s="34" t="s">
        <v>102</v>
      </c>
      <c r="D130" s="35" t="n">
        <v>1001000</v>
      </c>
      <c r="E130" s="34" t="s">
        <v>100</v>
      </c>
      <c r="F130" s="33" t="str">
        <f aca="false">IF(E130="","",IFERROR(INDEX(카테고리!$B$2:$B$200,MATCH(E130,카테고리!$A$2:$A$200,0)),"미분류"))</f>
        <v>고정비</v>
      </c>
      <c r="G130" s="33" t="str">
        <f aca="false">IF(E130="","",IFERROR(INDEX(카테고리!$C$2:$C$200,MATCH(E130,카테고리!$A$2:$A$200,0)),"N"))</f>
        <v>Y</v>
      </c>
      <c r="H130" s="34" t="s">
        <v>81</v>
      </c>
      <c r="I130" s="34" t="s">
        <v>98</v>
      </c>
      <c r="J130" s="34" t="s">
        <v>75</v>
      </c>
      <c r="K130" s="37"/>
      <c r="L130" s="36" t="n">
        <f aca="false">IF(A130="","",YEAR(A130)*100+MONTH(A130))</f>
        <v>202512</v>
      </c>
    </row>
    <row r="131" customFormat="false" ht="15" hidden="false" customHeight="false" outlineLevel="0" collapsed="false">
      <c r="A131" s="32" t="n">
        <v>45998</v>
      </c>
      <c r="B131" s="33" t="str">
        <f aca="false">IF(A131="","",TEXT(A131,"yyyy-mm"))</f>
        <v>2025-12</v>
      </c>
      <c r="C131" s="34" t="s">
        <v>104</v>
      </c>
      <c r="D131" s="35" t="n">
        <v>17000</v>
      </c>
      <c r="E131" s="34" t="s">
        <v>105</v>
      </c>
      <c r="F131" s="33" t="str">
        <f aca="false">IF(E131="","",IFERROR(INDEX(카테고리!$B$2:$B$200,MATCH(E131,카테고리!$A$2:$A$200,0)),"미분류"))</f>
        <v>고정비</v>
      </c>
      <c r="G131" s="33" t="str">
        <f aca="false">IF(E131="","",IFERROR(INDEX(카테고리!$C$2:$C$200,MATCH(E131,카테고리!$A$2:$A$200,0)),"N"))</f>
        <v>N</v>
      </c>
      <c r="H131" s="34" t="s">
        <v>81</v>
      </c>
      <c r="I131" s="34" t="s">
        <v>82</v>
      </c>
      <c r="J131" s="34" t="s">
        <v>75</v>
      </c>
      <c r="K131" s="37"/>
      <c r="L131" s="36" t="n">
        <f aca="false">IF(A131="","",YEAR(A131)*100+MONTH(A131))</f>
        <v>202512</v>
      </c>
    </row>
    <row r="132" customFormat="false" ht="15" hidden="false" customHeight="false" outlineLevel="0" collapsed="false">
      <c r="A132" s="32" t="n">
        <v>45998</v>
      </c>
      <c r="B132" s="33" t="str">
        <f aca="false">IF(A132="","",TEXT(A132,"yyyy-mm"))</f>
        <v>2025-12</v>
      </c>
      <c r="C132" s="34" t="s">
        <v>106</v>
      </c>
      <c r="D132" s="35" t="n">
        <v>14900</v>
      </c>
      <c r="E132" s="34" t="s">
        <v>105</v>
      </c>
      <c r="F132" s="33" t="str">
        <f aca="false">IF(E132="","",IFERROR(INDEX(카테고리!$B$2:$B$200,MATCH(E132,카테고리!$A$2:$A$200,0)),"미분류"))</f>
        <v>고정비</v>
      </c>
      <c r="G132" s="33" t="str">
        <f aca="false">IF(E132="","",IFERROR(INDEX(카테고리!$C$2:$C$200,MATCH(E132,카테고리!$A$2:$A$200,0)),"N"))</f>
        <v>N</v>
      </c>
      <c r="H132" s="34" t="s">
        <v>78</v>
      </c>
      <c r="I132" s="34" t="s">
        <v>107</v>
      </c>
      <c r="J132" s="34" t="s">
        <v>75</v>
      </c>
      <c r="K132" s="37"/>
      <c r="L132" s="36" t="n">
        <f aca="false">IF(A132="","",YEAR(A132)*100+MONTH(A132))</f>
        <v>202512</v>
      </c>
    </row>
    <row r="133" customFormat="false" ht="15" hidden="false" customHeight="false" outlineLevel="0" collapsed="false">
      <c r="A133" s="32" t="n">
        <v>45998</v>
      </c>
      <c r="B133" s="33" t="str">
        <f aca="false">IF(A133="","",TEXT(A133,"yyyy-mm"))</f>
        <v>2025-12</v>
      </c>
      <c r="C133" s="34" t="s">
        <v>108</v>
      </c>
      <c r="D133" s="35" t="n">
        <v>7890</v>
      </c>
      <c r="E133" s="34" t="s">
        <v>105</v>
      </c>
      <c r="F133" s="33" t="str">
        <f aca="false">IF(E133="","",IFERROR(INDEX(카테고리!$B$2:$B$200,MATCH(E133,카테고리!$A$2:$A$200,0)),"미분류"))</f>
        <v>고정비</v>
      </c>
      <c r="G133" s="33" t="str">
        <f aca="false">IF(E133="","",IFERROR(INDEX(카테고리!$C$2:$C$200,MATCH(E133,카테고리!$A$2:$A$200,0)),"N"))</f>
        <v>N</v>
      </c>
      <c r="H133" s="34" t="s">
        <v>73</v>
      </c>
      <c r="I133" s="34" t="s">
        <v>90</v>
      </c>
      <c r="J133" s="34" t="s">
        <v>75</v>
      </c>
      <c r="K133" s="37"/>
      <c r="L133" s="36" t="n">
        <f aca="false">IF(A133="","",YEAR(A133)*100+MONTH(A133))</f>
        <v>202512</v>
      </c>
    </row>
    <row r="134" customFormat="false" ht="15" hidden="false" customHeight="false" outlineLevel="0" collapsed="false">
      <c r="A134" s="32" t="n">
        <v>45999</v>
      </c>
      <c r="B134" s="33" t="str">
        <f aca="false">IF(A134="","",TEXT(A134,"yyyy-mm"))</f>
        <v>2025-12</v>
      </c>
      <c r="C134" s="34" t="s">
        <v>86</v>
      </c>
      <c r="D134" s="35" t="n">
        <v>54040</v>
      </c>
      <c r="E134" s="34" t="s">
        <v>87</v>
      </c>
      <c r="F134" s="33" t="str">
        <f aca="false">IF(E134="","",IFERROR(INDEX(카테고리!$B$2:$B$200,MATCH(E134,카테고리!$A$2:$A$200,0)),"미분류"))</f>
        <v>변동비</v>
      </c>
      <c r="G134" s="33" t="str">
        <f aca="false">IF(E134="","",IFERROR(INDEX(카테고리!$C$2:$C$200,MATCH(E134,카테고리!$A$2:$A$200,0)),"N"))</f>
        <v>Y</v>
      </c>
      <c r="H134" s="34" t="s">
        <v>81</v>
      </c>
      <c r="I134" s="34" t="s">
        <v>82</v>
      </c>
      <c r="J134" s="34" t="s">
        <v>75</v>
      </c>
      <c r="K134" s="37"/>
      <c r="L134" s="36" t="n">
        <f aca="false">IF(A134="","",YEAR(A134)*100+MONTH(A134))</f>
        <v>202512</v>
      </c>
    </row>
    <row r="135" customFormat="false" ht="15" hidden="false" customHeight="false" outlineLevel="0" collapsed="false">
      <c r="A135" s="32" t="n">
        <v>45999</v>
      </c>
      <c r="B135" s="33" t="str">
        <f aca="false">IF(A135="","",TEXT(A135,"yyyy-mm"))</f>
        <v>2025-12</v>
      </c>
      <c r="C135" s="34" t="s">
        <v>127</v>
      </c>
      <c r="D135" s="35" t="n">
        <v>43110</v>
      </c>
      <c r="E135" s="34" t="s">
        <v>89</v>
      </c>
      <c r="F135" s="33" t="str">
        <f aca="false">IF(E135="","",IFERROR(INDEX(카테고리!$B$2:$B$200,MATCH(E135,카테고리!$A$2:$A$200,0)),"미분류"))</f>
        <v>변동비</v>
      </c>
      <c r="G135" s="33" t="str">
        <f aca="false">IF(E135="","",IFERROR(INDEX(카테고리!$C$2:$C$200,MATCH(E135,카테고리!$A$2:$A$200,0)),"N"))</f>
        <v>N</v>
      </c>
      <c r="H135" s="34" t="s">
        <v>81</v>
      </c>
      <c r="I135" s="34" t="s">
        <v>90</v>
      </c>
      <c r="J135" s="34" t="s">
        <v>75</v>
      </c>
      <c r="K135" s="37"/>
      <c r="L135" s="36" t="n">
        <f aca="false">IF(A135="","",YEAR(A135)*100+MONTH(A135))</f>
        <v>202512</v>
      </c>
    </row>
    <row r="136" customFormat="false" ht="15" hidden="false" customHeight="false" outlineLevel="0" collapsed="false">
      <c r="A136" s="32" t="n">
        <v>45999</v>
      </c>
      <c r="B136" s="33" t="str">
        <f aca="false">IF(A136="","",TEXT(A136,"yyyy-mm"))</f>
        <v>2025-12</v>
      </c>
      <c r="C136" s="34" t="s">
        <v>93</v>
      </c>
      <c r="D136" s="35" t="n">
        <v>63830</v>
      </c>
      <c r="E136" s="34" t="s">
        <v>92</v>
      </c>
      <c r="F136" s="33" t="str">
        <f aca="false">IF(E136="","",IFERROR(INDEX(카테고리!$B$2:$B$200,MATCH(E136,카테고리!$A$2:$A$200,0)),"미분류"))</f>
        <v>변동비</v>
      </c>
      <c r="G136" s="33" t="str">
        <f aca="false">IF(E136="","",IFERROR(INDEX(카테고리!$C$2:$C$200,MATCH(E136,카테고리!$A$2:$A$200,0)),"N"))</f>
        <v>Y</v>
      </c>
      <c r="H136" s="34" t="s">
        <v>81</v>
      </c>
      <c r="I136" s="34" t="s">
        <v>82</v>
      </c>
      <c r="J136" s="34" t="s">
        <v>75</v>
      </c>
      <c r="K136" s="37"/>
      <c r="L136" s="36" t="n">
        <f aca="false">IF(A136="","",YEAR(A136)*100+MONTH(A136))</f>
        <v>202512</v>
      </c>
    </row>
    <row r="137" customFormat="false" ht="15" hidden="false" customHeight="false" outlineLevel="0" collapsed="false">
      <c r="A137" s="32" t="n">
        <v>46000</v>
      </c>
      <c r="B137" s="33" t="str">
        <f aca="false">IF(A137="","",TEXT(A137,"yyyy-mm"))</f>
        <v>2025-12</v>
      </c>
      <c r="C137" s="34" t="s">
        <v>125</v>
      </c>
      <c r="D137" s="35" t="n">
        <v>77390</v>
      </c>
      <c r="E137" s="34" t="s">
        <v>126</v>
      </c>
      <c r="F137" s="33" t="str">
        <f aca="false">IF(E137="","",IFERROR(INDEX(카테고리!$B$2:$B$200,MATCH(E137,카테고리!$A$2:$A$200,0)),"미분류"))</f>
        <v>변동비</v>
      </c>
      <c r="G137" s="33" t="str">
        <f aca="false">IF(E137="","",IFERROR(INDEX(카테고리!$C$2:$C$200,MATCH(E137,카테고리!$A$2:$A$200,0)),"N"))</f>
        <v>N</v>
      </c>
      <c r="H137" s="34" t="s">
        <v>73</v>
      </c>
      <c r="I137" s="34" t="s">
        <v>90</v>
      </c>
      <c r="J137" s="34" t="s">
        <v>75</v>
      </c>
      <c r="K137" s="37"/>
      <c r="L137" s="36" t="n">
        <f aca="false">IF(A137="","",YEAR(A137)*100+MONTH(A137))</f>
        <v>202512</v>
      </c>
    </row>
    <row r="138" customFormat="false" ht="15" hidden="false" customHeight="false" outlineLevel="0" collapsed="false">
      <c r="A138" s="32" t="n">
        <v>46001</v>
      </c>
      <c r="B138" s="33" t="str">
        <f aca="false">IF(A138="","",TEXT(A138,"yyyy-mm"))</f>
        <v>2025-12</v>
      </c>
      <c r="C138" s="37" t="s">
        <v>111</v>
      </c>
      <c r="D138" s="35" t="n">
        <v>68000</v>
      </c>
      <c r="E138" s="34" t="s">
        <v>112</v>
      </c>
      <c r="F138" s="33" t="str">
        <f aca="false">IF(E138="","",IFERROR(INDEX(카테고리!$B$2:$B$200,MATCH(E138,카테고리!$A$2:$A$200,0)),"미분류"))</f>
        <v>고정비</v>
      </c>
      <c r="G138" s="33" t="str">
        <f aca="false">IF(E138="","",IFERROR(INDEX(카테고리!$C$2:$C$200,MATCH(E138,카테고리!$A$2:$A$200,0)),"N"))</f>
        <v>Y</v>
      </c>
      <c r="H138" s="34" t="s">
        <v>81</v>
      </c>
      <c r="I138" s="34" t="s">
        <v>98</v>
      </c>
      <c r="J138" s="34" t="s">
        <v>75</v>
      </c>
      <c r="K138" s="37"/>
      <c r="L138" s="36" t="n">
        <f aca="false">IF(A138="","",YEAR(A138)*100+MONTH(A138))</f>
        <v>202512</v>
      </c>
    </row>
    <row r="139" customFormat="false" ht="15" hidden="false" customHeight="false" outlineLevel="0" collapsed="false">
      <c r="A139" s="32" t="n">
        <v>46001</v>
      </c>
      <c r="B139" s="33" t="str">
        <f aca="false">IF(A139="","",TEXT(A139,"yyyy-mm"))</f>
        <v>2025-12</v>
      </c>
      <c r="C139" s="34" t="s">
        <v>113</v>
      </c>
      <c r="D139" s="35" t="n">
        <v>172000</v>
      </c>
      <c r="E139" s="34" t="s">
        <v>112</v>
      </c>
      <c r="F139" s="33" t="str">
        <f aca="false">IF(E139="","",IFERROR(INDEX(카테고리!$B$2:$B$200,MATCH(E139,카테고리!$A$2:$A$200,0)),"미분류"))</f>
        <v>고정비</v>
      </c>
      <c r="G139" s="33" t="str">
        <f aca="false">IF(E139="","",IFERROR(INDEX(카테고리!$C$2:$C$200,MATCH(E139,카테고리!$A$2:$A$200,0)),"N"))</f>
        <v>Y</v>
      </c>
      <c r="H139" s="34" t="s">
        <v>78</v>
      </c>
      <c r="I139" s="34" t="s">
        <v>98</v>
      </c>
      <c r="J139" s="34" t="s">
        <v>75</v>
      </c>
      <c r="K139" s="37"/>
      <c r="L139" s="36" t="n">
        <f aca="false">IF(A139="","",YEAR(A139)*100+MONTH(A139))</f>
        <v>202512</v>
      </c>
    </row>
    <row r="140" customFormat="false" ht="15" hidden="false" customHeight="false" outlineLevel="0" collapsed="false">
      <c r="A140" s="32" t="n">
        <v>46001</v>
      </c>
      <c r="B140" s="33" t="str">
        <f aca="false">IF(A140="","",TEXT(A140,"yyyy-mm"))</f>
        <v>2025-12</v>
      </c>
      <c r="C140" s="34" t="s">
        <v>114</v>
      </c>
      <c r="D140" s="35" t="n">
        <v>148000</v>
      </c>
      <c r="E140" s="34" t="s">
        <v>112</v>
      </c>
      <c r="F140" s="33" t="str">
        <f aca="false">IF(E140="","",IFERROR(INDEX(카테고리!$B$2:$B$200,MATCH(E140,카테고리!$A$2:$A$200,0)),"미분류"))</f>
        <v>고정비</v>
      </c>
      <c r="G140" s="33" t="str">
        <f aca="false">IF(E140="","",IFERROR(INDEX(카테고리!$C$2:$C$200,MATCH(E140,카테고리!$A$2:$A$200,0)),"N"))</f>
        <v>Y</v>
      </c>
      <c r="H140" s="34" t="s">
        <v>73</v>
      </c>
      <c r="I140" s="34" t="s">
        <v>98</v>
      </c>
      <c r="J140" s="34" t="s">
        <v>75</v>
      </c>
      <c r="K140" s="37"/>
      <c r="L140" s="36" t="n">
        <f aca="false">IF(A140="","",YEAR(A140)*100+MONTH(A140))</f>
        <v>202512</v>
      </c>
    </row>
    <row r="141" customFormat="false" ht="15" hidden="false" customHeight="false" outlineLevel="0" collapsed="false">
      <c r="A141" s="32" t="n">
        <v>46002</v>
      </c>
      <c r="B141" s="33" t="str">
        <f aca="false">IF(A141="","",TEXT(A141,"yyyy-mm"))</f>
        <v>2025-12</v>
      </c>
      <c r="C141" s="34" t="s">
        <v>128</v>
      </c>
      <c r="D141" s="35" t="n">
        <v>11290</v>
      </c>
      <c r="E141" s="34" t="s">
        <v>116</v>
      </c>
      <c r="F141" s="33" t="str">
        <f aca="false">IF(E141="","",IFERROR(INDEX(카테고리!$B$2:$B$200,MATCH(E141,카테고리!$A$2:$A$200,0)),"미분류"))</f>
        <v>변동비</v>
      </c>
      <c r="G141" s="33" t="str">
        <f aca="false">IF(E141="","",IFERROR(INDEX(카테고리!$C$2:$C$200,MATCH(E141,카테고리!$A$2:$A$200,0)),"N"))</f>
        <v>Y</v>
      </c>
      <c r="H141" s="34" t="s">
        <v>81</v>
      </c>
      <c r="I141" s="34" t="s">
        <v>82</v>
      </c>
      <c r="J141" s="34" t="s">
        <v>75</v>
      </c>
      <c r="K141" s="37"/>
      <c r="L141" s="36" t="n">
        <f aca="false">IF(A141="","",YEAR(A141)*100+MONTH(A141))</f>
        <v>202512</v>
      </c>
    </row>
    <row r="142" customFormat="false" ht="15" hidden="false" customHeight="false" outlineLevel="0" collapsed="false">
      <c r="A142" s="32" t="n">
        <v>46004</v>
      </c>
      <c r="B142" s="33" t="str">
        <f aca="false">IF(A142="","",TEXT(A142,"yyyy-mm"))</f>
        <v>2025-12</v>
      </c>
      <c r="C142" s="34" t="s">
        <v>110</v>
      </c>
      <c r="D142" s="35" t="n">
        <v>9040</v>
      </c>
      <c r="E142" s="34" t="s">
        <v>85</v>
      </c>
      <c r="F142" s="33" t="str">
        <f aca="false">IF(E142="","",IFERROR(INDEX(카테고리!$B$2:$B$200,MATCH(E142,카테고리!$A$2:$A$200,0)),"미분류"))</f>
        <v>변동비</v>
      </c>
      <c r="G142" s="33" t="str">
        <f aca="false">IF(E142="","",IFERROR(INDEX(카테고리!$C$2:$C$200,MATCH(E142,카테고리!$A$2:$A$200,0)),"N"))</f>
        <v>Y</v>
      </c>
      <c r="H142" s="34" t="s">
        <v>78</v>
      </c>
      <c r="I142" s="34" t="s">
        <v>107</v>
      </c>
      <c r="J142" s="34" t="s">
        <v>75</v>
      </c>
      <c r="K142" s="37"/>
      <c r="L142" s="36" t="n">
        <f aca="false">IF(A142="","",YEAR(A142)*100+MONTH(A142))</f>
        <v>202512</v>
      </c>
    </row>
    <row r="143" customFormat="false" ht="15" hidden="false" customHeight="false" outlineLevel="0" collapsed="false">
      <c r="A143" s="32" t="n">
        <v>46006</v>
      </c>
      <c r="B143" s="33" t="str">
        <f aca="false">IF(A143="","",TEXT(A143,"yyyy-mm"))</f>
        <v>2025-12</v>
      </c>
      <c r="C143" s="34" t="s">
        <v>88</v>
      </c>
      <c r="D143" s="35" t="n">
        <v>25100</v>
      </c>
      <c r="E143" s="34" t="s">
        <v>89</v>
      </c>
      <c r="F143" s="33" t="str">
        <f aca="false">IF(E143="","",IFERROR(INDEX(카테고리!$B$2:$B$200,MATCH(E143,카테고리!$A$2:$A$200,0)),"미분류"))</f>
        <v>변동비</v>
      </c>
      <c r="G143" s="33" t="str">
        <f aca="false">IF(E143="","",IFERROR(INDEX(카테고리!$C$2:$C$200,MATCH(E143,카테고리!$A$2:$A$200,0)),"N"))</f>
        <v>N</v>
      </c>
      <c r="H143" s="34" t="s">
        <v>73</v>
      </c>
      <c r="I143" s="34" t="s">
        <v>90</v>
      </c>
      <c r="J143" s="34" t="s">
        <v>75</v>
      </c>
      <c r="K143" s="37"/>
      <c r="L143" s="36" t="n">
        <f aca="false">IF(A143="","",YEAR(A143)*100+MONTH(A143))</f>
        <v>202512</v>
      </c>
    </row>
    <row r="144" customFormat="false" ht="15" hidden="false" customHeight="false" outlineLevel="0" collapsed="false">
      <c r="A144" s="32" t="n">
        <v>46006</v>
      </c>
      <c r="B144" s="33" t="str">
        <f aca="false">IF(A144="","",TEXT(A144,"yyyy-mm"))</f>
        <v>2025-12</v>
      </c>
      <c r="C144" s="34" t="s">
        <v>155</v>
      </c>
      <c r="D144" s="35" t="n">
        <v>102000</v>
      </c>
      <c r="E144" s="34" t="s">
        <v>144</v>
      </c>
      <c r="F144" s="33" t="str">
        <f aca="false">IF(E144="","",IFERROR(INDEX(카테고리!$B$2:$B$200,MATCH(E144,카테고리!$A$2:$A$200,0)),"미분류"))</f>
        <v>소득</v>
      </c>
      <c r="G144" s="33" t="str">
        <f aca="false">IF(E144="","",IFERROR(INDEX(카테고리!$C$2:$C$200,MATCH(E144,카테고리!$A$2:$A$200,0)),"N"))</f>
        <v>N</v>
      </c>
      <c r="H144" s="34" t="s">
        <v>78</v>
      </c>
      <c r="I144" s="34" t="s">
        <v>131</v>
      </c>
      <c r="J144" s="34" t="s">
        <v>75</v>
      </c>
      <c r="K144" s="37"/>
      <c r="L144" s="36" t="n">
        <f aca="false">IF(A144="","",YEAR(A144)*100+MONTH(A144))</f>
        <v>202512</v>
      </c>
    </row>
    <row r="145" customFormat="false" ht="15" hidden="false" customHeight="false" outlineLevel="0" collapsed="false">
      <c r="A145" s="32" t="n">
        <v>46007</v>
      </c>
      <c r="B145" s="33" t="str">
        <f aca="false">IF(A145="","",TEXT(A145,"yyyy-mm"))</f>
        <v>2025-12</v>
      </c>
      <c r="C145" s="34" t="s">
        <v>110</v>
      </c>
      <c r="D145" s="35" t="n">
        <v>12500</v>
      </c>
      <c r="E145" s="34" t="s">
        <v>85</v>
      </c>
      <c r="F145" s="33" t="str">
        <f aca="false">IF(E145="","",IFERROR(INDEX(카테고리!$B$2:$B$200,MATCH(E145,카테고리!$A$2:$A$200,0)),"미분류"))</f>
        <v>변동비</v>
      </c>
      <c r="G145" s="33" t="str">
        <f aca="false">IF(E145="","",IFERROR(INDEX(카테고리!$C$2:$C$200,MATCH(E145,카테고리!$A$2:$A$200,0)),"N"))</f>
        <v>Y</v>
      </c>
      <c r="H145" s="34" t="s">
        <v>78</v>
      </c>
      <c r="I145" s="34" t="s">
        <v>107</v>
      </c>
      <c r="J145" s="34" t="s">
        <v>75</v>
      </c>
      <c r="K145" s="37"/>
      <c r="L145" s="36" t="n">
        <f aca="false">IF(A145="","",YEAR(A145)*100+MONTH(A145))</f>
        <v>202512</v>
      </c>
    </row>
    <row r="146" customFormat="false" ht="15" hidden="false" customHeight="false" outlineLevel="0" collapsed="false">
      <c r="A146" s="32" t="n">
        <v>46008</v>
      </c>
      <c r="B146" s="33" t="str">
        <f aca="false">IF(A146="","",TEXT(A146,"yyyy-mm"))</f>
        <v>2025-12</v>
      </c>
      <c r="C146" s="37" t="s">
        <v>84</v>
      </c>
      <c r="D146" s="35" t="n">
        <v>83320</v>
      </c>
      <c r="E146" s="34" t="s">
        <v>85</v>
      </c>
      <c r="F146" s="33" t="str">
        <f aca="false">IF(E146="","",IFERROR(INDEX(카테고리!$B$2:$B$200,MATCH(E146,카테고리!$A$2:$A$200,0)),"미분류"))</f>
        <v>변동비</v>
      </c>
      <c r="G146" s="33" t="str">
        <f aca="false">IF(E146="","",IFERROR(INDEX(카테고리!$C$2:$C$200,MATCH(E146,카테고리!$A$2:$A$200,0)),"N"))</f>
        <v>Y</v>
      </c>
      <c r="H146" s="34" t="s">
        <v>81</v>
      </c>
      <c r="I146" s="34" t="s">
        <v>82</v>
      </c>
      <c r="J146" s="34" t="s">
        <v>75</v>
      </c>
      <c r="K146" s="37"/>
      <c r="L146" s="36" t="n">
        <f aca="false">IF(A146="","",YEAR(A146)*100+MONTH(A146))</f>
        <v>202512</v>
      </c>
    </row>
    <row r="147" customFormat="false" ht="15" hidden="false" customHeight="false" outlineLevel="0" collapsed="false">
      <c r="A147" s="32" t="n">
        <v>46008</v>
      </c>
      <c r="B147" s="33" t="str">
        <f aca="false">IF(A147="","",TEXT(A147,"yyyy-mm"))</f>
        <v>2025-12</v>
      </c>
      <c r="C147" s="34" t="s">
        <v>147</v>
      </c>
      <c r="D147" s="35" t="n">
        <v>45640</v>
      </c>
      <c r="E147" s="34" t="s">
        <v>124</v>
      </c>
      <c r="F147" s="33" t="str">
        <f aca="false">IF(E147="","",IFERROR(INDEX(카테고리!$B$2:$B$200,MATCH(E147,카테고리!$A$2:$A$200,0)),"미분류"))</f>
        <v>변동비</v>
      </c>
      <c r="G147" s="33" t="str">
        <f aca="false">IF(E147="","",IFERROR(INDEX(카테고리!$C$2:$C$200,MATCH(E147,카테고리!$A$2:$A$200,0)),"N"))</f>
        <v>N</v>
      </c>
      <c r="H147" s="34" t="s">
        <v>78</v>
      </c>
      <c r="I147" s="34" t="s">
        <v>107</v>
      </c>
      <c r="J147" s="34" t="s">
        <v>75</v>
      </c>
      <c r="K147" s="37"/>
      <c r="L147" s="36" t="n">
        <f aca="false">IF(A147="","",YEAR(A147)*100+MONTH(A147))</f>
        <v>202512</v>
      </c>
    </row>
    <row r="148" customFormat="false" ht="15" hidden="false" customHeight="false" outlineLevel="0" collapsed="false">
      <c r="A148" s="32" t="n">
        <v>46009</v>
      </c>
      <c r="B148" s="33" t="str">
        <f aca="false">IF(A148="","",TEXT(A148,"yyyy-mm"))</f>
        <v>2025-12</v>
      </c>
      <c r="C148" s="34" t="s">
        <v>91</v>
      </c>
      <c r="D148" s="35" t="n">
        <v>85160</v>
      </c>
      <c r="E148" s="34" t="s">
        <v>92</v>
      </c>
      <c r="F148" s="33" t="str">
        <f aca="false">IF(E148="","",IFERROR(INDEX(카테고리!$B$2:$B$200,MATCH(E148,카테고리!$A$2:$A$200,0)),"미분류"))</f>
        <v>변동비</v>
      </c>
      <c r="G148" s="33" t="str">
        <f aca="false">IF(E148="","",IFERROR(INDEX(카테고리!$C$2:$C$200,MATCH(E148,카테고리!$A$2:$A$200,0)),"N"))</f>
        <v>Y</v>
      </c>
      <c r="H148" s="34" t="s">
        <v>73</v>
      </c>
      <c r="I148" s="34" t="s">
        <v>82</v>
      </c>
      <c r="J148" s="34" t="s">
        <v>75</v>
      </c>
      <c r="K148" s="37"/>
      <c r="L148" s="36" t="n">
        <f aca="false">IF(A148="","",YEAR(A148)*100+MONTH(A148))</f>
        <v>202512</v>
      </c>
    </row>
    <row r="149" customFormat="false" ht="15" hidden="false" customHeight="false" outlineLevel="0" collapsed="false">
      <c r="A149" s="32" t="n">
        <v>46011</v>
      </c>
      <c r="B149" s="33" t="str">
        <f aca="false">IF(A149="","",TEXT(A149,"yyyy-mm"))</f>
        <v>2025-12</v>
      </c>
      <c r="C149" s="34" t="s">
        <v>156</v>
      </c>
      <c r="D149" s="35" t="n">
        <v>1500000</v>
      </c>
      <c r="E149" s="34" t="s">
        <v>157</v>
      </c>
      <c r="F149" s="33" t="str">
        <f aca="false">IF(E149="","",IFERROR(INDEX(카테고리!$B$2:$B$200,MATCH(E149,카테고리!$A$2:$A$200,0)),"미분류"))</f>
        <v>소득</v>
      </c>
      <c r="G149" s="33" t="str">
        <f aca="false">IF(E149="","",IFERROR(INDEX(카테고리!$C$2:$C$200,MATCH(E149,카테고리!$A$2:$A$200,0)),"N"))</f>
        <v>N</v>
      </c>
      <c r="H149" s="34" t="s">
        <v>73</v>
      </c>
      <c r="I149" s="34" t="s">
        <v>131</v>
      </c>
      <c r="J149" s="34" t="s">
        <v>75</v>
      </c>
      <c r="K149" s="37"/>
      <c r="L149" s="36" t="n">
        <f aca="false">IF(A149="","",YEAR(A149)*100+MONTH(A149))</f>
        <v>202512</v>
      </c>
    </row>
    <row r="150" customFormat="false" ht="15" hidden="false" customHeight="false" outlineLevel="0" collapsed="false">
      <c r="A150" s="32" t="n">
        <v>46011</v>
      </c>
      <c r="B150" s="33" t="str">
        <f aca="false">IF(A150="","",TEXT(A150,"yyyy-mm"))</f>
        <v>2025-12</v>
      </c>
      <c r="C150" s="34" t="s">
        <v>117</v>
      </c>
      <c r="D150" s="35" t="n">
        <v>318960</v>
      </c>
      <c r="E150" s="34" t="s">
        <v>118</v>
      </c>
      <c r="F150" s="33" t="str">
        <f aca="false">IF(E150="","",IFERROR(INDEX(카테고리!$B$2:$B$200,MATCH(E150,카테고리!$A$2:$A$200,0)),"미분류"))</f>
        <v>고정비</v>
      </c>
      <c r="G150" s="33" t="str">
        <f aca="false">IF(E150="","",IFERROR(INDEX(카테고리!$C$2:$C$200,MATCH(E150,카테고리!$A$2:$A$200,0)),"N"))</f>
        <v>Y</v>
      </c>
      <c r="H150" s="34" t="s">
        <v>81</v>
      </c>
      <c r="I150" s="34" t="s">
        <v>98</v>
      </c>
      <c r="J150" s="34" t="s">
        <v>75</v>
      </c>
      <c r="K150" s="37"/>
      <c r="L150" s="36" t="n">
        <f aca="false">IF(A150="","",YEAR(A150)*100+MONTH(A150))</f>
        <v>202512</v>
      </c>
    </row>
    <row r="151" customFormat="false" ht="15" hidden="false" customHeight="false" outlineLevel="0" collapsed="false">
      <c r="A151" s="32" t="n">
        <v>46012</v>
      </c>
      <c r="B151" s="33" t="str">
        <f aca="false">IF(A151="","",TEXT(A151,"yyyy-mm"))</f>
        <v>2025-12</v>
      </c>
      <c r="C151" s="37" t="s">
        <v>119</v>
      </c>
      <c r="D151" s="35" t="n">
        <v>54000</v>
      </c>
      <c r="E151" s="34" t="s">
        <v>120</v>
      </c>
      <c r="F151" s="33" t="str">
        <f aca="false">IF(E151="","",IFERROR(INDEX(카테고리!$B$2:$B$200,MATCH(E151,카테고리!$A$2:$A$200,0)),"미분류"))</f>
        <v>고정비</v>
      </c>
      <c r="G151" s="33" t="str">
        <f aca="false">IF(E151="","",IFERROR(INDEX(카테고리!$C$2:$C$200,MATCH(E151,카테고리!$A$2:$A$200,0)),"N"))</f>
        <v>Y</v>
      </c>
      <c r="H151" s="34" t="s">
        <v>73</v>
      </c>
      <c r="I151" s="34" t="s">
        <v>90</v>
      </c>
      <c r="J151" s="34" t="s">
        <v>75</v>
      </c>
      <c r="K151" s="37"/>
      <c r="L151" s="36" t="n">
        <f aca="false">IF(A151="","",YEAR(A151)*100+MONTH(A151))</f>
        <v>202512</v>
      </c>
    </row>
    <row r="152" customFormat="false" ht="15" hidden="false" customHeight="false" outlineLevel="0" collapsed="false">
      <c r="A152" s="32" t="n">
        <v>46012</v>
      </c>
      <c r="B152" s="33" t="str">
        <f aca="false">IF(A152="","",TEXT(A152,"yyyy-mm"))</f>
        <v>2025-12</v>
      </c>
      <c r="C152" s="37" t="s">
        <v>121</v>
      </c>
      <c r="D152" s="35" t="n">
        <v>68000</v>
      </c>
      <c r="E152" s="34" t="s">
        <v>120</v>
      </c>
      <c r="F152" s="33" t="str">
        <f aca="false">IF(E152="","",IFERROR(INDEX(카테고리!$B$2:$B$200,MATCH(E152,카테고리!$A$2:$A$200,0)),"미분류"))</f>
        <v>고정비</v>
      </c>
      <c r="G152" s="33" t="str">
        <f aca="false">IF(E152="","",IFERROR(INDEX(카테고리!$C$2:$C$200,MATCH(E152,카테고리!$A$2:$A$200,0)),"N"))</f>
        <v>Y</v>
      </c>
      <c r="H152" s="34" t="s">
        <v>78</v>
      </c>
      <c r="I152" s="34" t="s">
        <v>107</v>
      </c>
      <c r="J152" s="34" t="s">
        <v>75</v>
      </c>
      <c r="K152" s="37"/>
      <c r="L152" s="36" t="n">
        <f aca="false">IF(A152="","",YEAR(A152)*100+MONTH(A152))</f>
        <v>202512</v>
      </c>
    </row>
    <row r="153" customFormat="false" ht="15" hidden="false" customHeight="false" outlineLevel="0" collapsed="false">
      <c r="A153" s="32" t="n">
        <v>46012</v>
      </c>
      <c r="B153" s="33" t="str">
        <f aca="false">IF(A153="","",TEXT(A153,"yyyy-mm"))</f>
        <v>2025-12</v>
      </c>
      <c r="C153" s="34" t="s">
        <v>86</v>
      </c>
      <c r="D153" s="35" t="n">
        <v>88500</v>
      </c>
      <c r="E153" s="34" t="s">
        <v>87</v>
      </c>
      <c r="F153" s="33" t="str">
        <f aca="false">IF(E153="","",IFERROR(INDEX(카테고리!$B$2:$B$200,MATCH(E153,카테고리!$A$2:$A$200,0)),"미분류"))</f>
        <v>변동비</v>
      </c>
      <c r="G153" s="33" t="str">
        <f aca="false">IF(E153="","",IFERROR(INDEX(카테고리!$C$2:$C$200,MATCH(E153,카테고리!$A$2:$A$200,0)),"N"))</f>
        <v>Y</v>
      </c>
      <c r="H153" s="34" t="s">
        <v>81</v>
      </c>
      <c r="I153" s="34" t="s">
        <v>82</v>
      </c>
      <c r="J153" s="34" t="s">
        <v>75</v>
      </c>
      <c r="K153" s="37"/>
      <c r="L153" s="36" t="n">
        <f aca="false">IF(A153="","",YEAR(A153)*100+MONTH(A153))</f>
        <v>202512</v>
      </c>
    </row>
    <row r="154" customFormat="false" ht="15" hidden="false" customHeight="false" outlineLevel="0" collapsed="false">
      <c r="A154" s="32" t="n">
        <v>46012</v>
      </c>
      <c r="B154" s="33" t="str">
        <f aca="false">IF(A154="","",TEXT(A154,"yyyy-mm"))</f>
        <v>2025-12</v>
      </c>
      <c r="C154" s="34" t="s">
        <v>122</v>
      </c>
      <c r="D154" s="35" t="n">
        <v>33000</v>
      </c>
      <c r="E154" s="34" t="s">
        <v>120</v>
      </c>
      <c r="F154" s="33" t="str">
        <f aca="false">IF(E154="","",IFERROR(INDEX(카테고리!$B$2:$B$200,MATCH(E154,카테고리!$A$2:$A$200,0)),"미분류"))</f>
        <v>고정비</v>
      </c>
      <c r="G154" s="33" t="str">
        <f aca="false">IF(E154="","",IFERROR(INDEX(카테고리!$C$2:$C$200,MATCH(E154,카테고리!$A$2:$A$200,0)),"N"))</f>
        <v>Y</v>
      </c>
      <c r="H154" s="34" t="s">
        <v>81</v>
      </c>
      <c r="I154" s="34" t="s">
        <v>98</v>
      </c>
      <c r="J154" s="34" t="s">
        <v>75</v>
      </c>
      <c r="K154" s="37"/>
      <c r="L154" s="36" t="n">
        <f aca="false">IF(A154="","",YEAR(A154)*100+MONTH(A154))</f>
        <v>202512</v>
      </c>
    </row>
    <row r="155" customFormat="false" ht="15" hidden="false" customHeight="false" outlineLevel="0" collapsed="false">
      <c r="A155" s="32" t="n">
        <v>46013</v>
      </c>
      <c r="B155" s="33" t="str">
        <f aca="false">IF(A155="","",TEXT(A155,"yyyy-mm"))</f>
        <v>2025-12</v>
      </c>
      <c r="C155" s="34" t="s">
        <v>148</v>
      </c>
      <c r="D155" s="35" t="n">
        <v>118620</v>
      </c>
      <c r="E155" s="34" t="s">
        <v>92</v>
      </c>
      <c r="F155" s="33" t="str">
        <f aca="false">IF(E155="","",IFERROR(INDEX(카테고리!$B$2:$B$200,MATCH(E155,카테고리!$A$2:$A$200,0)),"미분류"))</f>
        <v>변동비</v>
      </c>
      <c r="G155" s="33" t="str">
        <f aca="false">IF(E155="","",IFERROR(INDEX(카테고리!$C$2:$C$200,MATCH(E155,카테고리!$A$2:$A$200,0)),"N"))</f>
        <v>Y</v>
      </c>
      <c r="H155" s="34" t="s">
        <v>81</v>
      </c>
      <c r="I155" s="34" t="s">
        <v>82</v>
      </c>
      <c r="J155" s="34" t="s">
        <v>75</v>
      </c>
      <c r="K155" s="37"/>
      <c r="L155" s="36" t="n">
        <f aca="false">IF(A155="","",YEAR(A155)*100+MONTH(A155))</f>
        <v>202512</v>
      </c>
    </row>
    <row r="156" customFormat="false" ht="15" hidden="false" customHeight="false" outlineLevel="0" collapsed="false">
      <c r="A156" s="32" t="n">
        <v>46015</v>
      </c>
      <c r="B156" s="33" t="str">
        <f aca="false">IF(A156="","",TEXT(A156,"yyyy-mm"))</f>
        <v>2025-12</v>
      </c>
      <c r="C156" s="34" t="s">
        <v>128</v>
      </c>
      <c r="D156" s="35" t="n">
        <v>57020</v>
      </c>
      <c r="E156" s="34" t="s">
        <v>116</v>
      </c>
      <c r="F156" s="33" t="str">
        <f aca="false">IF(E156="","",IFERROR(INDEX(카테고리!$B$2:$B$200,MATCH(E156,카테고리!$A$2:$A$200,0)),"미분류"))</f>
        <v>변동비</v>
      </c>
      <c r="G156" s="33" t="str">
        <f aca="false">IF(E156="","",IFERROR(INDEX(카테고리!$C$2:$C$200,MATCH(E156,카테고리!$A$2:$A$200,0)),"N"))</f>
        <v>Y</v>
      </c>
      <c r="H156" s="34" t="s">
        <v>81</v>
      </c>
      <c r="I156" s="34" t="s">
        <v>82</v>
      </c>
      <c r="J156" s="34" t="s">
        <v>75</v>
      </c>
      <c r="K156" s="37"/>
      <c r="L156" s="36" t="n">
        <f aca="false">IF(A156="","",YEAR(A156)*100+MONTH(A156))</f>
        <v>202512</v>
      </c>
    </row>
    <row r="157" customFormat="false" ht="15" hidden="false" customHeight="false" outlineLevel="0" collapsed="false">
      <c r="A157" s="32" t="n">
        <v>46016</v>
      </c>
      <c r="B157" s="33" t="str">
        <f aca="false">IF(A157="","",TEXT(A157,"yyyy-mm"))</f>
        <v>2025-12</v>
      </c>
      <c r="C157" s="34" t="s">
        <v>129</v>
      </c>
      <c r="D157" s="35" t="n">
        <v>3620000</v>
      </c>
      <c r="E157" s="34" t="s">
        <v>130</v>
      </c>
      <c r="F157" s="33" t="str">
        <f aca="false">IF(E157="","",IFERROR(INDEX(카테고리!$B$2:$B$200,MATCH(E157,카테고리!$A$2:$A$200,0)),"미분류"))</f>
        <v>소득</v>
      </c>
      <c r="G157" s="33" t="str">
        <f aca="false">IF(E157="","",IFERROR(INDEX(카테고리!$C$2:$C$200,MATCH(E157,카테고리!$A$2:$A$200,0)),"N"))</f>
        <v>N</v>
      </c>
      <c r="H157" s="34" t="s">
        <v>73</v>
      </c>
      <c r="I157" s="34" t="s">
        <v>131</v>
      </c>
      <c r="J157" s="34" t="s">
        <v>75</v>
      </c>
      <c r="K157" s="37"/>
      <c r="L157" s="36" t="n">
        <f aca="false">IF(A157="","",YEAR(A157)*100+MONTH(A157))</f>
        <v>202512</v>
      </c>
    </row>
    <row r="158" customFormat="false" ht="15" hidden="false" customHeight="false" outlineLevel="0" collapsed="false">
      <c r="A158" s="32" t="n">
        <v>46016</v>
      </c>
      <c r="B158" s="33" t="str">
        <f aca="false">IF(A158="","",TEXT(A158,"yyyy-mm"))</f>
        <v>2025-12</v>
      </c>
      <c r="C158" s="34" t="s">
        <v>132</v>
      </c>
      <c r="D158" s="35" t="n">
        <v>4850000</v>
      </c>
      <c r="E158" s="34" t="s">
        <v>130</v>
      </c>
      <c r="F158" s="33" t="str">
        <f aca="false">IF(E158="","",IFERROR(INDEX(카테고리!$B$2:$B$200,MATCH(E158,카테고리!$A$2:$A$200,0)),"미분류"))</f>
        <v>소득</v>
      </c>
      <c r="G158" s="33" t="str">
        <f aca="false">IF(E158="","",IFERROR(INDEX(카테고리!$C$2:$C$200,MATCH(E158,카테고리!$A$2:$A$200,0)),"N"))</f>
        <v>N</v>
      </c>
      <c r="H158" s="34" t="s">
        <v>78</v>
      </c>
      <c r="I158" s="34" t="s">
        <v>131</v>
      </c>
      <c r="J158" s="34" t="s">
        <v>75</v>
      </c>
      <c r="K158" s="37"/>
      <c r="L158" s="36" t="n">
        <f aca="false">IF(A158="","",YEAR(A158)*100+MONTH(A158))</f>
        <v>202512</v>
      </c>
    </row>
    <row r="159" customFormat="false" ht="15" hidden="false" customHeight="false" outlineLevel="0" collapsed="false">
      <c r="A159" s="32" t="n">
        <v>46017</v>
      </c>
      <c r="B159" s="33" t="str">
        <f aca="false">IF(A159="","",TEXT(A159,"yyyy-mm"))</f>
        <v>2025-12</v>
      </c>
      <c r="C159" s="37" t="s">
        <v>133</v>
      </c>
      <c r="D159" s="35" t="n">
        <v>200000</v>
      </c>
      <c r="E159" s="34" t="s">
        <v>134</v>
      </c>
      <c r="F159" s="33" t="str">
        <f aca="false">IF(E159="","",IFERROR(INDEX(카테고리!$B$2:$B$200,MATCH(E159,카테고리!$A$2:$A$200,0)),"미분류"))</f>
        <v>자본이동</v>
      </c>
      <c r="G159" s="33" t="str">
        <f aca="false">IF(E159="","",IFERROR(INDEX(카테고리!$C$2:$C$200,MATCH(E159,카테고리!$A$2:$A$200,0)),"N"))</f>
        <v>N</v>
      </c>
      <c r="H159" s="34" t="s">
        <v>73</v>
      </c>
      <c r="I159" s="34" t="s">
        <v>98</v>
      </c>
      <c r="J159" s="34" t="s">
        <v>75</v>
      </c>
      <c r="K159" s="37"/>
      <c r="L159" s="36" t="n">
        <f aca="false">IF(A159="","",YEAR(A159)*100+MONTH(A159))</f>
        <v>202512</v>
      </c>
    </row>
    <row r="160" customFormat="false" ht="15" hidden="false" customHeight="false" outlineLevel="0" collapsed="false">
      <c r="A160" s="32" t="n">
        <v>46017</v>
      </c>
      <c r="B160" s="33" t="str">
        <f aca="false">IF(A160="","",TEXT(A160,"yyyy-mm"))</f>
        <v>2025-12</v>
      </c>
      <c r="C160" s="34" t="s">
        <v>86</v>
      </c>
      <c r="D160" s="35" t="n">
        <v>28320</v>
      </c>
      <c r="E160" s="34" t="s">
        <v>87</v>
      </c>
      <c r="F160" s="33" t="str">
        <f aca="false">IF(E160="","",IFERROR(INDEX(카테고리!$B$2:$B$200,MATCH(E160,카테고리!$A$2:$A$200,0)),"미분류"))</f>
        <v>변동비</v>
      </c>
      <c r="G160" s="33" t="str">
        <f aca="false">IF(E160="","",IFERROR(INDEX(카테고리!$C$2:$C$200,MATCH(E160,카테고리!$A$2:$A$200,0)),"N"))</f>
        <v>Y</v>
      </c>
      <c r="H160" s="34" t="s">
        <v>81</v>
      </c>
      <c r="I160" s="34" t="s">
        <v>82</v>
      </c>
      <c r="J160" s="34" t="s">
        <v>75</v>
      </c>
      <c r="K160" s="37"/>
      <c r="L160" s="36" t="n">
        <f aca="false">IF(A160="","",YEAR(A160)*100+MONTH(A160))</f>
        <v>202512</v>
      </c>
    </row>
    <row r="161" customFormat="false" ht="15" hidden="false" customHeight="false" outlineLevel="0" collapsed="false">
      <c r="A161" s="32" t="n">
        <v>46017</v>
      </c>
      <c r="B161" s="33" t="str">
        <f aca="false">IF(A161="","",TEXT(A161,"yyyy-mm"))</f>
        <v>2025-12</v>
      </c>
      <c r="C161" s="34" t="s">
        <v>135</v>
      </c>
      <c r="D161" s="35" t="n">
        <v>650000</v>
      </c>
      <c r="E161" s="34" t="s">
        <v>136</v>
      </c>
      <c r="F161" s="33" t="str">
        <f aca="false">IF(E161="","",IFERROR(INDEX(카테고리!$B$2:$B$200,MATCH(E161,카테고리!$A$2:$A$200,0)),"미분류"))</f>
        <v>자본이동</v>
      </c>
      <c r="G161" s="33" t="str">
        <f aca="false">IF(E161="","",IFERROR(INDEX(카테고리!$C$2:$C$200,MATCH(E161,카테고리!$A$2:$A$200,0)),"N"))</f>
        <v>N</v>
      </c>
      <c r="H161" s="34" t="s">
        <v>73</v>
      </c>
      <c r="I161" s="34" t="s">
        <v>74</v>
      </c>
      <c r="J161" s="34" t="s">
        <v>75</v>
      </c>
      <c r="K161" s="37"/>
      <c r="L161" s="36" t="n">
        <f aca="false">IF(A161="","",YEAR(A161)*100+MONTH(A161))</f>
        <v>202512</v>
      </c>
    </row>
    <row r="162" customFormat="false" ht="15" hidden="false" customHeight="false" outlineLevel="0" collapsed="false">
      <c r="A162" s="32" t="n">
        <v>46017</v>
      </c>
      <c r="B162" s="33" t="str">
        <f aca="false">IF(A162="","",TEXT(A162,"yyyy-mm"))</f>
        <v>2025-12</v>
      </c>
      <c r="C162" s="34" t="s">
        <v>158</v>
      </c>
      <c r="D162" s="35" t="n">
        <v>79990</v>
      </c>
      <c r="E162" s="34" t="s">
        <v>89</v>
      </c>
      <c r="F162" s="33" t="str">
        <f aca="false">IF(E162="","",IFERROR(INDEX(카테고리!$B$2:$B$200,MATCH(E162,카테고리!$A$2:$A$200,0)),"미분류"))</f>
        <v>변동비</v>
      </c>
      <c r="G162" s="33" t="str">
        <f aca="false">IF(E162="","",IFERROR(INDEX(카테고리!$C$2:$C$200,MATCH(E162,카테고리!$A$2:$A$200,0)),"N"))</f>
        <v>N</v>
      </c>
      <c r="H162" s="34" t="s">
        <v>78</v>
      </c>
      <c r="I162" s="34" t="s">
        <v>82</v>
      </c>
      <c r="J162" s="34" t="s">
        <v>75</v>
      </c>
      <c r="K162" s="37"/>
      <c r="L162" s="36" t="n">
        <f aca="false">IF(A162="","",YEAR(A162)*100+MONTH(A162))</f>
        <v>202512</v>
      </c>
    </row>
    <row r="163" customFormat="false" ht="15" hidden="false" customHeight="false" outlineLevel="0" collapsed="false">
      <c r="A163" s="32" t="n">
        <v>46017</v>
      </c>
      <c r="B163" s="33" t="str">
        <f aca="false">IF(A163="","",TEXT(A163,"yyyy-mm"))</f>
        <v>2025-12</v>
      </c>
      <c r="C163" s="34" t="s">
        <v>137</v>
      </c>
      <c r="D163" s="35" t="n">
        <v>300000</v>
      </c>
      <c r="E163" s="34" t="s">
        <v>134</v>
      </c>
      <c r="F163" s="33" t="str">
        <f aca="false">IF(E163="","",IFERROR(INDEX(카테고리!$B$2:$B$200,MATCH(E163,카테고리!$A$2:$A$200,0)),"미분류"))</f>
        <v>자본이동</v>
      </c>
      <c r="G163" s="33" t="str">
        <f aca="false">IF(E163="","",IFERROR(INDEX(카테고리!$C$2:$C$200,MATCH(E163,카테고리!$A$2:$A$200,0)),"N"))</f>
        <v>N</v>
      </c>
      <c r="H163" s="34" t="s">
        <v>78</v>
      </c>
      <c r="I163" s="34" t="s">
        <v>98</v>
      </c>
      <c r="J163" s="34" t="s">
        <v>75</v>
      </c>
      <c r="K163" s="37"/>
      <c r="L163" s="36" t="n">
        <f aca="false">IF(A163="","",YEAR(A163)*100+MONTH(A163))</f>
        <v>202512</v>
      </c>
    </row>
    <row r="164" customFormat="false" ht="15" hidden="false" customHeight="false" outlineLevel="0" collapsed="false">
      <c r="A164" s="32" t="n">
        <v>46017</v>
      </c>
      <c r="B164" s="33" t="str">
        <f aca="false">IF(A164="","",TEXT(A164,"yyyy-mm"))</f>
        <v>2025-12</v>
      </c>
      <c r="C164" s="34" t="s">
        <v>138</v>
      </c>
      <c r="D164" s="35" t="n">
        <v>300000</v>
      </c>
      <c r="E164" s="34" t="s">
        <v>139</v>
      </c>
      <c r="F164" s="33" t="str">
        <f aca="false">IF(E164="","",IFERROR(INDEX(카테고리!$B$2:$B$200,MATCH(E164,카테고리!$A$2:$A$200,0)),"미분류"))</f>
        <v>자본이동</v>
      </c>
      <c r="G164" s="33" t="str">
        <f aca="false">IF(E164="","",IFERROR(INDEX(카테고리!$C$2:$C$200,MATCH(E164,카테고리!$A$2:$A$200,0)),"N"))</f>
        <v>N</v>
      </c>
      <c r="H164" s="34" t="s">
        <v>81</v>
      </c>
      <c r="I164" s="34" t="s">
        <v>98</v>
      </c>
      <c r="J164" s="34" t="s">
        <v>75</v>
      </c>
      <c r="K164" s="37"/>
      <c r="L164" s="36" t="n">
        <f aca="false">IF(A164="","",YEAR(A164)*100+MONTH(A164))</f>
        <v>202512</v>
      </c>
    </row>
    <row r="165" customFormat="false" ht="15" hidden="false" customHeight="false" outlineLevel="0" collapsed="false">
      <c r="A165" s="32" t="n">
        <v>46017</v>
      </c>
      <c r="B165" s="33" t="str">
        <f aca="false">IF(A165="","",TEXT(A165,"yyyy-mm"))</f>
        <v>2025-12</v>
      </c>
      <c r="C165" s="34" t="s">
        <v>140</v>
      </c>
      <c r="D165" s="35" t="n">
        <v>100000</v>
      </c>
      <c r="E165" s="34" t="s">
        <v>139</v>
      </c>
      <c r="F165" s="33" t="str">
        <f aca="false">IF(E165="","",IFERROR(INDEX(카테고리!$B$2:$B$200,MATCH(E165,카테고리!$A$2:$A$200,0)),"미분류"))</f>
        <v>자본이동</v>
      </c>
      <c r="G165" s="33" t="str">
        <f aca="false">IF(E165="","",IFERROR(INDEX(카테고리!$C$2:$C$200,MATCH(E165,카테고리!$A$2:$A$200,0)),"N"))</f>
        <v>N</v>
      </c>
      <c r="H165" s="34" t="s">
        <v>78</v>
      </c>
      <c r="I165" s="34" t="s">
        <v>98</v>
      </c>
      <c r="J165" s="34" t="s">
        <v>75</v>
      </c>
      <c r="K165" s="37"/>
      <c r="L165" s="36" t="n">
        <f aca="false">IF(A165="","",YEAR(A165)*100+MONTH(A165))</f>
        <v>202512</v>
      </c>
    </row>
    <row r="166" customFormat="false" ht="15" hidden="false" customHeight="false" outlineLevel="0" collapsed="false">
      <c r="A166" s="32" t="n">
        <v>46017</v>
      </c>
      <c r="B166" s="33" t="str">
        <f aca="false">IF(A166="","",TEXT(A166,"yyyy-mm"))</f>
        <v>2025-12</v>
      </c>
      <c r="C166" s="34" t="s">
        <v>141</v>
      </c>
      <c r="D166" s="35" t="n">
        <v>850000</v>
      </c>
      <c r="E166" s="34" t="s">
        <v>136</v>
      </c>
      <c r="F166" s="33" t="str">
        <f aca="false">IF(E166="","",IFERROR(INDEX(카테고리!$B$2:$B$200,MATCH(E166,카테고리!$A$2:$A$200,0)),"미분류"))</f>
        <v>자본이동</v>
      </c>
      <c r="G166" s="33" t="str">
        <f aca="false">IF(E166="","",IFERROR(INDEX(카테고리!$C$2:$C$200,MATCH(E166,카테고리!$A$2:$A$200,0)),"N"))</f>
        <v>N</v>
      </c>
      <c r="H166" s="34" t="s">
        <v>78</v>
      </c>
      <c r="I166" s="34" t="s">
        <v>74</v>
      </c>
      <c r="J166" s="34" t="s">
        <v>75</v>
      </c>
      <c r="K166" s="37"/>
      <c r="L166" s="36" t="n">
        <f aca="false">IF(A166="","",YEAR(A166)*100+MONTH(A166))</f>
        <v>202512</v>
      </c>
    </row>
    <row r="167" customFormat="false" ht="15" hidden="false" customHeight="false" outlineLevel="0" collapsed="false">
      <c r="A167" s="32" t="n">
        <v>46017</v>
      </c>
      <c r="B167" s="33" t="str">
        <f aca="false">IF(A167="","",TEXT(A167,"yyyy-mm"))</f>
        <v>2025-12</v>
      </c>
      <c r="C167" s="34" t="s">
        <v>142</v>
      </c>
      <c r="D167" s="35" t="n">
        <v>200000</v>
      </c>
      <c r="E167" s="34" t="s">
        <v>136</v>
      </c>
      <c r="F167" s="33" t="str">
        <f aca="false">IF(E167="","",IFERROR(INDEX(카테고리!$B$2:$B$200,MATCH(E167,카테고리!$A$2:$A$200,0)),"미분류"))</f>
        <v>자본이동</v>
      </c>
      <c r="G167" s="33" t="str">
        <f aca="false">IF(E167="","",IFERROR(INDEX(카테고리!$C$2:$C$200,MATCH(E167,카테고리!$A$2:$A$200,0)),"N"))</f>
        <v>N</v>
      </c>
      <c r="H167" s="34" t="s">
        <v>81</v>
      </c>
      <c r="I167" s="34" t="s">
        <v>74</v>
      </c>
      <c r="J167" s="34" t="s">
        <v>75</v>
      </c>
      <c r="K167" s="37"/>
      <c r="L167" s="36" t="n">
        <f aca="false">IF(A167="","",YEAR(A167)*100+MONTH(A167))</f>
        <v>202512</v>
      </c>
    </row>
    <row r="168" customFormat="false" ht="15" hidden="false" customHeight="false" outlineLevel="0" collapsed="false">
      <c r="A168" s="32" t="n">
        <v>46019</v>
      </c>
      <c r="B168" s="33" t="str">
        <f aca="false">IF(A168="","",TEXT(A168,"yyyy-mm"))</f>
        <v>2025-12</v>
      </c>
      <c r="C168" s="37" t="s">
        <v>149</v>
      </c>
      <c r="D168" s="35" t="n">
        <v>33980</v>
      </c>
      <c r="E168" s="34" t="s">
        <v>124</v>
      </c>
      <c r="F168" s="33" t="str">
        <f aca="false">IF(E168="","",IFERROR(INDEX(카테고리!$B$2:$B$200,MATCH(E168,카테고리!$A$2:$A$200,0)),"미분류"))</f>
        <v>변동비</v>
      </c>
      <c r="G168" s="33" t="str">
        <f aca="false">IF(E168="","",IFERROR(INDEX(카테고리!$C$2:$C$200,MATCH(E168,카테고리!$A$2:$A$200,0)),"N"))</f>
        <v>N</v>
      </c>
      <c r="H168" s="34" t="s">
        <v>81</v>
      </c>
      <c r="I168" s="34" t="s">
        <v>107</v>
      </c>
      <c r="J168" s="34" t="s">
        <v>75</v>
      </c>
      <c r="K168" s="37"/>
      <c r="L168" s="36" t="n">
        <f aca="false">IF(A168="","",YEAR(A168)*100+MONTH(A168))</f>
        <v>202512</v>
      </c>
    </row>
    <row r="169" customFormat="false" ht="15" hidden="false" customHeight="false" outlineLevel="0" collapsed="false">
      <c r="A169" s="32" t="n">
        <v>46019</v>
      </c>
      <c r="B169" s="33" t="str">
        <f aca="false">IF(A169="","",TEXT(A169,"yyyy-mm"))</f>
        <v>2025-12</v>
      </c>
      <c r="C169" s="34" t="s">
        <v>110</v>
      </c>
      <c r="D169" s="35" t="n">
        <v>15570</v>
      </c>
      <c r="E169" s="34" t="s">
        <v>85</v>
      </c>
      <c r="F169" s="33" t="str">
        <f aca="false">IF(E169="","",IFERROR(INDEX(카테고리!$B$2:$B$200,MATCH(E169,카테고리!$A$2:$A$200,0)),"미분류"))</f>
        <v>변동비</v>
      </c>
      <c r="G169" s="33" t="str">
        <f aca="false">IF(E169="","",IFERROR(INDEX(카테고리!$C$2:$C$200,MATCH(E169,카테고리!$A$2:$A$200,0)),"N"))</f>
        <v>Y</v>
      </c>
      <c r="H169" s="34" t="s">
        <v>78</v>
      </c>
      <c r="I169" s="34" t="s">
        <v>107</v>
      </c>
      <c r="J169" s="34" t="s">
        <v>75</v>
      </c>
      <c r="K169" s="37"/>
      <c r="L169" s="36" t="n">
        <f aca="false">IF(A169="","",YEAR(A169)*100+MONTH(A169))</f>
        <v>202512</v>
      </c>
    </row>
    <row r="170" customFormat="false" ht="15" hidden="false" customHeight="false" outlineLevel="0" collapsed="false">
      <c r="A170" s="32" t="n">
        <v>46019</v>
      </c>
      <c r="B170" s="33" t="str">
        <f aca="false">IF(A170="","",TEXT(A170,"yyyy-mm"))</f>
        <v>2025-12</v>
      </c>
      <c r="C170" s="34" t="s">
        <v>143</v>
      </c>
      <c r="D170" s="35" t="n">
        <v>17000</v>
      </c>
      <c r="E170" s="34" t="s">
        <v>144</v>
      </c>
      <c r="F170" s="33" t="str">
        <f aca="false">IF(E170="","",IFERROR(INDEX(카테고리!$B$2:$B$200,MATCH(E170,카테고리!$A$2:$A$200,0)),"미분류"))</f>
        <v>소득</v>
      </c>
      <c r="G170" s="33" t="str">
        <f aca="false">IF(E170="","",IFERROR(INDEX(카테고리!$C$2:$C$200,MATCH(E170,카테고리!$A$2:$A$200,0)),"N"))</f>
        <v>N</v>
      </c>
      <c r="H170" s="34" t="s">
        <v>81</v>
      </c>
      <c r="I170" s="34" t="s">
        <v>131</v>
      </c>
      <c r="J170" s="34" t="s">
        <v>75</v>
      </c>
      <c r="K170" s="37"/>
      <c r="L170" s="36" t="n">
        <f aca="false">IF(A170="","",YEAR(A170)*100+MONTH(A170))</f>
        <v>202512</v>
      </c>
    </row>
    <row r="171" customFormat="false" ht="15" hidden="false" customHeight="false" outlineLevel="0" collapsed="false">
      <c r="A171" s="32" t="n">
        <v>46022</v>
      </c>
      <c r="B171" s="33" t="str">
        <f aca="false">IF(A171="","",TEXT(A171,"yyyy-mm"))</f>
        <v>2025-12</v>
      </c>
      <c r="C171" s="34" t="s">
        <v>159</v>
      </c>
      <c r="D171" s="35" t="n">
        <v>262000</v>
      </c>
      <c r="E171" s="34" t="s">
        <v>160</v>
      </c>
      <c r="F171" s="33" t="str">
        <f aca="false">IF(E171="","",IFERROR(INDEX(카테고리!$B$2:$B$200,MATCH(E171,카테고리!$A$2:$A$200,0)),"미분류"))</f>
        <v>비정기비</v>
      </c>
      <c r="G171" s="33" t="str">
        <f aca="false">IF(E171="","",IFERROR(INDEX(카테고리!$C$2:$C$200,MATCH(E171,카테고리!$A$2:$A$200,0)),"N"))</f>
        <v>Y</v>
      </c>
      <c r="H171" s="34" t="s">
        <v>81</v>
      </c>
      <c r="I171" s="34" t="s">
        <v>74</v>
      </c>
      <c r="J171" s="34" t="s">
        <v>75</v>
      </c>
      <c r="K171" s="37"/>
      <c r="L171" s="36" t="n">
        <f aca="false">IF(A171="","",YEAR(A171)*100+MONTH(A171))</f>
        <v>202512</v>
      </c>
    </row>
    <row r="172" customFormat="false" ht="15" hidden="false" customHeight="false" outlineLevel="0" collapsed="false">
      <c r="A172" s="32" t="n">
        <v>46023</v>
      </c>
      <c r="B172" s="33" t="str">
        <f aca="false">IF(A172="","",TEXT(A172,"yyyy-mm"))</f>
        <v>2026-01</v>
      </c>
      <c r="C172" s="34" t="s">
        <v>71</v>
      </c>
      <c r="D172" s="35" t="n">
        <v>300000</v>
      </c>
      <c r="E172" s="34" t="s">
        <v>72</v>
      </c>
      <c r="F172" s="33" t="str">
        <f aca="false">IF(E172="","",IFERROR(INDEX(카테고리!$B$2:$B$200,MATCH(E172,카테고리!$A$2:$A$200,0)),"미분류"))</f>
        <v>변동비</v>
      </c>
      <c r="G172" s="33" t="str">
        <f aca="false">IF(E172="","",IFERROR(INDEX(카테고리!$C$2:$C$200,MATCH(E172,카테고리!$A$2:$A$200,0)),"N"))</f>
        <v>N</v>
      </c>
      <c r="H172" s="34" t="s">
        <v>73</v>
      </c>
      <c r="I172" s="34" t="s">
        <v>74</v>
      </c>
      <c r="J172" s="34" t="s">
        <v>75</v>
      </c>
      <c r="K172" s="37"/>
      <c r="L172" s="36" t="n">
        <f aca="false">IF(A172="","",YEAR(A172)*100+MONTH(A172))</f>
        <v>202601</v>
      </c>
    </row>
    <row r="173" customFormat="false" ht="15" hidden="false" customHeight="false" outlineLevel="0" collapsed="false">
      <c r="A173" s="32" t="n">
        <v>46023</v>
      </c>
      <c r="B173" s="33" t="str">
        <f aca="false">IF(A173="","",TEXT(A173,"yyyy-mm"))</f>
        <v>2026-01</v>
      </c>
      <c r="C173" s="34" t="s">
        <v>77</v>
      </c>
      <c r="D173" s="35" t="n">
        <v>300000</v>
      </c>
      <c r="E173" s="34" t="s">
        <v>72</v>
      </c>
      <c r="F173" s="33" t="str">
        <f aca="false">IF(E173="","",IFERROR(INDEX(카테고리!$B$2:$B$200,MATCH(E173,카테고리!$A$2:$A$200,0)),"미분류"))</f>
        <v>변동비</v>
      </c>
      <c r="G173" s="33" t="str">
        <f aca="false">IF(E173="","",IFERROR(INDEX(카테고리!$C$2:$C$200,MATCH(E173,카테고리!$A$2:$A$200,0)),"N"))</f>
        <v>N</v>
      </c>
      <c r="H173" s="34" t="s">
        <v>78</v>
      </c>
      <c r="I173" s="34" t="s">
        <v>74</v>
      </c>
      <c r="J173" s="34" t="s">
        <v>75</v>
      </c>
      <c r="K173" s="37"/>
      <c r="L173" s="36" t="n">
        <f aca="false">IF(A173="","",YEAR(A173)*100+MONTH(A173))</f>
        <v>202601</v>
      </c>
    </row>
    <row r="174" customFormat="false" ht="15" hidden="false" customHeight="false" outlineLevel="0" collapsed="false">
      <c r="A174" s="32" t="n">
        <v>46023</v>
      </c>
      <c r="B174" s="33" t="str">
        <f aca="false">IF(A174="","",TEXT(A174,"yyyy-mm"))</f>
        <v>2026-01</v>
      </c>
      <c r="C174" s="34" t="s">
        <v>79</v>
      </c>
      <c r="D174" s="35" t="n">
        <v>140000</v>
      </c>
      <c r="E174" s="34" t="s">
        <v>80</v>
      </c>
      <c r="F174" s="33" t="str">
        <f aca="false">IF(E174="","",IFERROR(INDEX(카테고리!$B$2:$B$200,MATCH(E174,카테고리!$A$2:$A$200,0)),"미분류"))</f>
        <v>고정비</v>
      </c>
      <c r="G174" s="33" t="str">
        <f aca="false">IF(E174="","",IFERROR(INDEX(카테고리!$C$2:$C$200,MATCH(E174,카테고리!$A$2:$A$200,0)),"N"))</f>
        <v>Y</v>
      </c>
      <c r="H174" s="34" t="s">
        <v>81</v>
      </c>
      <c r="I174" s="34" t="s">
        <v>82</v>
      </c>
      <c r="J174" s="34" t="s">
        <v>75</v>
      </c>
      <c r="K174" s="37"/>
      <c r="L174" s="36" t="n">
        <f aca="false">IF(A174="","",YEAR(A174)*100+MONTH(A174))</f>
        <v>202601</v>
      </c>
    </row>
    <row r="175" customFormat="false" ht="15" hidden="false" customHeight="false" outlineLevel="0" collapsed="false">
      <c r="A175" s="32" t="n">
        <v>46023</v>
      </c>
      <c r="B175" s="33" t="str">
        <f aca="false">IF(A175="","",TEXT(A175,"yyyy-mm"))</f>
        <v>2026-01</v>
      </c>
      <c r="C175" s="34" t="s">
        <v>83</v>
      </c>
      <c r="D175" s="35" t="n">
        <v>380000</v>
      </c>
      <c r="E175" s="34" t="s">
        <v>80</v>
      </c>
      <c r="F175" s="33" t="str">
        <f aca="false">IF(E175="","",IFERROR(INDEX(카테고리!$B$2:$B$200,MATCH(E175,카테고리!$A$2:$A$200,0)),"미분류"))</f>
        <v>고정비</v>
      </c>
      <c r="G175" s="33" t="str">
        <f aca="false">IF(E175="","",IFERROR(INDEX(카테고리!$C$2:$C$200,MATCH(E175,카테고리!$A$2:$A$200,0)),"N"))</f>
        <v>Y</v>
      </c>
      <c r="H175" s="34" t="s">
        <v>81</v>
      </c>
      <c r="I175" s="34" t="s">
        <v>82</v>
      </c>
      <c r="J175" s="34" t="s">
        <v>75</v>
      </c>
      <c r="K175" s="37"/>
      <c r="L175" s="36" t="n">
        <f aca="false">IF(A175="","",YEAR(A175)*100+MONTH(A175))</f>
        <v>202601</v>
      </c>
    </row>
    <row r="176" customFormat="false" ht="15" hidden="false" customHeight="false" outlineLevel="0" collapsed="false">
      <c r="A176" s="32" t="n">
        <v>46024</v>
      </c>
      <c r="B176" s="33" t="str">
        <f aca="false">IF(A176="","",TEXT(A176,"yyyy-mm"))</f>
        <v>2026-01</v>
      </c>
      <c r="C176" s="34" t="s">
        <v>91</v>
      </c>
      <c r="D176" s="35" t="n">
        <v>65740</v>
      </c>
      <c r="E176" s="34" t="s">
        <v>92</v>
      </c>
      <c r="F176" s="33" t="str">
        <f aca="false">IF(E176="","",IFERROR(INDEX(카테고리!$B$2:$B$200,MATCH(E176,카테고리!$A$2:$A$200,0)),"미분류"))</f>
        <v>변동비</v>
      </c>
      <c r="G176" s="33" t="str">
        <f aca="false">IF(E176="","",IFERROR(INDEX(카테고리!$C$2:$C$200,MATCH(E176,카테고리!$A$2:$A$200,0)),"N"))</f>
        <v>Y</v>
      </c>
      <c r="H176" s="34" t="s">
        <v>81</v>
      </c>
      <c r="I176" s="34" t="s">
        <v>82</v>
      </c>
      <c r="J176" s="34" t="s">
        <v>75</v>
      </c>
      <c r="K176" s="37"/>
      <c r="L176" s="36" t="n">
        <f aca="false">IF(A176="","",YEAR(A176)*100+MONTH(A176))</f>
        <v>202601</v>
      </c>
    </row>
    <row r="177" customFormat="false" ht="15" hidden="false" customHeight="false" outlineLevel="0" collapsed="false">
      <c r="A177" s="32" t="n">
        <v>46025</v>
      </c>
      <c r="B177" s="33" t="str">
        <f aca="false">IF(A177="","",TEXT(A177,"yyyy-mm"))</f>
        <v>2026-01</v>
      </c>
      <c r="C177" s="34" t="s">
        <v>94</v>
      </c>
      <c r="D177" s="35" t="n">
        <v>50000</v>
      </c>
      <c r="E177" s="34" t="s">
        <v>85</v>
      </c>
      <c r="F177" s="33" t="str">
        <f aca="false">IF(E177="","",IFERROR(INDEX(카테고리!$B$2:$B$200,MATCH(E177,카테고리!$A$2:$A$200,0)),"미분류"))</f>
        <v>변동비</v>
      </c>
      <c r="G177" s="33" t="str">
        <f aca="false">IF(E177="","",IFERROR(INDEX(카테고리!$C$2:$C$200,MATCH(E177,카테고리!$A$2:$A$200,0)),"N"))</f>
        <v>Y</v>
      </c>
      <c r="H177" s="34" t="s">
        <v>73</v>
      </c>
      <c r="I177" s="34" t="s">
        <v>90</v>
      </c>
      <c r="J177" s="34" t="s">
        <v>75</v>
      </c>
      <c r="K177" s="37"/>
      <c r="L177" s="36" t="n">
        <f aca="false">IF(A177="","",YEAR(A177)*100+MONTH(A177))</f>
        <v>202601</v>
      </c>
    </row>
    <row r="178" customFormat="false" ht="15" hidden="false" customHeight="false" outlineLevel="0" collapsed="false">
      <c r="A178" s="32" t="n">
        <v>46026</v>
      </c>
      <c r="B178" s="33" t="str">
        <f aca="false">IF(A178="","",TEXT(A178,"yyyy-mm"))</f>
        <v>2026-01</v>
      </c>
      <c r="C178" s="34" t="s">
        <v>127</v>
      </c>
      <c r="D178" s="35" t="n">
        <v>38370</v>
      </c>
      <c r="E178" s="34" t="s">
        <v>89</v>
      </c>
      <c r="F178" s="33" t="str">
        <f aca="false">IF(E178="","",IFERROR(INDEX(카테고리!$B$2:$B$200,MATCH(E178,카테고리!$A$2:$A$200,0)),"미분류"))</f>
        <v>변동비</v>
      </c>
      <c r="G178" s="33" t="str">
        <f aca="false">IF(E178="","",IFERROR(INDEX(카테고리!$C$2:$C$200,MATCH(E178,카테고리!$A$2:$A$200,0)),"N"))</f>
        <v>N</v>
      </c>
      <c r="H178" s="34" t="s">
        <v>78</v>
      </c>
      <c r="I178" s="34" t="s">
        <v>107</v>
      </c>
      <c r="J178" s="34" t="s">
        <v>75</v>
      </c>
      <c r="K178" s="37"/>
      <c r="L178" s="36" t="n">
        <f aca="false">IF(A178="","",YEAR(A178)*100+MONTH(A178))</f>
        <v>202601</v>
      </c>
    </row>
    <row r="179" customFormat="false" ht="15" hidden="false" customHeight="false" outlineLevel="0" collapsed="false">
      <c r="A179" s="32" t="n">
        <v>46027</v>
      </c>
      <c r="B179" s="33" t="str">
        <f aca="false">IF(A179="","",TEXT(A179,"yyyy-mm"))</f>
        <v>2026-01</v>
      </c>
      <c r="C179" s="37" t="s">
        <v>84</v>
      </c>
      <c r="D179" s="35" t="n">
        <v>71440</v>
      </c>
      <c r="E179" s="34" t="s">
        <v>85</v>
      </c>
      <c r="F179" s="33" t="str">
        <f aca="false">IF(E179="","",IFERROR(INDEX(카테고리!$B$2:$B$200,MATCH(E179,카테고리!$A$2:$A$200,0)),"미분류"))</f>
        <v>변동비</v>
      </c>
      <c r="G179" s="33" t="str">
        <f aca="false">IF(E179="","",IFERROR(INDEX(카테고리!$C$2:$C$200,MATCH(E179,카테고리!$A$2:$A$200,0)),"N"))</f>
        <v>Y</v>
      </c>
      <c r="H179" s="34" t="s">
        <v>81</v>
      </c>
      <c r="I179" s="34" t="s">
        <v>82</v>
      </c>
      <c r="J179" s="34" t="s">
        <v>75</v>
      </c>
      <c r="K179" s="37"/>
      <c r="L179" s="36" t="n">
        <f aca="false">IF(A179="","",YEAR(A179)*100+MONTH(A179))</f>
        <v>202601</v>
      </c>
    </row>
    <row r="180" customFormat="false" ht="15" hidden="false" customHeight="false" outlineLevel="0" collapsed="false">
      <c r="A180" s="32" t="n">
        <v>46027</v>
      </c>
      <c r="B180" s="33" t="str">
        <f aca="false">IF(A180="","",TEXT(A180,"yyyy-mm"))</f>
        <v>2026-01</v>
      </c>
      <c r="C180" s="34" t="s">
        <v>96</v>
      </c>
      <c r="D180" s="35" t="n">
        <v>300000</v>
      </c>
      <c r="E180" s="34" t="s">
        <v>97</v>
      </c>
      <c r="F180" s="33" t="str">
        <f aca="false">IF(E180="","",IFERROR(INDEX(카테고리!$B$2:$B$200,MATCH(E180,카테고리!$A$2:$A$200,0)),"미분류"))</f>
        <v>자본이동</v>
      </c>
      <c r="G180" s="33" t="str">
        <f aca="false">IF(E180="","",IFERROR(INDEX(카테고리!$C$2:$C$200,MATCH(E180,카테고리!$A$2:$A$200,0)),"N"))</f>
        <v>N</v>
      </c>
      <c r="H180" s="34" t="s">
        <v>78</v>
      </c>
      <c r="I180" s="34" t="s">
        <v>98</v>
      </c>
      <c r="J180" s="34" t="s">
        <v>75</v>
      </c>
      <c r="K180" s="37"/>
      <c r="L180" s="36" t="n">
        <f aca="false">IF(A180="","",YEAR(A180)*100+MONTH(A180))</f>
        <v>202601</v>
      </c>
    </row>
    <row r="181" customFormat="false" ht="15" hidden="false" customHeight="false" outlineLevel="0" collapsed="false">
      <c r="A181" s="32" t="n">
        <v>46027</v>
      </c>
      <c r="B181" s="33" t="str">
        <f aca="false">IF(A181="","",TEXT(A181,"yyyy-mm"))</f>
        <v>2026-01</v>
      </c>
      <c r="C181" s="34" t="s">
        <v>99</v>
      </c>
      <c r="D181" s="35" t="n">
        <v>78100</v>
      </c>
      <c r="E181" s="34" t="s">
        <v>100</v>
      </c>
      <c r="F181" s="33" t="str">
        <f aca="false">IF(E181="","",IFERROR(INDEX(카테고리!$B$2:$B$200,MATCH(E181,카테고리!$A$2:$A$200,0)),"미분류"))</f>
        <v>고정비</v>
      </c>
      <c r="G181" s="33" t="str">
        <f aca="false">IF(E181="","",IFERROR(INDEX(카테고리!$C$2:$C$200,MATCH(E181,카테고리!$A$2:$A$200,0)),"N"))</f>
        <v>Y</v>
      </c>
      <c r="H181" s="34" t="s">
        <v>78</v>
      </c>
      <c r="I181" s="34" t="s">
        <v>98</v>
      </c>
      <c r="J181" s="34" t="s">
        <v>75</v>
      </c>
      <c r="K181" s="37"/>
      <c r="L181" s="36" t="n">
        <f aca="false">IF(A181="","",YEAR(A181)*100+MONTH(A181))</f>
        <v>202601</v>
      </c>
    </row>
    <row r="182" customFormat="false" ht="15" hidden="false" customHeight="false" outlineLevel="0" collapsed="false">
      <c r="A182" s="32" t="n">
        <v>46027</v>
      </c>
      <c r="B182" s="33" t="str">
        <f aca="false">IF(A182="","",TEXT(A182,"yyyy-mm"))</f>
        <v>2026-01</v>
      </c>
      <c r="C182" s="34" t="s">
        <v>101</v>
      </c>
      <c r="D182" s="35" t="n">
        <v>600000</v>
      </c>
      <c r="E182" s="34" t="s">
        <v>97</v>
      </c>
      <c r="F182" s="33" t="str">
        <f aca="false">IF(E182="","",IFERROR(INDEX(카테고리!$B$2:$B$200,MATCH(E182,카테고리!$A$2:$A$200,0)),"미분류"))</f>
        <v>자본이동</v>
      </c>
      <c r="G182" s="33" t="str">
        <f aca="false">IF(E182="","",IFERROR(INDEX(카테고리!$C$2:$C$200,MATCH(E182,카테고리!$A$2:$A$200,0)),"N"))</f>
        <v>N</v>
      </c>
      <c r="H182" s="34" t="s">
        <v>81</v>
      </c>
      <c r="I182" s="34" t="s">
        <v>98</v>
      </c>
      <c r="J182" s="34" t="s">
        <v>75</v>
      </c>
      <c r="K182" s="37"/>
      <c r="L182" s="36" t="n">
        <f aca="false">IF(A182="","",YEAR(A182)*100+MONTH(A182))</f>
        <v>202601</v>
      </c>
    </row>
    <row r="183" customFormat="false" ht="15" hidden="false" customHeight="false" outlineLevel="0" collapsed="false">
      <c r="A183" s="32" t="n">
        <v>46027</v>
      </c>
      <c r="B183" s="33" t="str">
        <f aca="false">IF(A183="","",TEXT(A183,"yyyy-mm"))</f>
        <v>2026-01</v>
      </c>
      <c r="C183" s="34" t="s">
        <v>102</v>
      </c>
      <c r="D183" s="35" t="n">
        <v>999000</v>
      </c>
      <c r="E183" s="34" t="s">
        <v>100</v>
      </c>
      <c r="F183" s="33" t="str">
        <f aca="false">IF(E183="","",IFERROR(INDEX(카테고리!$B$2:$B$200,MATCH(E183,카테고리!$A$2:$A$200,0)),"미분류"))</f>
        <v>고정비</v>
      </c>
      <c r="G183" s="33" t="str">
        <f aca="false">IF(E183="","",IFERROR(INDEX(카테고리!$C$2:$C$200,MATCH(E183,카테고리!$A$2:$A$200,0)),"N"))</f>
        <v>Y</v>
      </c>
      <c r="H183" s="34" t="s">
        <v>81</v>
      </c>
      <c r="I183" s="34" t="s">
        <v>98</v>
      </c>
      <c r="J183" s="34" t="s">
        <v>75</v>
      </c>
      <c r="K183" s="37"/>
      <c r="L183" s="36" t="n">
        <f aca="false">IF(A183="","",YEAR(A183)*100+MONTH(A183))</f>
        <v>202601</v>
      </c>
    </row>
    <row r="184" customFormat="false" ht="15" hidden="false" customHeight="false" outlineLevel="0" collapsed="false">
      <c r="A184" s="32" t="n">
        <v>46028</v>
      </c>
      <c r="B184" s="33" t="str">
        <f aca="false">IF(A184="","",TEXT(A184,"yyyy-mm"))</f>
        <v>2026-01</v>
      </c>
      <c r="C184" s="34" t="s">
        <v>110</v>
      </c>
      <c r="D184" s="35" t="n">
        <v>21140</v>
      </c>
      <c r="E184" s="34" t="s">
        <v>85</v>
      </c>
      <c r="F184" s="33" t="str">
        <f aca="false">IF(E184="","",IFERROR(INDEX(카테고리!$B$2:$B$200,MATCH(E184,카테고리!$A$2:$A$200,0)),"미분류"))</f>
        <v>변동비</v>
      </c>
      <c r="G184" s="33" t="str">
        <f aca="false">IF(E184="","",IFERROR(INDEX(카테고리!$C$2:$C$200,MATCH(E184,카테고리!$A$2:$A$200,0)),"N"))</f>
        <v>Y</v>
      </c>
      <c r="H184" s="34" t="s">
        <v>78</v>
      </c>
      <c r="I184" s="34" t="s">
        <v>107</v>
      </c>
      <c r="J184" s="34" t="s">
        <v>75</v>
      </c>
      <c r="K184" s="37"/>
      <c r="L184" s="36" t="n">
        <f aca="false">IF(A184="","",YEAR(A184)*100+MONTH(A184))</f>
        <v>202601</v>
      </c>
    </row>
    <row r="185" customFormat="false" ht="15" hidden="false" customHeight="false" outlineLevel="0" collapsed="false">
      <c r="A185" s="32" t="n">
        <v>46028</v>
      </c>
      <c r="B185" s="33" t="str">
        <f aca="false">IF(A185="","",TEXT(A185,"yyyy-mm"))</f>
        <v>2026-01</v>
      </c>
      <c r="C185" s="34" t="s">
        <v>95</v>
      </c>
      <c r="D185" s="35" t="n">
        <v>75430</v>
      </c>
      <c r="E185" s="34" t="s">
        <v>89</v>
      </c>
      <c r="F185" s="33" t="str">
        <f aca="false">IF(E185="","",IFERROR(INDEX(카테고리!$B$2:$B$200,MATCH(E185,카테고리!$A$2:$A$200,0)),"미분류"))</f>
        <v>변동비</v>
      </c>
      <c r="G185" s="33" t="str">
        <f aca="false">IF(E185="","",IFERROR(INDEX(카테고리!$C$2:$C$200,MATCH(E185,카테고리!$A$2:$A$200,0)),"N"))</f>
        <v>N</v>
      </c>
      <c r="H185" s="34" t="s">
        <v>73</v>
      </c>
      <c r="I185" s="34" t="s">
        <v>90</v>
      </c>
      <c r="J185" s="34" t="s">
        <v>75</v>
      </c>
      <c r="K185" s="37"/>
      <c r="L185" s="36" t="n">
        <f aca="false">IF(A185="","",YEAR(A185)*100+MONTH(A185))</f>
        <v>202601</v>
      </c>
    </row>
    <row r="186" customFormat="false" ht="15" hidden="false" customHeight="false" outlineLevel="0" collapsed="false">
      <c r="A186" s="32" t="n">
        <v>46029</v>
      </c>
      <c r="B186" s="33" t="str">
        <f aca="false">IF(A186="","",TEXT(A186,"yyyy-mm"))</f>
        <v>2026-01</v>
      </c>
      <c r="C186" s="34" t="s">
        <v>104</v>
      </c>
      <c r="D186" s="35" t="n">
        <v>17000</v>
      </c>
      <c r="E186" s="34" t="s">
        <v>105</v>
      </c>
      <c r="F186" s="33" t="str">
        <f aca="false">IF(E186="","",IFERROR(INDEX(카테고리!$B$2:$B$200,MATCH(E186,카테고리!$A$2:$A$200,0)),"미분류"))</f>
        <v>고정비</v>
      </c>
      <c r="G186" s="33" t="str">
        <f aca="false">IF(E186="","",IFERROR(INDEX(카테고리!$C$2:$C$200,MATCH(E186,카테고리!$A$2:$A$200,0)),"N"))</f>
        <v>N</v>
      </c>
      <c r="H186" s="34" t="s">
        <v>81</v>
      </c>
      <c r="I186" s="34" t="s">
        <v>82</v>
      </c>
      <c r="J186" s="34" t="s">
        <v>75</v>
      </c>
      <c r="K186" s="37"/>
      <c r="L186" s="36" t="n">
        <f aca="false">IF(A186="","",YEAR(A186)*100+MONTH(A186))</f>
        <v>202601</v>
      </c>
    </row>
    <row r="187" customFormat="false" ht="15" hidden="false" customHeight="false" outlineLevel="0" collapsed="false">
      <c r="A187" s="32" t="n">
        <v>46029</v>
      </c>
      <c r="B187" s="33" t="str">
        <f aca="false">IF(A187="","",TEXT(A187,"yyyy-mm"))</f>
        <v>2026-01</v>
      </c>
      <c r="C187" s="34" t="s">
        <v>106</v>
      </c>
      <c r="D187" s="35" t="n">
        <v>14900</v>
      </c>
      <c r="E187" s="34" t="s">
        <v>105</v>
      </c>
      <c r="F187" s="33" t="str">
        <f aca="false">IF(E187="","",IFERROR(INDEX(카테고리!$B$2:$B$200,MATCH(E187,카테고리!$A$2:$A$200,0)),"미분류"))</f>
        <v>고정비</v>
      </c>
      <c r="G187" s="33" t="str">
        <f aca="false">IF(E187="","",IFERROR(INDEX(카테고리!$C$2:$C$200,MATCH(E187,카테고리!$A$2:$A$200,0)),"N"))</f>
        <v>N</v>
      </c>
      <c r="H187" s="34" t="s">
        <v>78</v>
      </c>
      <c r="I187" s="34" t="s">
        <v>107</v>
      </c>
      <c r="J187" s="34" t="s">
        <v>75</v>
      </c>
      <c r="K187" s="37"/>
      <c r="L187" s="36" t="n">
        <f aca="false">IF(A187="","",YEAR(A187)*100+MONTH(A187))</f>
        <v>202601</v>
      </c>
    </row>
    <row r="188" customFormat="false" ht="15" hidden="false" customHeight="false" outlineLevel="0" collapsed="false">
      <c r="A188" s="32" t="n">
        <v>46029</v>
      </c>
      <c r="B188" s="33" t="str">
        <f aca="false">IF(A188="","",TEXT(A188,"yyyy-mm"))</f>
        <v>2026-01</v>
      </c>
      <c r="C188" s="34" t="s">
        <v>148</v>
      </c>
      <c r="D188" s="35" t="n">
        <v>96180</v>
      </c>
      <c r="E188" s="34" t="s">
        <v>92</v>
      </c>
      <c r="F188" s="33" t="str">
        <f aca="false">IF(E188="","",IFERROR(INDEX(카테고리!$B$2:$B$200,MATCH(E188,카테고리!$A$2:$A$200,0)),"미분류"))</f>
        <v>변동비</v>
      </c>
      <c r="G188" s="33" t="str">
        <f aca="false">IF(E188="","",IFERROR(INDEX(카테고리!$C$2:$C$200,MATCH(E188,카테고리!$A$2:$A$200,0)),"N"))</f>
        <v>Y</v>
      </c>
      <c r="H188" s="34" t="s">
        <v>81</v>
      </c>
      <c r="I188" s="34" t="s">
        <v>82</v>
      </c>
      <c r="J188" s="34" t="s">
        <v>75</v>
      </c>
      <c r="K188" s="37"/>
      <c r="L188" s="36" t="n">
        <f aca="false">IF(A188="","",YEAR(A188)*100+MONTH(A188))</f>
        <v>202601</v>
      </c>
    </row>
    <row r="189" customFormat="false" ht="15" hidden="false" customHeight="false" outlineLevel="0" collapsed="false">
      <c r="A189" s="32" t="n">
        <v>46029</v>
      </c>
      <c r="B189" s="33" t="str">
        <f aca="false">IF(A189="","",TEXT(A189,"yyyy-mm"))</f>
        <v>2026-01</v>
      </c>
      <c r="C189" s="34" t="s">
        <v>108</v>
      </c>
      <c r="D189" s="35" t="n">
        <v>7890</v>
      </c>
      <c r="E189" s="34" t="s">
        <v>105</v>
      </c>
      <c r="F189" s="33" t="str">
        <f aca="false">IF(E189="","",IFERROR(INDEX(카테고리!$B$2:$B$200,MATCH(E189,카테고리!$A$2:$A$200,0)),"미분류"))</f>
        <v>고정비</v>
      </c>
      <c r="G189" s="33" t="str">
        <f aca="false">IF(E189="","",IFERROR(INDEX(카테고리!$C$2:$C$200,MATCH(E189,카테고리!$A$2:$A$200,0)),"N"))</f>
        <v>N</v>
      </c>
      <c r="H189" s="34" t="s">
        <v>73</v>
      </c>
      <c r="I189" s="34" t="s">
        <v>90</v>
      </c>
      <c r="J189" s="34" t="s">
        <v>75</v>
      </c>
      <c r="K189" s="37"/>
      <c r="L189" s="36" t="n">
        <f aca="false">IF(A189="","",YEAR(A189)*100+MONTH(A189))</f>
        <v>202601</v>
      </c>
    </row>
    <row r="190" customFormat="false" ht="15" hidden="false" customHeight="false" outlineLevel="0" collapsed="false">
      <c r="A190" s="32" t="n">
        <v>46029</v>
      </c>
      <c r="B190" s="33" t="str">
        <f aca="false">IF(A190="","",TEXT(A190,"yyyy-mm"))</f>
        <v>2026-01</v>
      </c>
      <c r="C190" s="34" t="s">
        <v>145</v>
      </c>
      <c r="D190" s="35" t="n">
        <v>62940</v>
      </c>
      <c r="E190" s="34" t="s">
        <v>89</v>
      </c>
      <c r="F190" s="33" t="str">
        <f aca="false">IF(E190="","",IFERROR(INDEX(카테고리!$B$2:$B$200,MATCH(E190,카테고리!$A$2:$A$200,0)),"미분류"))</f>
        <v>변동비</v>
      </c>
      <c r="G190" s="33" t="str">
        <f aca="false">IF(E190="","",IFERROR(INDEX(카테고리!$C$2:$C$200,MATCH(E190,카테고리!$A$2:$A$200,0)),"N"))</f>
        <v>N</v>
      </c>
      <c r="H190" s="34" t="s">
        <v>81</v>
      </c>
      <c r="I190" s="34" t="s">
        <v>90</v>
      </c>
      <c r="J190" s="34" t="s">
        <v>75</v>
      </c>
      <c r="K190" s="37"/>
      <c r="L190" s="36" t="n">
        <f aca="false">IF(A190="","",YEAR(A190)*100+MONTH(A190))</f>
        <v>202601</v>
      </c>
    </row>
    <row r="191" customFormat="false" ht="15" hidden="false" customHeight="false" outlineLevel="0" collapsed="false">
      <c r="A191" s="32" t="n">
        <v>46032</v>
      </c>
      <c r="B191" s="33" t="str">
        <f aca="false">IF(A191="","",TEXT(A191,"yyyy-mm"))</f>
        <v>2026-01</v>
      </c>
      <c r="C191" s="37" t="s">
        <v>111</v>
      </c>
      <c r="D191" s="35" t="n">
        <v>68000</v>
      </c>
      <c r="E191" s="34" t="s">
        <v>112</v>
      </c>
      <c r="F191" s="33" t="str">
        <f aca="false">IF(E191="","",IFERROR(INDEX(카테고리!$B$2:$B$200,MATCH(E191,카테고리!$A$2:$A$200,0)),"미분류"))</f>
        <v>고정비</v>
      </c>
      <c r="G191" s="33" t="str">
        <f aca="false">IF(E191="","",IFERROR(INDEX(카테고리!$C$2:$C$200,MATCH(E191,카테고리!$A$2:$A$200,0)),"N"))</f>
        <v>Y</v>
      </c>
      <c r="H191" s="34" t="s">
        <v>81</v>
      </c>
      <c r="I191" s="34" t="s">
        <v>98</v>
      </c>
      <c r="J191" s="34" t="s">
        <v>75</v>
      </c>
      <c r="K191" s="37"/>
      <c r="L191" s="36" t="n">
        <f aca="false">IF(A191="","",YEAR(A191)*100+MONTH(A191))</f>
        <v>202601</v>
      </c>
    </row>
    <row r="192" customFormat="false" ht="15" hidden="false" customHeight="false" outlineLevel="0" collapsed="false">
      <c r="A192" s="32" t="n">
        <v>46032</v>
      </c>
      <c r="B192" s="33" t="str">
        <f aca="false">IF(A192="","",TEXT(A192,"yyyy-mm"))</f>
        <v>2026-01</v>
      </c>
      <c r="C192" s="34" t="s">
        <v>113</v>
      </c>
      <c r="D192" s="35" t="n">
        <v>172000</v>
      </c>
      <c r="E192" s="34" t="s">
        <v>112</v>
      </c>
      <c r="F192" s="33" t="str">
        <f aca="false">IF(E192="","",IFERROR(INDEX(카테고리!$B$2:$B$200,MATCH(E192,카테고리!$A$2:$A$200,0)),"미분류"))</f>
        <v>고정비</v>
      </c>
      <c r="G192" s="33" t="str">
        <f aca="false">IF(E192="","",IFERROR(INDEX(카테고리!$C$2:$C$200,MATCH(E192,카테고리!$A$2:$A$200,0)),"N"))</f>
        <v>Y</v>
      </c>
      <c r="H192" s="34" t="s">
        <v>78</v>
      </c>
      <c r="I192" s="34" t="s">
        <v>98</v>
      </c>
      <c r="J192" s="34" t="s">
        <v>75</v>
      </c>
      <c r="K192" s="37"/>
      <c r="L192" s="36" t="n">
        <f aca="false">IF(A192="","",YEAR(A192)*100+MONTH(A192))</f>
        <v>202601</v>
      </c>
    </row>
    <row r="193" customFormat="false" ht="15" hidden="false" customHeight="false" outlineLevel="0" collapsed="false">
      <c r="A193" s="32" t="n">
        <v>46032</v>
      </c>
      <c r="B193" s="33" t="str">
        <f aca="false">IF(A193="","",TEXT(A193,"yyyy-mm"))</f>
        <v>2026-01</v>
      </c>
      <c r="C193" s="34" t="s">
        <v>161</v>
      </c>
      <c r="D193" s="35" t="n">
        <v>3000000</v>
      </c>
      <c r="E193" s="34" t="s">
        <v>157</v>
      </c>
      <c r="F193" s="33" t="str">
        <f aca="false">IF(E193="","",IFERROR(INDEX(카테고리!$B$2:$B$200,MATCH(E193,카테고리!$A$2:$A$200,0)),"미분류"))</f>
        <v>소득</v>
      </c>
      <c r="G193" s="33" t="str">
        <f aca="false">IF(E193="","",IFERROR(INDEX(카테고리!$C$2:$C$200,MATCH(E193,카테고리!$A$2:$A$200,0)),"N"))</f>
        <v>N</v>
      </c>
      <c r="H193" s="34" t="s">
        <v>78</v>
      </c>
      <c r="I193" s="34" t="s">
        <v>131</v>
      </c>
      <c r="J193" s="34" t="s">
        <v>75</v>
      </c>
      <c r="K193" s="37"/>
      <c r="L193" s="36" t="n">
        <f aca="false">IF(A193="","",YEAR(A193)*100+MONTH(A193))</f>
        <v>202601</v>
      </c>
    </row>
    <row r="194" customFormat="false" ht="15" hidden="false" customHeight="false" outlineLevel="0" collapsed="false">
      <c r="A194" s="32" t="n">
        <v>46032</v>
      </c>
      <c r="B194" s="33" t="str">
        <f aca="false">IF(A194="","",TEXT(A194,"yyyy-mm"))</f>
        <v>2026-01</v>
      </c>
      <c r="C194" s="34" t="s">
        <v>114</v>
      </c>
      <c r="D194" s="35" t="n">
        <v>148000</v>
      </c>
      <c r="E194" s="34" t="s">
        <v>112</v>
      </c>
      <c r="F194" s="33" t="str">
        <f aca="false">IF(E194="","",IFERROR(INDEX(카테고리!$B$2:$B$200,MATCH(E194,카테고리!$A$2:$A$200,0)),"미분류"))</f>
        <v>고정비</v>
      </c>
      <c r="G194" s="33" t="str">
        <f aca="false">IF(E194="","",IFERROR(INDEX(카테고리!$C$2:$C$200,MATCH(E194,카테고리!$A$2:$A$200,0)),"N"))</f>
        <v>Y</v>
      </c>
      <c r="H194" s="34" t="s">
        <v>73</v>
      </c>
      <c r="I194" s="34" t="s">
        <v>98</v>
      </c>
      <c r="J194" s="34" t="s">
        <v>75</v>
      </c>
      <c r="K194" s="37"/>
      <c r="L194" s="36" t="n">
        <f aca="false">IF(A194="","",YEAR(A194)*100+MONTH(A194))</f>
        <v>202601</v>
      </c>
    </row>
    <row r="195" customFormat="false" ht="15" hidden="false" customHeight="false" outlineLevel="0" collapsed="false">
      <c r="A195" s="32" t="n">
        <v>46034</v>
      </c>
      <c r="B195" s="33" t="str">
        <f aca="false">IF(A195="","",TEXT(A195,"yyyy-mm"))</f>
        <v>2026-01</v>
      </c>
      <c r="C195" s="37" t="s">
        <v>149</v>
      </c>
      <c r="D195" s="35" t="n">
        <v>71900</v>
      </c>
      <c r="E195" s="34" t="s">
        <v>124</v>
      </c>
      <c r="F195" s="33" t="str">
        <f aca="false">IF(E195="","",IFERROR(INDEX(카테고리!$B$2:$B$200,MATCH(E195,카테고리!$A$2:$A$200,0)),"미분류"))</f>
        <v>변동비</v>
      </c>
      <c r="G195" s="33" t="str">
        <f aca="false">IF(E195="","",IFERROR(INDEX(카테고리!$C$2:$C$200,MATCH(E195,카테고리!$A$2:$A$200,0)),"N"))</f>
        <v>N</v>
      </c>
      <c r="H195" s="34" t="s">
        <v>78</v>
      </c>
      <c r="I195" s="34" t="s">
        <v>107</v>
      </c>
      <c r="J195" s="34" t="s">
        <v>75</v>
      </c>
      <c r="K195" s="37"/>
      <c r="L195" s="36" t="n">
        <f aca="false">IF(A195="","",YEAR(A195)*100+MONTH(A195))</f>
        <v>202601</v>
      </c>
    </row>
    <row r="196" customFormat="false" ht="15" hidden="false" customHeight="false" outlineLevel="0" collapsed="false">
      <c r="A196" s="32" t="n">
        <v>46034</v>
      </c>
      <c r="B196" s="33" t="str">
        <f aca="false">IF(A196="","",TEXT(A196,"yyyy-mm"))</f>
        <v>2026-01</v>
      </c>
      <c r="C196" s="34" t="s">
        <v>158</v>
      </c>
      <c r="D196" s="35" t="n">
        <v>27020</v>
      </c>
      <c r="E196" s="34" t="s">
        <v>89</v>
      </c>
      <c r="F196" s="33" t="str">
        <f aca="false">IF(E196="","",IFERROR(INDEX(카테고리!$B$2:$B$200,MATCH(E196,카테고리!$A$2:$A$200,0)),"미분류"))</f>
        <v>변동비</v>
      </c>
      <c r="G196" s="33" t="str">
        <f aca="false">IF(E196="","",IFERROR(INDEX(카테고리!$C$2:$C$200,MATCH(E196,카테고리!$A$2:$A$200,0)),"N"))</f>
        <v>N</v>
      </c>
      <c r="H196" s="34" t="s">
        <v>81</v>
      </c>
      <c r="I196" s="34" t="s">
        <v>107</v>
      </c>
      <c r="J196" s="34" t="s">
        <v>75</v>
      </c>
      <c r="K196" s="37"/>
      <c r="L196" s="36" t="n">
        <f aca="false">IF(A196="","",YEAR(A196)*100+MONTH(A196))</f>
        <v>202601</v>
      </c>
    </row>
    <row r="197" customFormat="false" ht="15" hidden="false" customHeight="false" outlineLevel="0" collapsed="false">
      <c r="A197" s="32" t="n">
        <v>46035</v>
      </c>
      <c r="B197" s="33" t="str">
        <f aca="false">IF(A197="","",TEXT(A197,"yyyy-mm"))</f>
        <v>2026-01</v>
      </c>
      <c r="C197" s="34" t="s">
        <v>148</v>
      </c>
      <c r="D197" s="35" t="n">
        <v>72150</v>
      </c>
      <c r="E197" s="34" t="s">
        <v>92</v>
      </c>
      <c r="F197" s="33" t="str">
        <f aca="false">IF(E197="","",IFERROR(INDEX(카테고리!$B$2:$B$200,MATCH(E197,카테고리!$A$2:$A$200,0)),"미분류"))</f>
        <v>변동비</v>
      </c>
      <c r="G197" s="33" t="str">
        <f aca="false">IF(E197="","",IFERROR(INDEX(카테고리!$C$2:$C$200,MATCH(E197,카테고리!$A$2:$A$200,0)),"N"))</f>
        <v>Y</v>
      </c>
      <c r="H197" s="34" t="s">
        <v>73</v>
      </c>
      <c r="I197" s="34" t="s">
        <v>82</v>
      </c>
      <c r="J197" s="34" t="s">
        <v>75</v>
      </c>
      <c r="K197" s="37"/>
      <c r="L197" s="36" t="n">
        <f aca="false">IF(A197="","",YEAR(A197)*100+MONTH(A197))</f>
        <v>202601</v>
      </c>
    </row>
    <row r="198" customFormat="false" ht="15" hidden="false" customHeight="false" outlineLevel="0" collapsed="false">
      <c r="A198" s="32" t="n">
        <v>46036</v>
      </c>
      <c r="B198" s="33" t="str">
        <f aca="false">IF(A198="","",TEXT(A198,"yyyy-mm"))</f>
        <v>2026-01</v>
      </c>
      <c r="C198" s="34" t="s">
        <v>162</v>
      </c>
      <c r="D198" s="35" t="n">
        <v>41270</v>
      </c>
      <c r="E198" s="34" t="s">
        <v>126</v>
      </c>
      <c r="F198" s="33" t="str">
        <f aca="false">IF(E198="","",IFERROR(INDEX(카테고리!$B$2:$B$200,MATCH(E198,카테고리!$A$2:$A$200,0)),"미분류"))</f>
        <v>변동비</v>
      </c>
      <c r="G198" s="33" t="str">
        <f aca="false">IF(E198="","",IFERROR(INDEX(카테고리!$C$2:$C$200,MATCH(E198,카테고리!$A$2:$A$200,0)),"N"))</f>
        <v>N</v>
      </c>
      <c r="H198" s="34" t="s">
        <v>78</v>
      </c>
      <c r="I198" s="34" t="s">
        <v>107</v>
      </c>
      <c r="J198" s="34" t="s">
        <v>75</v>
      </c>
      <c r="K198" s="37"/>
      <c r="L198" s="36" t="n">
        <f aca="false">IF(A198="","",YEAR(A198)*100+MONTH(A198))</f>
        <v>202601</v>
      </c>
    </row>
    <row r="199" customFormat="false" ht="15" hidden="false" customHeight="false" outlineLevel="0" collapsed="false">
      <c r="A199" s="32" t="n">
        <v>46037</v>
      </c>
      <c r="B199" s="33" t="str">
        <f aca="false">IF(A199="","",TEXT(A199,"yyyy-mm"))</f>
        <v>2026-01</v>
      </c>
      <c r="C199" s="37" t="s">
        <v>84</v>
      </c>
      <c r="D199" s="35" t="n">
        <v>80930</v>
      </c>
      <c r="E199" s="34" t="s">
        <v>85</v>
      </c>
      <c r="F199" s="33" t="str">
        <f aca="false">IF(E199="","",IFERROR(INDEX(카테고리!$B$2:$B$200,MATCH(E199,카테고리!$A$2:$A$200,0)),"미분류"))</f>
        <v>변동비</v>
      </c>
      <c r="G199" s="33" t="str">
        <f aca="false">IF(E199="","",IFERROR(INDEX(카테고리!$C$2:$C$200,MATCH(E199,카테고리!$A$2:$A$200,0)),"N"))</f>
        <v>Y</v>
      </c>
      <c r="H199" s="34" t="s">
        <v>81</v>
      </c>
      <c r="I199" s="34" t="s">
        <v>82</v>
      </c>
      <c r="J199" s="34" t="s">
        <v>75</v>
      </c>
      <c r="K199" s="37"/>
      <c r="L199" s="36" t="n">
        <f aca="false">IF(A199="","",YEAR(A199)*100+MONTH(A199))</f>
        <v>202601</v>
      </c>
    </row>
    <row r="200" customFormat="false" ht="15" hidden="false" customHeight="false" outlineLevel="0" collapsed="false">
      <c r="A200" s="32" t="n">
        <v>46037</v>
      </c>
      <c r="B200" s="33" t="str">
        <f aca="false">IF(A200="","",TEXT(A200,"yyyy-mm"))</f>
        <v>2026-01</v>
      </c>
      <c r="C200" s="34" t="s">
        <v>93</v>
      </c>
      <c r="D200" s="35" t="n">
        <v>128790</v>
      </c>
      <c r="E200" s="34" t="s">
        <v>92</v>
      </c>
      <c r="F200" s="33" t="str">
        <f aca="false">IF(E200="","",IFERROR(INDEX(카테고리!$B$2:$B$200,MATCH(E200,카테고리!$A$2:$A$200,0)),"미분류"))</f>
        <v>변동비</v>
      </c>
      <c r="G200" s="33" t="str">
        <f aca="false">IF(E200="","",IFERROR(INDEX(카테고리!$C$2:$C$200,MATCH(E200,카테고리!$A$2:$A$200,0)),"N"))</f>
        <v>Y</v>
      </c>
      <c r="H200" s="34" t="s">
        <v>81</v>
      </c>
      <c r="I200" s="34" t="s">
        <v>82</v>
      </c>
      <c r="J200" s="34" t="s">
        <v>75</v>
      </c>
      <c r="K200" s="37"/>
      <c r="L200" s="36" t="n">
        <f aca="false">IF(A200="","",YEAR(A200)*100+MONTH(A200))</f>
        <v>202601</v>
      </c>
    </row>
    <row r="201" customFormat="false" ht="15" hidden="false" customHeight="false" outlineLevel="0" collapsed="false">
      <c r="A201" s="32" t="n">
        <v>46037</v>
      </c>
      <c r="B201" s="33" t="str">
        <f aca="false">IF(A201="","",TEXT(A201,"yyyy-mm"))</f>
        <v>2026-01</v>
      </c>
      <c r="C201" s="34" t="s">
        <v>110</v>
      </c>
      <c r="D201" s="35" t="n">
        <v>18040</v>
      </c>
      <c r="E201" s="34" t="s">
        <v>85</v>
      </c>
      <c r="F201" s="33" t="str">
        <f aca="false">IF(E201="","",IFERROR(INDEX(카테고리!$B$2:$B$200,MATCH(E201,카테고리!$A$2:$A$200,0)),"미분류"))</f>
        <v>변동비</v>
      </c>
      <c r="G201" s="33" t="str">
        <f aca="false">IF(E201="","",IFERROR(INDEX(카테고리!$C$2:$C$200,MATCH(E201,카테고리!$A$2:$A$200,0)),"N"))</f>
        <v>Y</v>
      </c>
      <c r="H201" s="34" t="s">
        <v>78</v>
      </c>
      <c r="I201" s="34" t="s">
        <v>107</v>
      </c>
      <c r="J201" s="34" t="s">
        <v>75</v>
      </c>
      <c r="K201" s="37"/>
      <c r="L201" s="36" t="n">
        <f aca="false">IF(A201="","",YEAR(A201)*100+MONTH(A201))</f>
        <v>202601</v>
      </c>
    </row>
    <row r="202" customFormat="false" ht="15" hidden="false" customHeight="false" outlineLevel="0" collapsed="false">
      <c r="A202" s="32" t="n">
        <v>46037</v>
      </c>
      <c r="B202" s="33" t="str">
        <f aca="false">IF(A202="","",TEXT(A202,"yyyy-mm"))</f>
        <v>2026-01</v>
      </c>
      <c r="C202" s="34" t="s">
        <v>148</v>
      </c>
      <c r="D202" s="35" t="n">
        <v>96440</v>
      </c>
      <c r="E202" s="34" t="s">
        <v>92</v>
      </c>
      <c r="F202" s="33" t="str">
        <f aca="false">IF(E202="","",IFERROR(INDEX(카테고리!$B$2:$B$200,MATCH(E202,카테고리!$A$2:$A$200,0)),"미분류"))</f>
        <v>변동비</v>
      </c>
      <c r="G202" s="33" t="str">
        <f aca="false">IF(E202="","",IFERROR(INDEX(카테고리!$C$2:$C$200,MATCH(E202,카테고리!$A$2:$A$200,0)),"N"))</f>
        <v>Y</v>
      </c>
      <c r="H202" s="34" t="s">
        <v>81</v>
      </c>
      <c r="I202" s="34" t="s">
        <v>82</v>
      </c>
      <c r="J202" s="34" t="s">
        <v>75</v>
      </c>
      <c r="K202" s="37"/>
      <c r="L202" s="36" t="n">
        <f aca="false">IF(A202="","",YEAR(A202)*100+MONTH(A202))</f>
        <v>202601</v>
      </c>
    </row>
    <row r="203" customFormat="false" ht="15" hidden="false" customHeight="false" outlineLevel="0" collapsed="false">
      <c r="A203" s="32" t="n">
        <v>46039</v>
      </c>
      <c r="B203" s="33" t="str">
        <f aca="false">IF(A203="","",TEXT(A203,"yyyy-mm"))</f>
        <v>2026-01</v>
      </c>
      <c r="C203" s="34" t="s">
        <v>109</v>
      </c>
      <c r="D203" s="35" t="n">
        <v>41460</v>
      </c>
      <c r="E203" s="34" t="s">
        <v>87</v>
      </c>
      <c r="F203" s="33" t="str">
        <f aca="false">IF(E203="","",IFERROR(INDEX(카테고리!$B$2:$B$200,MATCH(E203,카테고리!$A$2:$A$200,0)),"미분류"))</f>
        <v>변동비</v>
      </c>
      <c r="G203" s="33" t="str">
        <f aca="false">IF(E203="","",IFERROR(INDEX(카테고리!$C$2:$C$200,MATCH(E203,카테고리!$A$2:$A$200,0)),"N"))</f>
        <v>Y</v>
      </c>
      <c r="H203" s="34" t="s">
        <v>81</v>
      </c>
      <c r="I203" s="34" t="s">
        <v>82</v>
      </c>
      <c r="J203" s="34" t="s">
        <v>75</v>
      </c>
      <c r="K203" s="37"/>
      <c r="L203" s="36" t="n">
        <f aca="false">IF(A203="","",YEAR(A203)*100+MONTH(A203))</f>
        <v>202601</v>
      </c>
    </row>
    <row r="204" customFormat="false" ht="15" hidden="false" customHeight="false" outlineLevel="0" collapsed="false">
      <c r="A204" s="32" t="n">
        <v>46040</v>
      </c>
      <c r="B204" s="33" t="str">
        <f aca="false">IF(A204="","",TEXT(A204,"yyyy-mm"))</f>
        <v>2026-01</v>
      </c>
      <c r="C204" s="34" t="s">
        <v>93</v>
      </c>
      <c r="D204" s="35" t="n">
        <v>82940</v>
      </c>
      <c r="E204" s="34" t="s">
        <v>92</v>
      </c>
      <c r="F204" s="33" t="str">
        <f aca="false">IF(E204="","",IFERROR(INDEX(카테고리!$B$2:$B$200,MATCH(E204,카테고리!$A$2:$A$200,0)),"미분류"))</f>
        <v>변동비</v>
      </c>
      <c r="G204" s="33" t="str">
        <f aca="false">IF(E204="","",IFERROR(INDEX(카테고리!$C$2:$C$200,MATCH(E204,카테고리!$A$2:$A$200,0)),"N"))</f>
        <v>Y</v>
      </c>
      <c r="H204" s="34" t="s">
        <v>73</v>
      </c>
      <c r="I204" s="34" t="s">
        <v>82</v>
      </c>
      <c r="J204" s="34" t="s">
        <v>75</v>
      </c>
      <c r="K204" s="37"/>
      <c r="L204" s="36" t="n">
        <f aca="false">IF(A204="","",YEAR(A204)*100+MONTH(A204))</f>
        <v>202601</v>
      </c>
    </row>
    <row r="205" customFormat="false" ht="15" hidden="false" customHeight="false" outlineLevel="0" collapsed="false">
      <c r="A205" s="32" t="n">
        <v>46041</v>
      </c>
      <c r="B205" s="33" t="str">
        <f aca="false">IF(A205="","",TEXT(A205,"yyyy-mm"))</f>
        <v>2026-01</v>
      </c>
      <c r="C205" s="34" t="s">
        <v>91</v>
      </c>
      <c r="D205" s="35" t="n">
        <v>123520</v>
      </c>
      <c r="E205" s="34" t="s">
        <v>92</v>
      </c>
      <c r="F205" s="33" t="str">
        <f aca="false">IF(E205="","",IFERROR(INDEX(카테고리!$B$2:$B$200,MATCH(E205,카테고리!$A$2:$A$200,0)),"미분류"))</f>
        <v>변동비</v>
      </c>
      <c r="G205" s="33" t="str">
        <f aca="false">IF(E205="","",IFERROR(INDEX(카테고리!$C$2:$C$200,MATCH(E205,카테고리!$A$2:$A$200,0)),"N"))</f>
        <v>Y</v>
      </c>
      <c r="H205" s="34" t="s">
        <v>81</v>
      </c>
      <c r="I205" s="34" t="s">
        <v>82</v>
      </c>
      <c r="J205" s="34" t="s">
        <v>75</v>
      </c>
      <c r="K205" s="37"/>
      <c r="L205" s="36" t="n">
        <f aca="false">IF(A205="","",YEAR(A205)*100+MONTH(A205))</f>
        <v>202601</v>
      </c>
    </row>
    <row r="206" customFormat="false" ht="15" hidden="false" customHeight="false" outlineLevel="0" collapsed="false">
      <c r="A206" s="32" t="n">
        <v>46041</v>
      </c>
      <c r="B206" s="33" t="str">
        <f aca="false">IF(A206="","",TEXT(A206,"yyyy-mm"))</f>
        <v>2026-01</v>
      </c>
      <c r="C206" s="34" t="s">
        <v>162</v>
      </c>
      <c r="D206" s="35" t="n">
        <v>59410</v>
      </c>
      <c r="E206" s="34" t="s">
        <v>126</v>
      </c>
      <c r="F206" s="33" t="str">
        <f aca="false">IF(E206="","",IFERROR(INDEX(카테고리!$B$2:$B$200,MATCH(E206,카테고리!$A$2:$A$200,0)),"미분류"))</f>
        <v>변동비</v>
      </c>
      <c r="G206" s="33" t="str">
        <f aca="false">IF(E206="","",IFERROR(INDEX(카테고리!$C$2:$C$200,MATCH(E206,카테고리!$A$2:$A$200,0)),"N"))</f>
        <v>N</v>
      </c>
      <c r="H206" s="34" t="s">
        <v>73</v>
      </c>
      <c r="I206" s="34" t="s">
        <v>107</v>
      </c>
      <c r="J206" s="34" t="s">
        <v>75</v>
      </c>
      <c r="K206" s="37"/>
      <c r="L206" s="36" t="n">
        <f aca="false">IF(A206="","",YEAR(A206)*100+MONTH(A206))</f>
        <v>202601</v>
      </c>
    </row>
    <row r="207" customFormat="false" ht="15" hidden="false" customHeight="false" outlineLevel="0" collapsed="false">
      <c r="A207" s="32" t="n">
        <v>46041</v>
      </c>
      <c r="B207" s="33" t="str">
        <f aca="false">IF(A207="","",TEXT(A207,"yyyy-mm"))</f>
        <v>2026-01</v>
      </c>
      <c r="C207" s="34" t="s">
        <v>93</v>
      </c>
      <c r="D207" s="35" t="n">
        <v>87270</v>
      </c>
      <c r="E207" s="34" t="s">
        <v>92</v>
      </c>
      <c r="F207" s="33" t="str">
        <f aca="false">IF(E207="","",IFERROR(INDEX(카테고리!$B$2:$B$200,MATCH(E207,카테고리!$A$2:$A$200,0)),"미분류"))</f>
        <v>변동비</v>
      </c>
      <c r="G207" s="33" t="str">
        <f aca="false">IF(E207="","",IFERROR(INDEX(카테고리!$C$2:$C$200,MATCH(E207,카테고리!$A$2:$A$200,0)),"N"))</f>
        <v>Y</v>
      </c>
      <c r="H207" s="34" t="s">
        <v>73</v>
      </c>
      <c r="I207" s="34" t="s">
        <v>82</v>
      </c>
      <c r="J207" s="34" t="s">
        <v>75</v>
      </c>
      <c r="K207" s="37"/>
      <c r="L207" s="36" t="n">
        <f aca="false">IF(A207="","",YEAR(A207)*100+MONTH(A207))</f>
        <v>202601</v>
      </c>
    </row>
    <row r="208" customFormat="false" ht="15" hidden="false" customHeight="false" outlineLevel="0" collapsed="false">
      <c r="A208" s="32" t="n">
        <v>46042</v>
      </c>
      <c r="B208" s="33" t="str">
        <f aca="false">IF(A208="","",TEXT(A208,"yyyy-mm"))</f>
        <v>2026-01</v>
      </c>
      <c r="C208" s="34" t="s">
        <v>117</v>
      </c>
      <c r="D208" s="35" t="n">
        <v>322710</v>
      </c>
      <c r="E208" s="34" t="s">
        <v>118</v>
      </c>
      <c r="F208" s="33" t="str">
        <f aca="false">IF(E208="","",IFERROR(INDEX(카테고리!$B$2:$B$200,MATCH(E208,카테고리!$A$2:$A$200,0)),"미분류"))</f>
        <v>고정비</v>
      </c>
      <c r="G208" s="33" t="str">
        <f aca="false">IF(E208="","",IFERROR(INDEX(카테고리!$C$2:$C$200,MATCH(E208,카테고리!$A$2:$A$200,0)),"N"))</f>
        <v>Y</v>
      </c>
      <c r="H208" s="34" t="s">
        <v>81</v>
      </c>
      <c r="I208" s="34" t="s">
        <v>98</v>
      </c>
      <c r="J208" s="34" t="s">
        <v>75</v>
      </c>
      <c r="K208" s="37"/>
      <c r="L208" s="36" t="n">
        <f aca="false">IF(A208="","",YEAR(A208)*100+MONTH(A208))</f>
        <v>202601</v>
      </c>
    </row>
    <row r="209" customFormat="false" ht="15" hidden="false" customHeight="false" outlineLevel="0" collapsed="false">
      <c r="A209" s="32" t="n">
        <v>46042</v>
      </c>
      <c r="B209" s="33" t="str">
        <f aca="false">IF(A209="","",TEXT(A209,"yyyy-mm"))</f>
        <v>2026-01</v>
      </c>
      <c r="C209" s="34" t="s">
        <v>95</v>
      </c>
      <c r="D209" s="35" t="n">
        <v>19020</v>
      </c>
      <c r="E209" s="34" t="s">
        <v>89</v>
      </c>
      <c r="F209" s="33" t="str">
        <f aca="false">IF(E209="","",IFERROR(INDEX(카테고리!$B$2:$B$200,MATCH(E209,카테고리!$A$2:$A$200,0)),"미분류"))</f>
        <v>변동비</v>
      </c>
      <c r="G209" s="33" t="str">
        <f aca="false">IF(E209="","",IFERROR(INDEX(카테고리!$C$2:$C$200,MATCH(E209,카테고리!$A$2:$A$200,0)),"N"))</f>
        <v>N</v>
      </c>
      <c r="H209" s="34" t="s">
        <v>73</v>
      </c>
      <c r="I209" s="34" t="s">
        <v>90</v>
      </c>
      <c r="J209" s="34" t="s">
        <v>75</v>
      </c>
      <c r="K209" s="37"/>
      <c r="L209" s="36" t="n">
        <f aca="false">IF(A209="","",YEAR(A209)*100+MONTH(A209))</f>
        <v>202601</v>
      </c>
    </row>
    <row r="210" customFormat="false" ht="15" hidden="false" customHeight="false" outlineLevel="0" collapsed="false">
      <c r="A210" s="32" t="n">
        <v>46043</v>
      </c>
      <c r="B210" s="33" t="str">
        <f aca="false">IF(A210="","",TEXT(A210,"yyyy-mm"))</f>
        <v>2026-01</v>
      </c>
      <c r="C210" s="37" t="s">
        <v>119</v>
      </c>
      <c r="D210" s="35" t="n">
        <v>54000</v>
      </c>
      <c r="E210" s="34" t="s">
        <v>120</v>
      </c>
      <c r="F210" s="33" t="str">
        <f aca="false">IF(E210="","",IFERROR(INDEX(카테고리!$B$2:$B$200,MATCH(E210,카테고리!$A$2:$A$200,0)),"미분류"))</f>
        <v>고정비</v>
      </c>
      <c r="G210" s="33" t="str">
        <f aca="false">IF(E210="","",IFERROR(INDEX(카테고리!$C$2:$C$200,MATCH(E210,카테고리!$A$2:$A$200,0)),"N"))</f>
        <v>Y</v>
      </c>
      <c r="H210" s="34" t="s">
        <v>73</v>
      </c>
      <c r="I210" s="34" t="s">
        <v>90</v>
      </c>
      <c r="J210" s="34" t="s">
        <v>75</v>
      </c>
      <c r="K210" s="37"/>
      <c r="L210" s="36" t="n">
        <f aca="false">IF(A210="","",YEAR(A210)*100+MONTH(A210))</f>
        <v>202601</v>
      </c>
    </row>
    <row r="211" customFormat="false" ht="15" hidden="false" customHeight="false" outlineLevel="0" collapsed="false">
      <c r="A211" s="32" t="n">
        <v>46043</v>
      </c>
      <c r="B211" s="33" t="str">
        <f aca="false">IF(A211="","",TEXT(A211,"yyyy-mm"))</f>
        <v>2026-01</v>
      </c>
      <c r="C211" s="37" t="s">
        <v>121</v>
      </c>
      <c r="D211" s="35" t="n">
        <v>68000</v>
      </c>
      <c r="E211" s="34" t="s">
        <v>120</v>
      </c>
      <c r="F211" s="33" t="str">
        <f aca="false">IF(E211="","",IFERROR(INDEX(카테고리!$B$2:$B$200,MATCH(E211,카테고리!$A$2:$A$200,0)),"미분류"))</f>
        <v>고정비</v>
      </c>
      <c r="G211" s="33" t="str">
        <f aca="false">IF(E211="","",IFERROR(INDEX(카테고리!$C$2:$C$200,MATCH(E211,카테고리!$A$2:$A$200,0)),"N"))</f>
        <v>Y</v>
      </c>
      <c r="H211" s="34" t="s">
        <v>78</v>
      </c>
      <c r="I211" s="34" t="s">
        <v>107</v>
      </c>
      <c r="J211" s="34" t="s">
        <v>75</v>
      </c>
      <c r="K211" s="37"/>
      <c r="L211" s="36" t="n">
        <f aca="false">IF(A211="","",YEAR(A211)*100+MONTH(A211))</f>
        <v>202601</v>
      </c>
    </row>
    <row r="212" customFormat="false" ht="15" hidden="false" customHeight="false" outlineLevel="0" collapsed="false">
      <c r="A212" s="32" t="n">
        <v>46043</v>
      </c>
      <c r="B212" s="33" t="str">
        <f aca="false">IF(A212="","",TEXT(A212,"yyyy-mm"))</f>
        <v>2026-01</v>
      </c>
      <c r="C212" s="34" t="s">
        <v>122</v>
      </c>
      <c r="D212" s="35" t="n">
        <v>33000</v>
      </c>
      <c r="E212" s="34" t="s">
        <v>120</v>
      </c>
      <c r="F212" s="33" t="str">
        <f aca="false">IF(E212="","",IFERROR(INDEX(카테고리!$B$2:$B$200,MATCH(E212,카테고리!$A$2:$A$200,0)),"미분류"))</f>
        <v>고정비</v>
      </c>
      <c r="G212" s="33" t="str">
        <f aca="false">IF(E212="","",IFERROR(INDEX(카테고리!$C$2:$C$200,MATCH(E212,카테고리!$A$2:$A$200,0)),"N"))</f>
        <v>Y</v>
      </c>
      <c r="H212" s="34" t="s">
        <v>81</v>
      </c>
      <c r="I212" s="34" t="s">
        <v>98</v>
      </c>
      <c r="J212" s="34" t="s">
        <v>75</v>
      </c>
      <c r="K212" s="37"/>
      <c r="L212" s="36" t="n">
        <f aca="false">IF(A212="","",YEAR(A212)*100+MONTH(A212))</f>
        <v>202601</v>
      </c>
    </row>
    <row r="213" customFormat="false" ht="15" hidden="false" customHeight="false" outlineLevel="0" collapsed="false">
      <c r="A213" s="32" t="n">
        <v>46043</v>
      </c>
      <c r="B213" s="33" t="str">
        <f aca="false">IF(A213="","",TEXT(A213,"yyyy-mm"))</f>
        <v>2026-01</v>
      </c>
      <c r="C213" s="34" t="s">
        <v>110</v>
      </c>
      <c r="D213" s="35" t="n">
        <v>13290</v>
      </c>
      <c r="E213" s="34" t="s">
        <v>85</v>
      </c>
      <c r="F213" s="33" t="str">
        <f aca="false">IF(E213="","",IFERROR(INDEX(카테고리!$B$2:$B$200,MATCH(E213,카테고리!$A$2:$A$200,0)),"미분류"))</f>
        <v>변동비</v>
      </c>
      <c r="G213" s="33" t="str">
        <f aca="false">IF(E213="","",IFERROR(INDEX(카테고리!$C$2:$C$200,MATCH(E213,카테고리!$A$2:$A$200,0)),"N"))</f>
        <v>Y</v>
      </c>
      <c r="H213" s="34" t="s">
        <v>78</v>
      </c>
      <c r="I213" s="34" t="s">
        <v>107</v>
      </c>
      <c r="J213" s="34" t="s">
        <v>75</v>
      </c>
      <c r="K213" s="37"/>
      <c r="L213" s="36" t="n">
        <f aca="false">IF(A213="","",YEAR(A213)*100+MONTH(A213))</f>
        <v>202601</v>
      </c>
    </row>
    <row r="214" customFormat="false" ht="15" hidden="false" customHeight="false" outlineLevel="0" collapsed="false">
      <c r="A214" s="32" t="n">
        <v>46043</v>
      </c>
      <c r="B214" s="33" t="str">
        <f aca="false">IF(A214="","",TEXT(A214,"yyyy-mm"))</f>
        <v>2026-01</v>
      </c>
      <c r="C214" s="34" t="s">
        <v>109</v>
      </c>
      <c r="D214" s="35" t="n">
        <v>79350</v>
      </c>
      <c r="E214" s="34" t="s">
        <v>87</v>
      </c>
      <c r="F214" s="33" t="str">
        <f aca="false">IF(E214="","",IFERROR(INDEX(카테고리!$B$2:$B$200,MATCH(E214,카테고리!$A$2:$A$200,0)),"미분류"))</f>
        <v>변동비</v>
      </c>
      <c r="G214" s="33" t="str">
        <f aca="false">IF(E214="","",IFERROR(INDEX(카테고리!$C$2:$C$200,MATCH(E214,카테고리!$A$2:$A$200,0)),"N"))</f>
        <v>Y</v>
      </c>
      <c r="H214" s="34" t="s">
        <v>81</v>
      </c>
      <c r="I214" s="34" t="s">
        <v>82</v>
      </c>
      <c r="J214" s="34" t="s">
        <v>75</v>
      </c>
      <c r="K214" s="37"/>
      <c r="L214" s="36" t="n">
        <f aca="false">IF(A214="","",YEAR(A214)*100+MONTH(A214))</f>
        <v>202601</v>
      </c>
    </row>
    <row r="215" customFormat="false" ht="15" hidden="false" customHeight="false" outlineLevel="0" collapsed="false">
      <c r="A215" s="32" t="n">
        <v>46044</v>
      </c>
      <c r="B215" s="33" t="str">
        <f aca="false">IF(A215="","",TEXT(A215,"yyyy-mm"))</f>
        <v>2026-01</v>
      </c>
      <c r="C215" s="37" t="s">
        <v>149</v>
      </c>
      <c r="D215" s="35" t="n">
        <v>71360</v>
      </c>
      <c r="E215" s="34" t="s">
        <v>124</v>
      </c>
      <c r="F215" s="33" t="str">
        <f aca="false">IF(E215="","",IFERROR(INDEX(카테고리!$B$2:$B$200,MATCH(E215,카테고리!$A$2:$A$200,0)),"미분류"))</f>
        <v>변동비</v>
      </c>
      <c r="G215" s="33" t="str">
        <f aca="false">IF(E215="","",IFERROR(INDEX(카테고리!$C$2:$C$200,MATCH(E215,카테고리!$A$2:$A$200,0)),"N"))</f>
        <v>N</v>
      </c>
      <c r="H215" s="34" t="s">
        <v>81</v>
      </c>
      <c r="I215" s="34" t="s">
        <v>90</v>
      </c>
      <c r="J215" s="34" t="s">
        <v>75</v>
      </c>
      <c r="K215" s="37"/>
      <c r="L215" s="36" t="n">
        <f aca="false">IF(A215="","",YEAR(A215)*100+MONTH(A215))</f>
        <v>202601</v>
      </c>
    </row>
    <row r="216" customFormat="false" ht="15" hidden="false" customHeight="false" outlineLevel="0" collapsed="false">
      <c r="A216" s="32" t="n">
        <v>46044</v>
      </c>
      <c r="B216" s="33" t="str">
        <f aca="false">IF(A216="","",TEXT(A216,"yyyy-mm"))</f>
        <v>2026-01</v>
      </c>
      <c r="C216" s="34" t="s">
        <v>95</v>
      </c>
      <c r="D216" s="35" t="n">
        <v>31580</v>
      </c>
      <c r="E216" s="34" t="s">
        <v>89</v>
      </c>
      <c r="F216" s="33" t="str">
        <f aca="false">IF(E216="","",IFERROR(INDEX(카테고리!$B$2:$B$200,MATCH(E216,카테고리!$A$2:$A$200,0)),"미분류"))</f>
        <v>변동비</v>
      </c>
      <c r="G216" s="33" t="str">
        <f aca="false">IF(E216="","",IFERROR(INDEX(카테고리!$C$2:$C$200,MATCH(E216,카테고리!$A$2:$A$200,0)),"N"))</f>
        <v>N</v>
      </c>
      <c r="H216" s="34" t="s">
        <v>81</v>
      </c>
      <c r="I216" s="34" t="s">
        <v>107</v>
      </c>
      <c r="J216" s="34" t="s">
        <v>75</v>
      </c>
      <c r="K216" s="37"/>
      <c r="L216" s="36" t="n">
        <f aca="false">IF(A216="","",YEAR(A216)*100+MONTH(A216))</f>
        <v>202601</v>
      </c>
    </row>
    <row r="217" customFormat="false" ht="15" hidden="false" customHeight="false" outlineLevel="0" collapsed="false">
      <c r="A217" s="32" t="n">
        <v>46045</v>
      </c>
      <c r="B217" s="33" t="str">
        <f aca="false">IF(A217="","",TEXT(A217,"yyyy-mm"))</f>
        <v>2026-01</v>
      </c>
      <c r="C217" s="34" t="s">
        <v>154</v>
      </c>
      <c r="D217" s="35" t="n">
        <v>111510</v>
      </c>
      <c r="E217" s="34" t="s">
        <v>126</v>
      </c>
      <c r="F217" s="33" t="str">
        <f aca="false">IF(E217="","",IFERROR(INDEX(카테고리!$B$2:$B$200,MATCH(E217,카테고리!$A$2:$A$200,0)),"미분류"))</f>
        <v>변동비</v>
      </c>
      <c r="G217" s="33" t="str">
        <f aca="false">IF(E217="","",IFERROR(INDEX(카테고리!$C$2:$C$200,MATCH(E217,카테고리!$A$2:$A$200,0)),"N"))</f>
        <v>N</v>
      </c>
      <c r="H217" s="34" t="s">
        <v>78</v>
      </c>
      <c r="I217" s="34" t="s">
        <v>90</v>
      </c>
      <c r="J217" s="34" t="s">
        <v>75</v>
      </c>
      <c r="K217" s="37"/>
      <c r="L217" s="36" t="n">
        <f aca="false">IF(A217="","",YEAR(A217)*100+MONTH(A217))</f>
        <v>202601</v>
      </c>
    </row>
    <row r="218" customFormat="false" ht="15" hidden="false" customHeight="false" outlineLevel="0" collapsed="false">
      <c r="A218" s="32" t="n">
        <v>46047</v>
      </c>
      <c r="B218" s="33" t="str">
        <f aca="false">IF(A218="","",TEXT(A218,"yyyy-mm"))</f>
        <v>2026-01</v>
      </c>
      <c r="C218" s="34" t="s">
        <v>129</v>
      </c>
      <c r="D218" s="35" t="n">
        <v>3620000</v>
      </c>
      <c r="E218" s="34" t="s">
        <v>130</v>
      </c>
      <c r="F218" s="33" t="str">
        <f aca="false">IF(E218="","",IFERROR(INDEX(카테고리!$B$2:$B$200,MATCH(E218,카테고리!$A$2:$A$200,0)),"미분류"))</f>
        <v>소득</v>
      </c>
      <c r="G218" s="33" t="str">
        <f aca="false">IF(E218="","",IFERROR(INDEX(카테고리!$C$2:$C$200,MATCH(E218,카테고리!$A$2:$A$200,0)),"N"))</f>
        <v>N</v>
      </c>
      <c r="H218" s="34" t="s">
        <v>73</v>
      </c>
      <c r="I218" s="34" t="s">
        <v>131</v>
      </c>
      <c r="J218" s="34" t="s">
        <v>75</v>
      </c>
      <c r="K218" s="37"/>
      <c r="L218" s="36" t="n">
        <f aca="false">IF(A218="","",YEAR(A218)*100+MONTH(A218))</f>
        <v>202601</v>
      </c>
    </row>
    <row r="219" customFormat="false" ht="15" hidden="false" customHeight="false" outlineLevel="0" collapsed="false">
      <c r="A219" s="32" t="n">
        <v>46047</v>
      </c>
      <c r="B219" s="33" t="str">
        <f aca="false">IF(A219="","",TEXT(A219,"yyyy-mm"))</f>
        <v>2026-01</v>
      </c>
      <c r="C219" s="34" t="s">
        <v>132</v>
      </c>
      <c r="D219" s="35" t="n">
        <v>4850000</v>
      </c>
      <c r="E219" s="34" t="s">
        <v>130</v>
      </c>
      <c r="F219" s="33" t="str">
        <f aca="false">IF(E219="","",IFERROR(INDEX(카테고리!$B$2:$B$200,MATCH(E219,카테고리!$A$2:$A$200,0)),"미분류"))</f>
        <v>소득</v>
      </c>
      <c r="G219" s="33" t="str">
        <f aca="false">IF(E219="","",IFERROR(INDEX(카테고리!$C$2:$C$200,MATCH(E219,카테고리!$A$2:$A$200,0)),"N"))</f>
        <v>N</v>
      </c>
      <c r="H219" s="34" t="s">
        <v>78</v>
      </c>
      <c r="I219" s="34" t="s">
        <v>131</v>
      </c>
      <c r="J219" s="34" t="s">
        <v>75</v>
      </c>
      <c r="K219" s="37"/>
      <c r="L219" s="36" t="n">
        <f aca="false">IF(A219="","",YEAR(A219)*100+MONTH(A219))</f>
        <v>202601</v>
      </c>
    </row>
    <row r="220" customFormat="false" ht="15" hidden="false" customHeight="false" outlineLevel="0" collapsed="false">
      <c r="A220" s="32" t="n">
        <v>46048</v>
      </c>
      <c r="B220" s="33" t="str">
        <f aca="false">IF(A220="","",TEXT(A220,"yyyy-mm"))</f>
        <v>2026-01</v>
      </c>
      <c r="C220" s="37" t="s">
        <v>133</v>
      </c>
      <c r="D220" s="35" t="n">
        <v>200000</v>
      </c>
      <c r="E220" s="34" t="s">
        <v>134</v>
      </c>
      <c r="F220" s="33" t="str">
        <f aca="false">IF(E220="","",IFERROR(INDEX(카테고리!$B$2:$B$200,MATCH(E220,카테고리!$A$2:$A$200,0)),"미분류"))</f>
        <v>자본이동</v>
      </c>
      <c r="G220" s="33" t="str">
        <f aca="false">IF(E220="","",IFERROR(INDEX(카테고리!$C$2:$C$200,MATCH(E220,카테고리!$A$2:$A$200,0)),"N"))</f>
        <v>N</v>
      </c>
      <c r="H220" s="34" t="s">
        <v>73</v>
      </c>
      <c r="I220" s="34" t="s">
        <v>98</v>
      </c>
      <c r="J220" s="34" t="s">
        <v>75</v>
      </c>
      <c r="K220" s="37"/>
      <c r="L220" s="36" t="n">
        <f aca="false">IF(A220="","",YEAR(A220)*100+MONTH(A220))</f>
        <v>202601</v>
      </c>
    </row>
    <row r="221" customFormat="false" ht="15" hidden="false" customHeight="false" outlineLevel="0" collapsed="false">
      <c r="A221" s="32" t="n">
        <v>46048</v>
      </c>
      <c r="B221" s="33" t="str">
        <f aca="false">IF(A221="","",TEXT(A221,"yyyy-mm"))</f>
        <v>2026-01</v>
      </c>
      <c r="C221" s="34" t="s">
        <v>135</v>
      </c>
      <c r="D221" s="35" t="n">
        <v>650000</v>
      </c>
      <c r="E221" s="34" t="s">
        <v>136</v>
      </c>
      <c r="F221" s="33" t="str">
        <f aca="false">IF(E221="","",IFERROR(INDEX(카테고리!$B$2:$B$200,MATCH(E221,카테고리!$A$2:$A$200,0)),"미분류"))</f>
        <v>자본이동</v>
      </c>
      <c r="G221" s="33" t="str">
        <f aca="false">IF(E221="","",IFERROR(INDEX(카테고리!$C$2:$C$200,MATCH(E221,카테고리!$A$2:$A$200,0)),"N"))</f>
        <v>N</v>
      </c>
      <c r="H221" s="34" t="s">
        <v>73</v>
      </c>
      <c r="I221" s="34" t="s">
        <v>74</v>
      </c>
      <c r="J221" s="34" t="s">
        <v>75</v>
      </c>
      <c r="K221" s="37"/>
      <c r="L221" s="36" t="n">
        <f aca="false">IF(A221="","",YEAR(A221)*100+MONTH(A221))</f>
        <v>202601</v>
      </c>
    </row>
    <row r="222" customFormat="false" ht="15" hidden="false" customHeight="false" outlineLevel="0" collapsed="false">
      <c r="A222" s="32" t="n">
        <v>46048</v>
      </c>
      <c r="B222" s="33" t="str">
        <f aca="false">IF(A222="","",TEXT(A222,"yyyy-mm"))</f>
        <v>2026-01</v>
      </c>
      <c r="C222" s="34" t="s">
        <v>137</v>
      </c>
      <c r="D222" s="35" t="n">
        <v>300000</v>
      </c>
      <c r="E222" s="34" t="s">
        <v>134</v>
      </c>
      <c r="F222" s="33" t="str">
        <f aca="false">IF(E222="","",IFERROR(INDEX(카테고리!$B$2:$B$200,MATCH(E222,카테고리!$A$2:$A$200,0)),"미분류"))</f>
        <v>자본이동</v>
      </c>
      <c r="G222" s="33" t="str">
        <f aca="false">IF(E222="","",IFERROR(INDEX(카테고리!$C$2:$C$200,MATCH(E222,카테고리!$A$2:$A$200,0)),"N"))</f>
        <v>N</v>
      </c>
      <c r="H222" s="34" t="s">
        <v>78</v>
      </c>
      <c r="I222" s="34" t="s">
        <v>98</v>
      </c>
      <c r="J222" s="34" t="s">
        <v>75</v>
      </c>
      <c r="K222" s="37"/>
      <c r="L222" s="36" t="n">
        <f aca="false">IF(A222="","",YEAR(A222)*100+MONTH(A222))</f>
        <v>202601</v>
      </c>
    </row>
    <row r="223" customFormat="false" ht="15" hidden="false" customHeight="false" outlineLevel="0" collapsed="false">
      <c r="A223" s="32" t="n">
        <v>46048</v>
      </c>
      <c r="B223" s="33" t="str">
        <f aca="false">IF(A223="","",TEXT(A223,"yyyy-mm"))</f>
        <v>2026-01</v>
      </c>
      <c r="C223" s="34" t="s">
        <v>138</v>
      </c>
      <c r="D223" s="35" t="n">
        <v>300000</v>
      </c>
      <c r="E223" s="34" t="s">
        <v>139</v>
      </c>
      <c r="F223" s="33" t="str">
        <f aca="false">IF(E223="","",IFERROR(INDEX(카테고리!$B$2:$B$200,MATCH(E223,카테고리!$A$2:$A$200,0)),"미분류"))</f>
        <v>자본이동</v>
      </c>
      <c r="G223" s="33" t="str">
        <f aca="false">IF(E223="","",IFERROR(INDEX(카테고리!$C$2:$C$200,MATCH(E223,카테고리!$A$2:$A$200,0)),"N"))</f>
        <v>N</v>
      </c>
      <c r="H223" s="34" t="s">
        <v>81</v>
      </c>
      <c r="I223" s="34" t="s">
        <v>98</v>
      </c>
      <c r="J223" s="34" t="s">
        <v>75</v>
      </c>
      <c r="K223" s="37"/>
      <c r="L223" s="36" t="n">
        <f aca="false">IF(A223="","",YEAR(A223)*100+MONTH(A223))</f>
        <v>202601</v>
      </c>
    </row>
    <row r="224" customFormat="false" ht="15" hidden="false" customHeight="false" outlineLevel="0" collapsed="false">
      <c r="A224" s="32" t="n">
        <v>46048</v>
      </c>
      <c r="B224" s="33" t="str">
        <f aca="false">IF(A224="","",TEXT(A224,"yyyy-mm"))</f>
        <v>2026-01</v>
      </c>
      <c r="C224" s="34" t="s">
        <v>140</v>
      </c>
      <c r="D224" s="35" t="n">
        <v>100000</v>
      </c>
      <c r="E224" s="34" t="s">
        <v>139</v>
      </c>
      <c r="F224" s="33" t="str">
        <f aca="false">IF(E224="","",IFERROR(INDEX(카테고리!$B$2:$B$200,MATCH(E224,카테고리!$A$2:$A$200,0)),"미분류"))</f>
        <v>자본이동</v>
      </c>
      <c r="G224" s="33" t="str">
        <f aca="false">IF(E224="","",IFERROR(INDEX(카테고리!$C$2:$C$200,MATCH(E224,카테고리!$A$2:$A$200,0)),"N"))</f>
        <v>N</v>
      </c>
      <c r="H224" s="34" t="s">
        <v>78</v>
      </c>
      <c r="I224" s="34" t="s">
        <v>98</v>
      </c>
      <c r="J224" s="34" t="s">
        <v>75</v>
      </c>
      <c r="K224" s="37"/>
      <c r="L224" s="36" t="n">
        <f aca="false">IF(A224="","",YEAR(A224)*100+MONTH(A224))</f>
        <v>202601</v>
      </c>
    </row>
    <row r="225" customFormat="false" ht="15" hidden="false" customHeight="false" outlineLevel="0" collapsed="false">
      <c r="A225" s="32" t="n">
        <v>46048</v>
      </c>
      <c r="B225" s="33" t="str">
        <f aca="false">IF(A225="","",TEXT(A225,"yyyy-mm"))</f>
        <v>2026-01</v>
      </c>
      <c r="C225" s="34" t="s">
        <v>141</v>
      </c>
      <c r="D225" s="35" t="n">
        <v>850000</v>
      </c>
      <c r="E225" s="34" t="s">
        <v>136</v>
      </c>
      <c r="F225" s="33" t="str">
        <f aca="false">IF(E225="","",IFERROR(INDEX(카테고리!$B$2:$B$200,MATCH(E225,카테고리!$A$2:$A$200,0)),"미분류"))</f>
        <v>자본이동</v>
      </c>
      <c r="G225" s="33" t="str">
        <f aca="false">IF(E225="","",IFERROR(INDEX(카테고리!$C$2:$C$200,MATCH(E225,카테고리!$A$2:$A$200,0)),"N"))</f>
        <v>N</v>
      </c>
      <c r="H225" s="34" t="s">
        <v>78</v>
      </c>
      <c r="I225" s="34" t="s">
        <v>74</v>
      </c>
      <c r="J225" s="34" t="s">
        <v>75</v>
      </c>
      <c r="K225" s="37"/>
      <c r="L225" s="36" t="n">
        <f aca="false">IF(A225="","",YEAR(A225)*100+MONTH(A225))</f>
        <v>202601</v>
      </c>
    </row>
    <row r="226" customFormat="false" ht="15" hidden="false" customHeight="false" outlineLevel="0" collapsed="false">
      <c r="A226" s="32" t="n">
        <v>46048</v>
      </c>
      <c r="B226" s="33" t="str">
        <f aca="false">IF(A226="","",TEXT(A226,"yyyy-mm"))</f>
        <v>2026-01</v>
      </c>
      <c r="C226" s="34" t="s">
        <v>142</v>
      </c>
      <c r="D226" s="35" t="n">
        <v>200000</v>
      </c>
      <c r="E226" s="34" t="s">
        <v>136</v>
      </c>
      <c r="F226" s="33" t="str">
        <f aca="false">IF(E226="","",IFERROR(INDEX(카테고리!$B$2:$B$200,MATCH(E226,카테고리!$A$2:$A$200,0)),"미분류"))</f>
        <v>자본이동</v>
      </c>
      <c r="G226" s="33" t="str">
        <f aca="false">IF(E226="","",IFERROR(INDEX(카테고리!$C$2:$C$200,MATCH(E226,카테고리!$A$2:$A$200,0)),"N"))</f>
        <v>N</v>
      </c>
      <c r="H226" s="34" t="s">
        <v>81</v>
      </c>
      <c r="I226" s="34" t="s">
        <v>74</v>
      </c>
      <c r="J226" s="34" t="s">
        <v>75</v>
      </c>
      <c r="K226" s="37"/>
      <c r="L226" s="36" t="n">
        <f aca="false">IF(A226="","",YEAR(A226)*100+MONTH(A226))</f>
        <v>202601</v>
      </c>
    </row>
    <row r="227" customFormat="false" ht="15" hidden="false" customHeight="false" outlineLevel="0" collapsed="false">
      <c r="A227" s="32" t="n">
        <v>46050</v>
      </c>
      <c r="B227" s="33" t="str">
        <f aca="false">IF(A227="","",TEXT(A227,"yyyy-mm"))</f>
        <v>2026-01</v>
      </c>
      <c r="C227" s="34" t="s">
        <v>86</v>
      </c>
      <c r="D227" s="35" t="n">
        <v>31050</v>
      </c>
      <c r="E227" s="34" t="s">
        <v>87</v>
      </c>
      <c r="F227" s="33" t="str">
        <f aca="false">IF(E227="","",IFERROR(INDEX(카테고리!$B$2:$B$200,MATCH(E227,카테고리!$A$2:$A$200,0)),"미분류"))</f>
        <v>변동비</v>
      </c>
      <c r="G227" s="33" t="str">
        <f aca="false">IF(E227="","",IFERROR(INDEX(카테고리!$C$2:$C$200,MATCH(E227,카테고리!$A$2:$A$200,0)),"N"))</f>
        <v>Y</v>
      </c>
      <c r="H227" s="34" t="s">
        <v>81</v>
      </c>
      <c r="I227" s="34" t="s">
        <v>82</v>
      </c>
      <c r="J227" s="34" t="s">
        <v>75</v>
      </c>
      <c r="K227" s="37"/>
      <c r="L227" s="36" t="n">
        <f aca="false">IF(A227="","",YEAR(A227)*100+MONTH(A227))</f>
        <v>202601</v>
      </c>
    </row>
    <row r="228" customFormat="false" ht="15" hidden="false" customHeight="false" outlineLevel="0" collapsed="false">
      <c r="A228" s="32" t="n">
        <v>46050</v>
      </c>
      <c r="B228" s="33" t="str">
        <f aca="false">IF(A228="","",TEXT(A228,"yyyy-mm"))</f>
        <v>2026-01</v>
      </c>
      <c r="C228" s="34" t="s">
        <v>143</v>
      </c>
      <c r="D228" s="35" t="n">
        <v>18500</v>
      </c>
      <c r="E228" s="34" t="s">
        <v>144</v>
      </c>
      <c r="F228" s="33" t="str">
        <f aca="false">IF(E228="","",IFERROR(INDEX(카테고리!$B$2:$B$200,MATCH(E228,카테고리!$A$2:$A$200,0)),"미분류"))</f>
        <v>소득</v>
      </c>
      <c r="G228" s="33" t="str">
        <f aca="false">IF(E228="","",IFERROR(INDEX(카테고리!$C$2:$C$200,MATCH(E228,카테고리!$A$2:$A$200,0)),"N"))</f>
        <v>N</v>
      </c>
      <c r="H228" s="34" t="s">
        <v>81</v>
      </c>
      <c r="I228" s="34" t="s">
        <v>131</v>
      </c>
      <c r="J228" s="34" t="s">
        <v>75</v>
      </c>
      <c r="K228" s="37"/>
      <c r="L228" s="36" t="n">
        <f aca="false">IF(A228="","",YEAR(A228)*100+MONTH(A228))</f>
        <v>202601</v>
      </c>
    </row>
    <row r="229" customFormat="false" ht="15" hidden="false" customHeight="false" outlineLevel="0" collapsed="false">
      <c r="A229" s="32" t="n">
        <v>46054</v>
      </c>
      <c r="B229" s="33" t="str">
        <f aca="false">IF(A229="","",TEXT(A229,"yyyy-mm"))</f>
        <v>2026-02</v>
      </c>
      <c r="C229" s="34" t="s">
        <v>146</v>
      </c>
      <c r="D229" s="35" t="n">
        <v>78510</v>
      </c>
      <c r="E229" s="34" t="s">
        <v>92</v>
      </c>
      <c r="F229" s="33" t="str">
        <f aca="false">IF(E229="","",IFERROR(INDEX(카테고리!$B$2:$B$200,MATCH(E229,카테고리!$A$2:$A$200,0)),"미분류"))</f>
        <v>변동비</v>
      </c>
      <c r="G229" s="33" t="str">
        <f aca="false">IF(E229="","",IFERROR(INDEX(카테고리!$C$2:$C$200,MATCH(E229,카테고리!$A$2:$A$200,0)),"N"))</f>
        <v>Y</v>
      </c>
      <c r="H229" s="34" t="s">
        <v>73</v>
      </c>
      <c r="I229" s="34" t="s">
        <v>82</v>
      </c>
      <c r="J229" s="34" t="s">
        <v>75</v>
      </c>
      <c r="K229" s="37"/>
      <c r="L229" s="36" t="n">
        <f aca="false">IF(A229="","",YEAR(A229)*100+MONTH(A229))</f>
        <v>202602</v>
      </c>
    </row>
    <row r="230" customFormat="false" ht="15" hidden="false" customHeight="false" outlineLevel="0" collapsed="false">
      <c r="A230" s="32" t="n">
        <v>46054</v>
      </c>
      <c r="B230" s="33" t="str">
        <f aca="false">IF(A230="","",TEXT(A230,"yyyy-mm"))</f>
        <v>2026-02</v>
      </c>
      <c r="C230" s="34" t="s">
        <v>71</v>
      </c>
      <c r="D230" s="35" t="n">
        <v>300000</v>
      </c>
      <c r="E230" s="34" t="s">
        <v>72</v>
      </c>
      <c r="F230" s="33" t="str">
        <f aca="false">IF(E230="","",IFERROR(INDEX(카테고리!$B$2:$B$200,MATCH(E230,카테고리!$A$2:$A$200,0)),"미분류"))</f>
        <v>변동비</v>
      </c>
      <c r="G230" s="33" t="str">
        <f aca="false">IF(E230="","",IFERROR(INDEX(카테고리!$C$2:$C$200,MATCH(E230,카테고리!$A$2:$A$200,0)),"N"))</f>
        <v>N</v>
      </c>
      <c r="H230" s="34" t="s">
        <v>73</v>
      </c>
      <c r="I230" s="34" t="s">
        <v>74</v>
      </c>
      <c r="J230" s="34" t="s">
        <v>75</v>
      </c>
      <c r="K230" s="37"/>
      <c r="L230" s="36" t="n">
        <f aca="false">IF(A230="","",YEAR(A230)*100+MONTH(A230))</f>
        <v>202602</v>
      </c>
    </row>
    <row r="231" customFormat="false" ht="15" hidden="false" customHeight="false" outlineLevel="0" collapsed="false">
      <c r="A231" s="32" t="n">
        <v>46054</v>
      </c>
      <c r="B231" s="33" t="str">
        <f aca="false">IF(A231="","",TEXT(A231,"yyyy-mm"))</f>
        <v>2026-02</v>
      </c>
      <c r="C231" s="34" t="s">
        <v>77</v>
      </c>
      <c r="D231" s="35" t="n">
        <v>300000</v>
      </c>
      <c r="E231" s="34" t="s">
        <v>72</v>
      </c>
      <c r="F231" s="33" t="str">
        <f aca="false">IF(E231="","",IFERROR(INDEX(카테고리!$B$2:$B$200,MATCH(E231,카테고리!$A$2:$A$200,0)),"미분류"))</f>
        <v>변동비</v>
      </c>
      <c r="G231" s="33" t="str">
        <f aca="false">IF(E231="","",IFERROR(INDEX(카테고리!$C$2:$C$200,MATCH(E231,카테고리!$A$2:$A$200,0)),"N"))</f>
        <v>N</v>
      </c>
      <c r="H231" s="34" t="s">
        <v>78</v>
      </c>
      <c r="I231" s="34" t="s">
        <v>74</v>
      </c>
      <c r="J231" s="34" t="s">
        <v>75</v>
      </c>
      <c r="K231" s="37"/>
      <c r="L231" s="36" t="n">
        <f aca="false">IF(A231="","",YEAR(A231)*100+MONTH(A231))</f>
        <v>202602</v>
      </c>
    </row>
    <row r="232" customFormat="false" ht="15" hidden="false" customHeight="false" outlineLevel="0" collapsed="false">
      <c r="A232" s="32" t="n">
        <v>46054</v>
      </c>
      <c r="B232" s="33" t="str">
        <f aca="false">IF(A232="","",TEXT(A232,"yyyy-mm"))</f>
        <v>2026-02</v>
      </c>
      <c r="C232" s="34" t="s">
        <v>79</v>
      </c>
      <c r="D232" s="35" t="n">
        <v>140000</v>
      </c>
      <c r="E232" s="34" t="s">
        <v>80</v>
      </c>
      <c r="F232" s="33" t="str">
        <f aca="false">IF(E232="","",IFERROR(INDEX(카테고리!$B$2:$B$200,MATCH(E232,카테고리!$A$2:$A$200,0)),"미분류"))</f>
        <v>고정비</v>
      </c>
      <c r="G232" s="33" t="str">
        <f aca="false">IF(E232="","",IFERROR(INDEX(카테고리!$C$2:$C$200,MATCH(E232,카테고리!$A$2:$A$200,0)),"N"))</f>
        <v>Y</v>
      </c>
      <c r="H232" s="34" t="s">
        <v>81</v>
      </c>
      <c r="I232" s="34" t="s">
        <v>82</v>
      </c>
      <c r="J232" s="34" t="s">
        <v>75</v>
      </c>
      <c r="K232" s="37"/>
      <c r="L232" s="36" t="n">
        <f aca="false">IF(A232="","",YEAR(A232)*100+MONTH(A232))</f>
        <v>202602</v>
      </c>
    </row>
    <row r="233" customFormat="false" ht="15" hidden="false" customHeight="false" outlineLevel="0" collapsed="false">
      <c r="A233" s="32" t="n">
        <v>46054</v>
      </c>
      <c r="B233" s="33" t="str">
        <f aca="false">IF(A233="","",TEXT(A233,"yyyy-mm"))</f>
        <v>2026-02</v>
      </c>
      <c r="C233" s="34" t="s">
        <v>83</v>
      </c>
      <c r="D233" s="35" t="n">
        <v>380000</v>
      </c>
      <c r="E233" s="34" t="s">
        <v>80</v>
      </c>
      <c r="F233" s="33" t="str">
        <f aca="false">IF(E233="","",IFERROR(INDEX(카테고리!$B$2:$B$200,MATCH(E233,카테고리!$A$2:$A$200,0)),"미분류"))</f>
        <v>고정비</v>
      </c>
      <c r="G233" s="33" t="str">
        <f aca="false">IF(E233="","",IFERROR(INDEX(카테고리!$C$2:$C$200,MATCH(E233,카테고리!$A$2:$A$200,0)),"N"))</f>
        <v>Y</v>
      </c>
      <c r="H233" s="34" t="s">
        <v>81</v>
      </c>
      <c r="I233" s="34" t="s">
        <v>82</v>
      </c>
      <c r="J233" s="34" t="s">
        <v>75</v>
      </c>
      <c r="K233" s="37"/>
      <c r="L233" s="36" t="n">
        <f aca="false">IF(A233="","",YEAR(A233)*100+MONTH(A233))</f>
        <v>202602</v>
      </c>
    </row>
    <row r="234" customFormat="false" ht="15" hidden="false" customHeight="false" outlineLevel="0" collapsed="false">
      <c r="A234" s="32" t="n">
        <v>46055</v>
      </c>
      <c r="B234" s="33" t="str">
        <f aca="false">IF(A234="","",TEXT(A234,"yyyy-mm"))</f>
        <v>2026-02</v>
      </c>
      <c r="C234" s="34" t="s">
        <v>109</v>
      </c>
      <c r="D234" s="35" t="n">
        <v>25110</v>
      </c>
      <c r="E234" s="34" t="s">
        <v>87</v>
      </c>
      <c r="F234" s="33" t="str">
        <f aca="false">IF(E234="","",IFERROR(INDEX(카테고리!$B$2:$B$200,MATCH(E234,카테고리!$A$2:$A$200,0)),"미분류"))</f>
        <v>변동비</v>
      </c>
      <c r="G234" s="33" t="str">
        <f aca="false">IF(E234="","",IFERROR(INDEX(카테고리!$C$2:$C$200,MATCH(E234,카테고리!$A$2:$A$200,0)),"N"))</f>
        <v>Y</v>
      </c>
      <c r="H234" s="34" t="s">
        <v>81</v>
      </c>
      <c r="I234" s="34" t="s">
        <v>82</v>
      </c>
      <c r="J234" s="34" t="s">
        <v>75</v>
      </c>
      <c r="K234" s="37"/>
      <c r="L234" s="36" t="n">
        <f aca="false">IF(A234="","",YEAR(A234)*100+MONTH(A234))</f>
        <v>202602</v>
      </c>
    </row>
    <row r="235" customFormat="false" ht="15" hidden="false" customHeight="false" outlineLevel="0" collapsed="false">
      <c r="A235" s="32" t="n">
        <v>46056</v>
      </c>
      <c r="B235" s="33" t="str">
        <f aca="false">IF(A235="","",TEXT(A235,"yyyy-mm"))</f>
        <v>2026-02</v>
      </c>
      <c r="C235" s="34" t="s">
        <v>94</v>
      </c>
      <c r="D235" s="35" t="n">
        <v>50000</v>
      </c>
      <c r="E235" s="34" t="s">
        <v>85</v>
      </c>
      <c r="F235" s="33" t="str">
        <f aca="false">IF(E235="","",IFERROR(INDEX(카테고리!$B$2:$B$200,MATCH(E235,카테고리!$A$2:$A$200,0)),"미분류"))</f>
        <v>변동비</v>
      </c>
      <c r="G235" s="33" t="str">
        <f aca="false">IF(E235="","",IFERROR(INDEX(카테고리!$C$2:$C$200,MATCH(E235,카테고리!$A$2:$A$200,0)),"N"))</f>
        <v>Y</v>
      </c>
      <c r="H235" s="34" t="s">
        <v>73</v>
      </c>
      <c r="I235" s="34" t="s">
        <v>90</v>
      </c>
      <c r="J235" s="34" t="s">
        <v>75</v>
      </c>
      <c r="K235" s="37"/>
      <c r="L235" s="36" t="n">
        <f aca="false">IF(A235="","",YEAR(A235)*100+MONTH(A235))</f>
        <v>202602</v>
      </c>
    </row>
    <row r="236" customFormat="false" ht="15" hidden="false" customHeight="false" outlineLevel="0" collapsed="false">
      <c r="A236" s="32" t="n">
        <v>46058</v>
      </c>
      <c r="B236" s="33" t="str">
        <f aca="false">IF(A236="","",TEXT(A236,"yyyy-mm"))</f>
        <v>2026-02</v>
      </c>
      <c r="C236" s="34" t="s">
        <v>96</v>
      </c>
      <c r="D236" s="35" t="n">
        <v>300000</v>
      </c>
      <c r="E236" s="34" t="s">
        <v>97</v>
      </c>
      <c r="F236" s="33" t="str">
        <f aca="false">IF(E236="","",IFERROR(INDEX(카테고리!$B$2:$B$200,MATCH(E236,카테고리!$A$2:$A$200,0)),"미분류"))</f>
        <v>자본이동</v>
      </c>
      <c r="G236" s="33" t="str">
        <f aca="false">IF(E236="","",IFERROR(INDEX(카테고리!$C$2:$C$200,MATCH(E236,카테고리!$A$2:$A$200,0)),"N"))</f>
        <v>N</v>
      </c>
      <c r="H236" s="34" t="s">
        <v>78</v>
      </c>
      <c r="I236" s="34" t="s">
        <v>98</v>
      </c>
      <c r="J236" s="34" t="s">
        <v>75</v>
      </c>
      <c r="K236" s="37"/>
      <c r="L236" s="36" t="n">
        <f aca="false">IF(A236="","",YEAR(A236)*100+MONTH(A236))</f>
        <v>202602</v>
      </c>
    </row>
    <row r="237" customFormat="false" ht="15" hidden="false" customHeight="false" outlineLevel="0" collapsed="false">
      <c r="A237" s="32" t="n">
        <v>46058</v>
      </c>
      <c r="B237" s="33" t="str">
        <f aca="false">IF(A237="","",TEXT(A237,"yyyy-mm"))</f>
        <v>2026-02</v>
      </c>
      <c r="C237" s="34" t="s">
        <v>99</v>
      </c>
      <c r="D237" s="35" t="n">
        <v>76800</v>
      </c>
      <c r="E237" s="34" t="s">
        <v>100</v>
      </c>
      <c r="F237" s="33" t="str">
        <f aca="false">IF(E237="","",IFERROR(INDEX(카테고리!$B$2:$B$200,MATCH(E237,카테고리!$A$2:$A$200,0)),"미분류"))</f>
        <v>고정비</v>
      </c>
      <c r="G237" s="33" t="str">
        <f aca="false">IF(E237="","",IFERROR(INDEX(카테고리!$C$2:$C$200,MATCH(E237,카테고리!$A$2:$A$200,0)),"N"))</f>
        <v>Y</v>
      </c>
      <c r="H237" s="34" t="s">
        <v>78</v>
      </c>
      <c r="I237" s="34" t="s">
        <v>98</v>
      </c>
      <c r="J237" s="34" t="s">
        <v>75</v>
      </c>
      <c r="K237" s="37"/>
      <c r="L237" s="36" t="n">
        <f aca="false">IF(A237="","",YEAR(A237)*100+MONTH(A237))</f>
        <v>202602</v>
      </c>
    </row>
    <row r="238" customFormat="false" ht="15" hidden="false" customHeight="false" outlineLevel="0" collapsed="false">
      <c r="A238" s="32" t="n">
        <v>46058</v>
      </c>
      <c r="B238" s="33" t="str">
        <f aca="false">IF(A238="","",TEXT(A238,"yyyy-mm"))</f>
        <v>2026-02</v>
      </c>
      <c r="C238" s="34" t="s">
        <v>101</v>
      </c>
      <c r="D238" s="35" t="n">
        <v>600000</v>
      </c>
      <c r="E238" s="34" t="s">
        <v>97</v>
      </c>
      <c r="F238" s="33" t="str">
        <f aca="false">IF(E238="","",IFERROR(INDEX(카테고리!$B$2:$B$200,MATCH(E238,카테고리!$A$2:$A$200,0)),"미분류"))</f>
        <v>자본이동</v>
      </c>
      <c r="G238" s="33" t="str">
        <f aca="false">IF(E238="","",IFERROR(INDEX(카테고리!$C$2:$C$200,MATCH(E238,카테고리!$A$2:$A$200,0)),"N"))</f>
        <v>N</v>
      </c>
      <c r="H238" s="34" t="s">
        <v>81</v>
      </c>
      <c r="I238" s="34" t="s">
        <v>98</v>
      </c>
      <c r="J238" s="34" t="s">
        <v>75</v>
      </c>
      <c r="K238" s="37"/>
      <c r="L238" s="36" t="n">
        <f aca="false">IF(A238="","",YEAR(A238)*100+MONTH(A238))</f>
        <v>202602</v>
      </c>
    </row>
    <row r="239" customFormat="false" ht="15" hidden="false" customHeight="false" outlineLevel="0" collapsed="false">
      <c r="A239" s="32" t="n">
        <v>46058</v>
      </c>
      <c r="B239" s="33" t="str">
        <f aca="false">IF(A239="","",TEXT(A239,"yyyy-mm"))</f>
        <v>2026-02</v>
      </c>
      <c r="C239" s="34" t="s">
        <v>102</v>
      </c>
      <c r="D239" s="35" t="n">
        <v>997000</v>
      </c>
      <c r="E239" s="34" t="s">
        <v>100</v>
      </c>
      <c r="F239" s="33" t="str">
        <f aca="false">IF(E239="","",IFERROR(INDEX(카테고리!$B$2:$B$200,MATCH(E239,카테고리!$A$2:$A$200,0)),"미분류"))</f>
        <v>고정비</v>
      </c>
      <c r="G239" s="33" t="str">
        <f aca="false">IF(E239="","",IFERROR(INDEX(카테고리!$C$2:$C$200,MATCH(E239,카테고리!$A$2:$A$200,0)),"N"))</f>
        <v>Y</v>
      </c>
      <c r="H239" s="34" t="s">
        <v>81</v>
      </c>
      <c r="I239" s="34" t="s">
        <v>98</v>
      </c>
      <c r="J239" s="34" t="s">
        <v>75</v>
      </c>
      <c r="K239" s="37"/>
      <c r="L239" s="36" t="n">
        <f aca="false">IF(A239="","",YEAR(A239)*100+MONTH(A239))</f>
        <v>202602</v>
      </c>
    </row>
    <row r="240" customFormat="false" ht="15" hidden="false" customHeight="false" outlineLevel="0" collapsed="false">
      <c r="A240" s="32" t="n">
        <v>46060</v>
      </c>
      <c r="B240" s="33" t="str">
        <f aca="false">IF(A240="","",TEXT(A240,"yyyy-mm"))</f>
        <v>2026-02</v>
      </c>
      <c r="C240" s="34" t="s">
        <v>123</v>
      </c>
      <c r="D240" s="35" t="n">
        <v>74700</v>
      </c>
      <c r="E240" s="34" t="s">
        <v>124</v>
      </c>
      <c r="F240" s="33" t="str">
        <f aca="false">IF(E240="","",IFERROR(INDEX(카테고리!$B$2:$B$200,MATCH(E240,카테고리!$A$2:$A$200,0)),"미분류"))</f>
        <v>변동비</v>
      </c>
      <c r="G240" s="33" t="str">
        <f aca="false">IF(E240="","",IFERROR(INDEX(카테고리!$C$2:$C$200,MATCH(E240,카테고리!$A$2:$A$200,0)),"N"))</f>
        <v>N</v>
      </c>
      <c r="H240" s="34" t="s">
        <v>81</v>
      </c>
      <c r="I240" s="34" t="s">
        <v>107</v>
      </c>
      <c r="J240" s="34" t="s">
        <v>75</v>
      </c>
      <c r="K240" s="37"/>
      <c r="L240" s="36" t="n">
        <f aca="false">IF(A240="","",YEAR(A240)*100+MONTH(A240))</f>
        <v>202602</v>
      </c>
    </row>
    <row r="241" customFormat="false" ht="15" hidden="false" customHeight="false" outlineLevel="0" collapsed="false">
      <c r="A241" s="32" t="n">
        <v>46060</v>
      </c>
      <c r="B241" s="33" t="str">
        <f aca="false">IF(A241="","",TEXT(A241,"yyyy-mm"))</f>
        <v>2026-02</v>
      </c>
      <c r="C241" s="34" t="s">
        <v>104</v>
      </c>
      <c r="D241" s="35" t="n">
        <v>17000</v>
      </c>
      <c r="E241" s="34" t="s">
        <v>105</v>
      </c>
      <c r="F241" s="33" t="str">
        <f aca="false">IF(E241="","",IFERROR(INDEX(카테고리!$B$2:$B$200,MATCH(E241,카테고리!$A$2:$A$200,0)),"미분류"))</f>
        <v>고정비</v>
      </c>
      <c r="G241" s="33" t="str">
        <f aca="false">IF(E241="","",IFERROR(INDEX(카테고리!$C$2:$C$200,MATCH(E241,카테고리!$A$2:$A$200,0)),"N"))</f>
        <v>N</v>
      </c>
      <c r="H241" s="34" t="s">
        <v>81</v>
      </c>
      <c r="I241" s="34" t="s">
        <v>82</v>
      </c>
      <c r="J241" s="34" t="s">
        <v>75</v>
      </c>
      <c r="K241" s="37"/>
      <c r="L241" s="36" t="n">
        <f aca="false">IF(A241="","",YEAR(A241)*100+MONTH(A241))</f>
        <v>202602</v>
      </c>
    </row>
    <row r="242" customFormat="false" ht="15" hidden="false" customHeight="false" outlineLevel="0" collapsed="false">
      <c r="A242" s="32" t="n">
        <v>46060</v>
      </c>
      <c r="B242" s="33" t="str">
        <f aca="false">IF(A242="","",TEXT(A242,"yyyy-mm"))</f>
        <v>2026-02</v>
      </c>
      <c r="C242" s="34" t="s">
        <v>106</v>
      </c>
      <c r="D242" s="35" t="n">
        <v>14900</v>
      </c>
      <c r="E242" s="34" t="s">
        <v>105</v>
      </c>
      <c r="F242" s="33" t="str">
        <f aca="false">IF(E242="","",IFERROR(INDEX(카테고리!$B$2:$B$200,MATCH(E242,카테고리!$A$2:$A$200,0)),"미분류"))</f>
        <v>고정비</v>
      </c>
      <c r="G242" s="33" t="str">
        <f aca="false">IF(E242="","",IFERROR(INDEX(카테고리!$C$2:$C$200,MATCH(E242,카테고리!$A$2:$A$200,0)),"N"))</f>
        <v>N</v>
      </c>
      <c r="H242" s="34" t="s">
        <v>78</v>
      </c>
      <c r="I242" s="34" t="s">
        <v>107</v>
      </c>
      <c r="J242" s="34" t="s">
        <v>75</v>
      </c>
      <c r="K242" s="37"/>
      <c r="L242" s="36" t="n">
        <f aca="false">IF(A242="","",YEAR(A242)*100+MONTH(A242))</f>
        <v>202602</v>
      </c>
    </row>
    <row r="243" customFormat="false" ht="15" hidden="false" customHeight="false" outlineLevel="0" collapsed="false">
      <c r="A243" s="32" t="n">
        <v>46060</v>
      </c>
      <c r="B243" s="33" t="str">
        <f aca="false">IF(A243="","",TEXT(A243,"yyyy-mm"))</f>
        <v>2026-02</v>
      </c>
      <c r="C243" s="34" t="s">
        <v>108</v>
      </c>
      <c r="D243" s="35" t="n">
        <v>7890</v>
      </c>
      <c r="E243" s="34" t="s">
        <v>105</v>
      </c>
      <c r="F243" s="33" t="str">
        <f aca="false">IF(E243="","",IFERROR(INDEX(카테고리!$B$2:$B$200,MATCH(E243,카테고리!$A$2:$A$200,0)),"미분류"))</f>
        <v>고정비</v>
      </c>
      <c r="G243" s="33" t="str">
        <f aca="false">IF(E243="","",IFERROR(INDEX(카테고리!$C$2:$C$200,MATCH(E243,카테고리!$A$2:$A$200,0)),"N"))</f>
        <v>N</v>
      </c>
      <c r="H243" s="34" t="s">
        <v>73</v>
      </c>
      <c r="I243" s="34" t="s">
        <v>90</v>
      </c>
      <c r="J243" s="34" t="s">
        <v>75</v>
      </c>
      <c r="K243" s="37"/>
      <c r="L243" s="36" t="n">
        <f aca="false">IF(A243="","",YEAR(A243)*100+MONTH(A243))</f>
        <v>202602</v>
      </c>
    </row>
    <row r="244" customFormat="false" ht="15" hidden="false" customHeight="false" outlineLevel="0" collapsed="false">
      <c r="A244" s="32" t="n">
        <v>46060</v>
      </c>
      <c r="B244" s="33" t="str">
        <f aca="false">IF(A244="","",TEXT(A244,"yyyy-mm"))</f>
        <v>2026-02</v>
      </c>
      <c r="C244" s="34" t="s">
        <v>103</v>
      </c>
      <c r="D244" s="35" t="n">
        <v>115330</v>
      </c>
      <c r="E244" s="34" t="s">
        <v>92</v>
      </c>
      <c r="F244" s="33" t="str">
        <f aca="false">IF(E244="","",IFERROR(INDEX(카테고리!$B$2:$B$200,MATCH(E244,카테고리!$A$2:$A$200,0)),"미분류"))</f>
        <v>변동비</v>
      </c>
      <c r="G244" s="33" t="str">
        <f aca="false">IF(E244="","",IFERROR(INDEX(카테고리!$C$2:$C$200,MATCH(E244,카테고리!$A$2:$A$200,0)),"N"))</f>
        <v>Y</v>
      </c>
      <c r="H244" s="34" t="s">
        <v>81</v>
      </c>
      <c r="I244" s="34" t="s">
        <v>82</v>
      </c>
      <c r="J244" s="34" t="s">
        <v>75</v>
      </c>
      <c r="K244" s="37"/>
      <c r="L244" s="36" t="n">
        <f aca="false">IF(A244="","",YEAR(A244)*100+MONTH(A244))</f>
        <v>202602</v>
      </c>
    </row>
    <row r="245" customFormat="false" ht="15" hidden="false" customHeight="false" outlineLevel="0" collapsed="false">
      <c r="A245" s="32" t="n">
        <v>46062</v>
      </c>
      <c r="B245" s="33" t="str">
        <f aca="false">IF(A245="","",TEXT(A245,"yyyy-mm"))</f>
        <v>2026-02</v>
      </c>
      <c r="C245" s="37" t="s">
        <v>84</v>
      </c>
      <c r="D245" s="35" t="n">
        <v>87640</v>
      </c>
      <c r="E245" s="34" t="s">
        <v>85</v>
      </c>
      <c r="F245" s="33" t="str">
        <f aca="false">IF(E245="","",IFERROR(INDEX(카테고리!$B$2:$B$200,MATCH(E245,카테고리!$A$2:$A$200,0)),"미분류"))</f>
        <v>변동비</v>
      </c>
      <c r="G245" s="33" t="str">
        <f aca="false">IF(E245="","",IFERROR(INDEX(카테고리!$C$2:$C$200,MATCH(E245,카테고리!$A$2:$A$200,0)),"N"))</f>
        <v>Y</v>
      </c>
      <c r="H245" s="34" t="s">
        <v>81</v>
      </c>
      <c r="I245" s="34" t="s">
        <v>82</v>
      </c>
      <c r="J245" s="34" t="s">
        <v>75</v>
      </c>
      <c r="K245" s="37"/>
      <c r="L245" s="36" t="n">
        <f aca="false">IF(A245="","",YEAR(A245)*100+MONTH(A245))</f>
        <v>202602</v>
      </c>
    </row>
    <row r="246" customFormat="false" ht="15" hidden="false" customHeight="false" outlineLevel="0" collapsed="false">
      <c r="A246" s="32" t="n">
        <v>46062</v>
      </c>
      <c r="B246" s="33" t="str">
        <f aca="false">IF(A246="","",TEXT(A246,"yyyy-mm"))</f>
        <v>2026-02</v>
      </c>
      <c r="C246" s="34" t="s">
        <v>103</v>
      </c>
      <c r="D246" s="35" t="n">
        <v>75870</v>
      </c>
      <c r="E246" s="34" t="s">
        <v>92</v>
      </c>
      <c r="F246" s="33" t="str">
        <f aca="false">IF(E246="","",IFERROR(INDEX(카테고리!$B$2:$B$200,MATCH(E246,카테고리!$A$2:$A$200,0)),"미분류"))</f>
        <v>변동비</v>
      </c>
      <c r="G246" s="33" t="str">
        <f aca="false">IF(E246="","",IFERROR(INDEX(카테고리!$C$2:$C$200,MATCH(E246,카테고리!$A$2:$A$200,0)),"N"))</f>
        <v>Y</v>
      </c>
      <c r="H246" s="34" t="s">
        <v>73</v>
      </c>
      <c r="I246" s="34" t="s">
        <v>82</v>
      </c>
      <c r="J246" s="34" t="s">
        <v>75</v>
      </c>
      <c r="K246" s="37"/>
      <c r="L246" s="36" t="n">
        <f aca="false">IF(A246="","",YEAR(A246)*100+MONTH(A246))</f>
        <v>202602</v>
      </c>
    </row>
    <row r="247" customFormat="false" ht="15" hidden="false" customHeight="false" outlineLevel="0" collapsed="false">
      <c r="A247" s="32" t="n">
        <v>46063</v>
      </c>
      <c r="B247" s="33" t="str">
        <f aca="false">IF(A247="","",TEXT(A247,"yyyy-mm"))</f>
        <v>2026-02</v>
      </c>
      <c r="C247" s="37" t="s">
        <v>111</v>
      </c>
      <c r="D247" s="35" t="n">
        <v>68000</v>
      </c>
      <c r="E247" s="34" t="s">
        <v>112</v>
      </c>
      <c r="F247" s="33" t="str">
        <f aca="false">IF(E247="","",IFERROR(INDEX(카테고리!$B$2:$B$200,MATCH(E247,카테고리!$A$2:$A$200,0)),"미분류"))</f>
        <v>고정비</v>
      </c>
      <c r="G247" s="33" t="str">
        <f aca="false">IF(E247="","",IFERROR(INDEX(카테고리!$C$2:$C$200,MATCH(E247,카테고리!$A$2:$A$200,0)),"N"))</f>
        <v>Y</v>
      </c>
      <c r="H247" s="34" t="s">
        <v>81</v>
      </c>
      <c r="I247" s="34" t="s">
        <v>98</v>
      </c>
      <c r="J247" s="34" t="s">
        <v>75</v>
      </c>
      <c r="K247" s="37"/>
      <c r="L247" s="36" t="n">
        <f aca="false">IF(A247="","",YEAR(A247)*100+MONTH(A247))</f>
        <v>202602</v>
      </c>
    </row>
    <row r="248" customFormat="false" ht="15" hidden="false" customHeight="false" outlineLevel="0" collapsed="false">
      <c r="A248" s="32" t="n">
        <v>46063</v>
      </c>
      <c r="B248" s="33" t="str">
        <f aca="false">IF(A248="","",TEXT(A248,"yyyy-mm"))</f>
        <v>2026-02</v>
      </c>
      <c r="C248" s="34" t="s">
        <v>113</v>
      </c>
      <c r="D248" s="35" t="n">
        <v>172000</v>
      </c>
      <c r="E248" s="34" t="s">
        <v>112</v>
      </c>
      <c r="F248" s="33" t="str">
        <f aca="false">IF(E248="","",IFERROR(INDEX(카테고리!$B$2:$B$200,MATCH(E248,카테고리!$A$2:$A$200,0)),"미분류"))</f>
        <v>고정비</v>
      </c>
      <c r="G248" s="33" t="str">
        <f aca="false">IF(E248="","",IFERROR(INDEX(카테고리!$C$2:$C$200,MATCH(E248,카테고리!$A$2:$A$200,0)),"N"))</f>
        <v>Y</v>
      </c>
      <c r="H248" s="34" t="s">
        <v>78</v>
      </c>
      <c r="I248" s="34" t="s">
        <v>98</v>
      </c>
      <c r="J248" s="34" t="s">
        <v>75</v>
      </c>
      <c r="K248" s="37"/>
      <c r="L248" s="36" t="n">
        <f aca="false">IF(A248="","",YEAR(A248)*100+MONTH(A248))</f>
        <v>202602</v>
      </c>
    </row>
    <row r="249" customFormat="false" ht="15" hidden="false" customHeight="false" outlineLevel="0" collapsed="false">
      <c r="A249" s="32" t="n">
        <v>46063</v>
      </c>
      <c r="B249" s="33" t="str">
        <f aca="false">IF(A249="","",TEXT(A249,"yyyy-mm"))</f>
        <v>2026-02</v>
      </c>
      <c r="C249" s="34" t="s">
        <v>114</v>
      </c>
      <c r="D249" s="35" t="n">
        <v>148000</v>
      </c>
      <c r="E249" s="34" t="s">
        <v>112</v>
      </c>
      <c r="F249" s="33" t="str">
        <f aca="false">IF(E249="","",IFERROR(INDEX(카테고리!$B$2:$B$200,MATCH(E249,카테고리!$A$2:$A$200,0)),"미분류"))</f>
        <v>고정비</v>
      </c>
      <c r="G249" s="33" t="str">
        <f aca="false">IF(E249="","",IFERROR(INDEX(카테고리!$C$2:$C$200,MATCH(E249,카테고리!$A$2:$A$200,0)),"N"))</f>
        <v>Y</v>
      </c>
      <c r="H249" s="34" t="s">
        <v>73</v>
      </c>
      <c r="I249" s="34" t="s">
        <v>98</v>
      </c>
      <c r="J249" s="34" t="s">
        <v>75</v>
      </c>
      <c r="K249" s="37"/>
      <c r="L249" s="36" t="n">
        <f aca="false">IF(A249="","",YEAR(A249)*100+MONTH(A249))</f>
        <v>202602</v>
      </c>
    </row>
    <row r="250" customFormat="false" ht="15" hidden="false" customHeight="false" outlineLevel="0" collapsed="false">
      <c r="A250" s="32" t="n">
        <v>46064</v>
      </c>
      <c r="B250" s="33" t="str">
        <f aca="false">IF(A250="","",TEXT(A250,"yyyy-mm"))</f>
        <v>2026-02</v>
      </c>
      <c r="C250" s="34" t="s">
        <v>145</v>
      </c>
      <c r="D250" s="35" t="n">
        <v>21620</v>
      </c>
      <c r="E250" s="34" t="s">
        <v>89</v>
      </c>
      <c r="F250" s="33" t="str">
        <f aca="false">IF(E250="","",IFERROR(INDEX(카테고리!$B$2:$B$200,MATCH(E250,카테고리!$A$2:$A$200,0)),"미분류"))</f>
        <v>변동비</v>
      </c>
      <c r="G250" s="33" t="str">
        <f aca="false">IF(E250="","",IFERROR(INDEX(카테고리!$C$2:$C$200,MATCH(E250,카테고리!$A$2:$A$200,0)),"N"))</f>
        <v>N</v>
      </c>
      <c r="H250" s="34" t="s">
        <v>81</v>
      </c>
      <c r="I250" s="34" t="s">
        <v>107</v>
      </c>
      <c r="J250" s="34" t="s">
        <v>75</v>
      </c>
      <c r="K250" s="37"/>
      <c r="L250" s="36" t="n">
        <f aca="false">IF(A250="","",YEAR(A250)*100+MONTH(A250))</f>
        <v>202602</v>
      </c>
    </row>
    <row r="251" customFormat="false" ht="15" hidden="false" customHeight="false" outlineLevel="0" collapsed="false">
      <c r="A251" s="32" t="n">
        <v>46065</v>
      </c>
      <c r="B251" s="33" t="str">
        <f aca="false">IF(A251="","",TEXT(A251,"yyyy-mm"))</f>
        <v>2026-02</v>
      </c>
      <c r="C251" s="34" t="s">
        <v>95</v>
      </c>
      <c r="D251" s="35" t="n">
        <v>84770</v>
      </c>
      <c r="E251" s="34" t="s">
        <v>89</v>
      </c>
      <c r="F251" s="33" t="str">
        <f aca="false">IF(E251="","",IFERROR(INDEX(카테고리!$B$2:$B$200,MATCH(E251,카테고리!$A$2:$A$200,0)),"미분류"))</f>
        <v>변동비</v>
      </c>
      <c r="G251" s="33" t="str">
        <f aca="false">IF(E251="","",IFERROR(INDEX(카테고리!$C$2:$C$200,MATCH(E251,카테고리!$A$2:$A$200,0)),"N"))</f>
        <v>N</v>
      </c>
      <c r="H251" s="34" t="s">
        <v>78</v>
      </c>
      <c r="I251" s="34" t="s">
        <v>90</v>
      </c>
      <c r="J251" s="34" t="s">
        <v>75</v>
      </c>
      <c r="K251" s="37"/>
      <c r="L251" s="36" t="n">
        <f aca="false">IF(A251="","",YEAR(A251)*100+MONTH(A251))</f>
        <v>202602</v>
      </c>
    </row>
    <row r="252" customFormat="false" ht="15" hidden="false" customHeight="false" outlineLevel="0" collapsed="false">
      <c r="A252" s="32" t="n">
        <v>46066</v>
      </c>
      <c r="B252" s="33" t="str">
        <f aca="false">IF(A252="","",TEXT(A252,"yyyy-mm"))</f>
        <v>2026-02</v>
      </c>
      <c r="C252" s="34" t="s">
        <v>158</v>
      </c>
      <c r="D252" s="35" t="n">
        <v>61020</v>
      </c>
      <c r="E252" s="34" t="s">
        <v>89</v>
      </c>
      <c r="F252" s="33" t="str">
        <f aca="false">IF(E252="","",IFERROR(INDEX(카테고리!$B$2:$B$200,MATCH(E252,카테고리!$A$2:$A$200,0)),"미분류"))</f>
        <v>변동비</v>
      </c>
      <c r="G252" s="33" t="str">
        <f aca="false">IF(E252="","",IFERROR(INDEX(카테고리!$C$2:$C$200,MATCH(E252,카테고리!$A$2:$A$200,0)),"N"))</f>
        <v>N</v>
      </c>
      <c r="H252" s="34" t="s">
        <v>78</v>
      </c>
      <c r="I252" s="34" t="s">
        <v>82</v>
      </c>
      <c r="J252" s="34" t="s">
        <v>75</v>
      </c>
      <c r="K252" s="37"/>
      <c r="L252" s="36" t="n">
        <f aca="false">IF(A252="","",YEAR(A252)*100+MONTH(A252))</f>
        <v>202602</v>
      </c>
    </row>
    <row r="253" customFormat="false" ht="15" hidden="false" customHeight="false" outlineLevel="0" collapsed="false">
      <c r="A253" s="32" t="n">
        <v>46066</v>
      </c>
      <c r="B253" s="33" t="str">
        <f aca="false">IF(A253="","",TEXT(A253,"yyyy-mm"))</f>
        <v>2026-02</v>
      </c>
      <c r="C253" s="34" t="s">
        <v>115</v>
      </c>
      <c r="D253" s="35" t="n">
        <v>44330</v>
      </c>
      <c r="E253" s="34" t="s">
        <v>116</v>
      </c>
      <c r="F253" s="33" t="str">
        <f aca="false">IF(E253="","",IFERROR(INDEX(카테고리!$B$2:$B$200,MATCH(E253,카테고리!$A$2:$A$200,0)),"미분류"))</f>
        <v>변동비</v>
      </c>
      <c r="G253" s="33" t="str">
        <f aca="false">IF(E253="","",IFERROR(INDEX(카테고리!$C$2:$C$200,MATCH(E253,카테고리!$A$2:$A$200,0)),"N"))</f>
        <v>Y</v>
      </c>
      <c r="H253" s="34" t="s">
        <v>81</v>
      </c>
      <c r="I253" s="34" t="s">
        <v>82</v>
      </c>
      <c r="J253" s="34" t="s">
        <v>75</v>
      </c>
      <c r="K253" s="37"/>
      <c r="L253" s="36" t="n">
        <f aca="false">IF(A253="","",YEAR(A253)*100+MONTH(A253))</f>
        <v>202602</v>
      </c>
    </row>
    <row r="254" customFormat="false" ht="15" hidden="false" customHeight="false" outlineLevel="0" collapsed="false">
      <c r="A254" s="32" t="n">
        <v>46066</v>
      </c>
      <c r="B254" s="33" t="str">
        <f aca="false">IF(A254="","",TEXT(A254,"yyyy-mm"))</f>
        <v>2026-02</v>
      </c>
      <c r="C254" s="34" t="s">
        <v>93</v>
      </c>
      <c r="D254" s="35" t="n">
        <v>60080</v>
      </c>
      <c r="E254" s="34" t="s">
        <v>92</v>
      </c>
      <c r="F254" s="33" t="str">
        <f aca="false">IF(E254="","",IFERROR(INDEX(카테고리!$B$2:$B$200,MATCH(E254,카테고리!$A$2:$A$200,0)),"미분류"))</f>
        <v>변동비</v>
      </c>
      <c r="G254" s="33" t="str">
        <f aca="false">IF(E254="","",IFERROR(INDEX(카테고리!$C$2:$C$200,MATCH(E254,카테고리!$A$2:$A$200,0)),"N"))</f>
        <v>Y</v>
      </c>
      <c r="H254" s="34" t="s">
        <v>81</v>
      </c>
      <c r="I254" s="34" t="s">
        <v>82</v>
      </c>
      <c r="J254" s="34" t="s">
        <v>75</v>
      </c>
      <c r="K254" s="37"/>
      <c r="L254" s="36" t="n">
        <f aca="false">IF(A254="","",YEAR(A254)*100+MONTH(A254))</f>
        <v>202602</v>
      </c>
    </row>
    <row r="255" customFormat="false" ht="15" hidden="false" customHeight="false" outlineLevel="0" collapsed="false">
      <c r="A255" s="32" t="n">
        <v>46067</v>
      </c>
      <c r="B255" s="33" t="str">
        <f aca="false">IF(A255="","",TEXT(A255,"yyyy-mm"))</f>
        <v>2026-02</v>
      </c>
      <c r="C255" s="34" t="s">
        <v>163</v>
      </c>
      <c r="D255" s="35" t="n">
        <v>1250000</v>
      </c>
      <c r="E255" s="34" t="s">
        <v>164</v>
      </c>
      <c r="F255" s="33" t="str">
        <f aca="false">IF(E255="","",IFERROR(INDEX(카테고리!$B$2:$B$200,MATCH(E255,카테고리!$A$2:$A$200,0)),"미분류"))</f>
        <v>비정기비</v>
      </c>
      <c r="G255" s="33" t="str">
        <f aca="false">IF(E255="","",IFERROR(INDEX(카테고리!$C$2:$C$200,MATCH(E255,카테고리!$A$2:$A$200,0)),"N"))</f>
        <v>N</v>
      </c>
      <c r="H255" s="34" t="s">
        <v>81</v>
      </c>
      <c r="I255" s="34" t="s">
        <v>82</v>
      </c>
      <c r="J255" s="34" t="s">
        <v>75</v>
      </c>
      <c r="K255" s="37"/>
      <c r="L255" s="36" t="n">
        <f aca="false">IF(A255="","",YEAR(A255)*100+MONTH(A255))</f>
        <v>202602</v>
      </c>
    </row>
    <row r="256" customFormat="false" ht="15" hidden="false" customHeight="false" outlineLevel="0" collapsed="false">
      <c r="A256" s="32" t="n">
        <v>46067</v>
      </c>
      <c r="B256" s="33" t="str">
        <f aca="false">IF(A256="","",TEXT(A256,"yyyy-mm"))</f>
        <v>2026-02</v>
      </c>
      <c r="C256" s="34" t="s">
        <v>110</v>
      </c>
      <c r="D256" s="35" t="n">
        <v>10150</v>
      </c>
      <c r="E256" s="34" t="s">
        <v>85</v>
      </c>
      <c r="F256" s="33" t="str">
        <f aca="false">IF(E256="","",IFERROR(INDEX(카테고리!$B$2:$B$200,MATCH(E256,카테고리!$A$2:$A$200,0)),"미분류"))</f>
        <v>변동비</v>
      </c>
      <c r="G256" s="33" t="str">
        <f aca="false">IF(E256="","",IFERROR(INDEX(카테고리!$C$2:$C$200,MATCH(E256,카테고리!$A$2:$A$200,0)),"N"))</f>
        <v>Y</v>
      </c>
      <c r="H256" s="34" t="s">
        <v>78</v>
      </c>
      <c r="I256" s="34" t="s">
        <v>107</v>
      </c>
      <c r="J256" s="34" t="s">
        <v>75</v>
      </c>
      <c r="K256" s="37"/>
      <c r="L256" s="36" t="n">
        <f aca="false">IF(A256="","",YEAR(A256)*100+MONTH(A256))</f>
        <v>202602</v>
      </c>
    </row>
    <row r="257" customFormat="false" ht="15" hidden="false" customHeight="false" outlineLevel="0" collapsed="false">
      <c r="A257" s="32" t="n">
        <v>46067</v>
      </c>
      <c r="B257" s="33" t="str">
        <f aca="false">IF(A257="","",TEXT(A257,"yyyy-mm"))</f>
        <v>2026-02</v>
      </c>
      <c r="C257" s="34" t="s">
        <v>145</v>
      </c>
      <c r="D257" s="35" t="n">
        <v>63310</v>
      </c>
      <c r="E257" s="34" t="s">
        <v>89</v>
      </c>
      <c r="F257" s="33" t="str">
        <f aca="false">IF(E257="","",IFERROR(INDEX(카테고리!$B$2:$B$200,MATCH(E257,카테고리!$A$2:$A$200,0)),"미분류"))</f>
        <v>변동비</v>
      </c>
      <c r="G257" s="33" t="str">
        <f aca="false">IF(E257="","",IFERROR(INDEX(카테고리!$C$2:$C$200,MATCH(E257,카테고리!$A$2:$A$200,0)),"N"))</f>
        <v>N</v>
      </c>
      <c r="H257" s="34" t="s">
        <v>73</v>
      </c>
      <c r="I257" s="34" t="s">
        <v>107</v>
      </c>
      <c r="J257" s="34" t="s">
        <v>75</v>
      </c>
      <c r="K257" s="37"/>
      <c r="L257" s="36" t="n">
        <f aca="false">IF(A257="","",YEAR(A257)*100+MONTH(A257))</f>
        <v>202602</v>
      </c>
    </row>
    <row r="258" customFormat="false" ht="15" hidden="false" customHeight="false" outlineLevel="0" collapsed="false">
      <c r="A258" s="32" t="n">
        <v>46069</v>
      </c>
      <c r="B258" s="33" t="str">
        <f aca="false">IF(A258="","",TEXT(A258,"yyyy-mm"))</f>
        <v>2026-02</v>
      </c>
      <c r="C258" s="34" t="s">
        <v>165</v>
      </c>
      <c r="D258" s="35" t="n">
        <v>520000</v>
      </c>
      <c r="E258" s="34" t="s">
        <v>166</v>
      </c>
      <c r="F258" s="33" t="str">
        <f aca="false">IF(E258="","",IFERROR(INDEX(카테고리!$B$2:$B$200,MATCH(E258,카테고리!$A$2:$A$200,0)),"미분류"))</f>
        <v>비정기비</v>
      </c>
      <c r="G258" s="33" t="str">
        <f aca="false">IF(E258="","",IFERROR(INDEX(카테고리!$C$2:$C$200,MATCH(E258,카테고리!$A$2:$A$200,0)),"N"))</f>
        <v>N</v>
      </c>
      <c r="H258" s="34" t="s">
        <v>81</v>
      </c>
      <c r="I258" s="34" t="s">
        <v>74</v>
      </c>
      <c r="J258" s="34" t="s">
        <v>75</v>
      </c>
      <c r="K258" s="37"/>
      <c r="L258" s="36" t="n">
        <f aca="false">IF(A258="","",YEAR(A258)*100+MONTH(A258))</f>
        <v>202602</v>
      </c>
    </row>
    <row r="259" customFormat="false" ht="15" hidden="false" customHeight="false" outlineLevel="0" collapsed="false">
      <c r="A259" s="32" t="n">
        <v>46071</v>
      </c>
      <c r="B259" s="33" t="str">
        <f aca="false">IF(A259="","",TEXT(A259,"yyyy-mm"))</f>
        <v>2026-02</v>
      </c>
      <c r="C259" s="34" t="s">
        <v>150</v>
      </c>
      <c r="D259" s="35" t="n">
        <v>300000</v>
      </c>
      <c r="E259" s="34" t="s">
        <v>151</v>
      </c>
      <c r="F259" s="33" t="str">
        <f aca="false">IF(E259="","",IFERROR(INDEX(카테고리!$B$2:$B$200,MATCH(E259,카테고리!$A$2:$A$200,0)),"미분류"))</f>
        <v>소득</v>
      </c>
      <c r="G259" s="33" t="str">
        <f aca="false">IF(E259="","",IFERROR(INDEX(카테고리!$C$2:$C$200,MATCH(E259,카테고리!$A$2:$A$200,0)),"N"))</f>
        <v>N</v>
      </c>
      <c r="H259" s="34" t="s">
        <v>73</v>
      </c>
      <c r="I259" s="34" t="s">
        <v>131</v>
      </c>
      <c r="J259" s="34" t="s">
        <v>75</v>
      </c>
      <c r="K259" s="37"/>
      <c r="L259" s="36" t="n">
        <f aca="false">IF(A259="","",YEAR(A259)*100+MONTH(A259))</f>
        <v>202602</v>
      </c>
    </row>
    <row r="260" customFormat="false" ht="15" hidden="false" customHeight="false" outlineLevel="0" collapsed="false">
      <c r="A260" s="32" t="n">
        <v>46072</v>
      </c>
      <c r="B260" s="33" t="str">
        <f aca="false">IF(A260="","",TEXT(A260,"yyyy-mm"))</f>
        <v>2026-02</v>
      </c>
      <c r="C260" s="34" t="s">
        <v>86</v>
      </c>
      <c r="D260" s="35" t="n">
        <v>41690</v>
      </c>
      <c r="E260" s="34" t="s">
        <v>87</v>
      </c>
      <c r="F260" s="33" t="str">
        <f aca="false">IF(E260="","",IFERROR(INDEX(카테고리!$B$2:$B$200,MATCH(E260,카테고리!$A$2:$A$200,0)),"미분류"))</f>
        <v>변동비</v>
      </c>
      <c r="G260" s="33" t="str">
        <f aca="false">IF(E260="","",IFERROR(INDEX(카테고리!$C$2:$C$200,MATCH(E260,카테고리!$A$2:$A$200,0)),"N"))</f>
        <v>Y</v>
      </c>
      <c r="H260" s="34" t="s">
        <v>81</v>
      </c>
      <c r="I260" s="34" t="s">
        <v>82</v>
      </c>
      <c r="J260" s="34" t="s">
        <v>75</v>
      </c>
      <c r="K260" s="37"/>
      <c r="L260" s="36" t="n">
        <f aca="false">IF(A260="","",YEAR(A260)*100+MONTH(A260))</f>
        <v>202602</v>
      </c>
    </row>
    <row r="261" customFormat="false" ht="15" hidden="false" customHeight="false" outlineLevel="0" collapsed="false">
      <c r="A261" s="32" t="n">
        <v>46072</v>
      </c>
      <c r="B261" s="33" t="str">
        <f aca="false">IF(A261="","",TEXT(A261,"yyyy-mm"))</f>
        <v>2026-02</v>
      </c>
      <c r="C261" s="34" t="s">
        <v>158</v>
      </c>
      <c r="D261" s="35" t="n">
        <v>52800</v>
      </c>
      <c r="E261" s="34" t="s">
        <v>89</v>
      </c>
      <c r="F261" s="33" t="str">
        <f aca="false">IF(E261="","",IFERROR(INDEX(카테고리!$B$2:$B$200,MATCH(E261,카테고리!$A$2:$A$200,0)),"미분류"))</f>
        <v>변동비</v>
      </c>
      <c r="G261" s="33" t="str">
        <f aca="false">IF(E261="","",IFERROR(INDEX(카테고리!$C$2:$C$200,MATCH(E261,카테고리!$A$2:$A$200,0)),"N"))</f>
        <v>N</v>
      </c>
      <c r="H261" s="34" t="s">
        <v>81</v>
      </c>
      <c r="I261" s="34" t="s">
        <v>82</v>
      </c>
      <c r="J261" s="34" t="s">
        <v>75</v>
      </c>
      <c r="K261" s="37"/>
      <c r="L261" s="36" t="n">
        <f aca="false">IF(A261="","",YEAR(A261)*100+MONTH(A261))</f>
        <v>202602</v>
      </c>
    </row>
    <row r="262" customFormat="false" ht="15" hidden="false" customHeight="false" outlineLevel="0" collapsed="false">
      <c r="A262" s="32" t="n">
        <v>46073</v>
      </c>
      <c r="B262" s="33" t="str">
        <f aca="false">IF(A262="","",TEXT(A262,"yyyy-mm"))</f>
        <v>2026-02</v>
      </c>
      <c r="C262" s="34" t="s">
        <v>86</v>
      </c>
      <c r="D262" s="35" t="n">
        <v>50240</v>
      </c>
      <c r="E262" s="34" t="s">
        <v>87</v>
      </c>
      <c r="F262" s="33" t="str">
        <f aca="false">IF(E262="","",IFERROR(INDEX(카테고리!$B$2:$B$200,MATCH(E262,카테고리!$A$2:$A$200,0)),"미분류"))</f>
        <v>변동비</v>
      </c>
      <c r="G262" s="33" t="str">
        <f aca="false">IF(E262="","",IFERROR(INDEX(카테고리!$C$2:$C$200,MATCH(E262,카테고리!$A$2:$A$200,0)),"N"))</f>
        <v>Y</v>
      </c>
      <c r="H262" s="34" t="s">
        <v>81</v>
      </c>
      <c r="I262" s="34" t="s">
        <v>82</v>
      </c>
      <c r="J262" s="34" t="s">
        <v>75</v>
      </c>
      <c r="K262" s="37"/>
      <c r="L262" s="36" t="n">
        <f aca="false">IF(A262="","",YEAR(A262)*100+MONTH(A262))</f>
        <v>202602</v>
      </c>
    </row>
    <row r="263" customFormat="false" ht="15" hidden="false" customHeight="false" outlineLevel="0" collapsed="false">
      <c r="A263" s="32" t="n">
        <v>46073</v>
      </c>
      <c r="B263" s="33" t="str">
        <f aca="false">IF(A263="","",TEXT(A263,"yyyy-mm"))</f>
        <v>2026-02</v>
      </c>
      <c r="C263" s="34" t="s">
        <v>117</v>
      </c>
      <c r="D263" s="35" t="n">
        <v>339560</v>
      </c>
      <c r="E263" s="34" t="s">
        <v>118</v>
      </c>
      <c r="F263" s="33" t="str">
        <f aca="false">IF(E263="","",IFERROR(INDEX(카테고리!$B$2:$B$200,MATCH(E263,카테고리!$A$2:$A$200,0)),"미분류"))</f>
        <v>고정비</v>
      </c>
      <c r="G263" s="33" t="str">
        <f aca="false">IF(E263="","",IFERROR(INDEX(카테고리!$C$2:$C$200,MATCH(E263,카테고리!$A$2:$A$200,0)),"N"))</f>
        <v>Y</v>
      </c>
      <c r="H263" s="34" t="s">
        <v>81</v>
      </c>
      <c r="I263" s="34" t="s">
        <v>98</v>
      </c>
      <c r="J263" s="34" t="s">
        <v>75</v>
      </c>
      <c r="K263" s="37"/>
      <c r="L263" s="36" t="n">
        <f aca="false">IF(A263="","",YEAR(A263)*100+MONTH(A263))</f>
        <v>202602</v>
      </c>
    </row>
    <row r="264" customFormat="false" ht="15" hidden="false" customHeight="false" outlineLevel="0" collapsed="false">
      <c r="A264" s="32" t="n">
        <v>46073</v>
      </c>
      <c r="B264" s="33" t="str">
        <f aca="false">IF(A264="","",TEXT(A264,"yyyy-mm"))</f>
        <v>2026-02</v>
      </c>
      <c r="C264" s="34" t="s">
        <v>110</v>
      </c>
      <c r="D264" s="35" t="n">
        <v>14140</v>
      </c>
      <c r="E264" s="34" t="s">
        <v>85</v>
      </c>
      <c r="F264" s="33" t="str">
        <f aca="false">IF(E264="","",IFERROR(INDEX(카테고리!$B$2:$B$200,MATCH(E264,카테고리!$A$2:$A$200,0)),"미분류"))</f>
        <v>변동비</v>
      </c>
      <c r="G264" s="33" t="str">
        <f aca="false">IF(E264="","",IFERROR(INDEX(카테고리!$C$2:$C$200,MATCH(E264,카테고리!$A$2:$A$200,0)),"N"))</f>
        <v>Y</v>
      </c>
      <c r="H264" s="34" t="s">
        <v>78</v>
      </c>
      <c r="I264" s="34" t="s">
        <v>107</v>
      </c>
      <c r="J264" s="34" t="s">
        <v>75</v>
      </c>
      <c r="K264" s="37"/>
      <c r="L264" s="36" t="n">
        <f aca="false">IF(A264="","",YEAR(A264)*100+MONTH(A264))</f>
        <v>202602</v>
      </c>
    </row>
    <row r="265" customFormat="false" ht="15" hidden="false" customHeight="false" outlineLevel="0" collapsed="false">
      <c r="A265" s="32" t="n">
        <v>46074</v>
      </c>
      <c r="B265" s="33" t="str">
        <f aca="false">IF(A265="","",TEXT(A265,"yyyy-mm"))</f>
        <v>2026-02</v>
      </c>
      <c r="C265" s="37" t="s">
        <v>119</v>
      </c>
      <c r="D265" s="35" t="n">
        <v>54000</v>
      </c>
      <c r="E265" s="34" t="s">
        <v>120</v>
      </c>
      <c r="F265" s="33" t="str">
        <f aca="false">IF(E265="","",IFERROR(INDEX(카테고리!$B$2:$B$200,MATCH(E265,카테고리!$A$2:$A$200,0)),"미분류"))</f>
        <v>고정비</v>
      </c>
      <c r="G265" s="33" t="str">
        <f aca="false">IF(E265="","",IFERROR(INDEX(카테고리!$C$2:$C$200,MATCH(E265,카테고리!$A$2:$A$200,0)),"N"))</f>
        <v>Y</v>
      </c>
      <c r="H265" s="34" t="s">
        <v>73</v>
      </c>
      <c r="I265" s="34" t="s">
        <v>90</v>
      </c>
      <c r="J265" s="34" t="s">
        <v>75</v>
      </c>
      <c r="K265" s="37"/>
      <c r="L265" s="36" t="n">
        <f aca="false">IF(A265="","",YEAR(A265)*100+MONTH(A265))</f>
        <v>202602</v>
      </c>
    </row>
    <row r="266" customFormat="false" ht="15" hidden="false" customHeight="false" outlineLevel="0" collapsed="false">
      <c r="A266" s="32" t="n">
        <v>46074</v>
      </c>
      <c r="B266" s="33" t="str">
        <f aca="false">IF(A266="","",TEXT(A266,"yyyy-mm"))</f>
        <v>2026-02</v>
      </c>
      <c r="C266" s="37" t="s">
        <v>121</v>
      </c>
      <c r="D266" s="35" t="n">
        <v>68000</v>
      </c>
      <c r="E266" s="34" t="s">
        <v>120</v>
      </c>
      <c r="F266" s="33" t="str">
        <f aca="false">IF(E266="","",IFERROR(INDEX(카테고리!$B$2:$B$200,MATCH(E266,카테고리!$A$2:$A$200,0)),"미분류"))</f>
        <v>고정비</v>
      </c>
      <c r="G266" s="33" t="str">
        <f aca="false">IF(E266="","",IFERROR(INDEX(카테고리!$C$2:$C$200,MATCH(E266,카테고리!$A$2:$A$200,0)),"N"))</f>
        <v>Y</v>
      </c>
      <c r="H266" s="34" t="s">
        <v>78</v>
      </c>
      <c r="I266" s="34" t="s">
        <v>107</v>
      </c>
      <c r="J266" s="34" t="s">
        <v>75</v>
      </c>
      <c r="K266" s="37"/>
      <c r="L266" s="36" t="n">
        <f aca="false">IF(A266="","",YEAR(A266)*100+MONTH(A266))</f>
        <v>202602</v>
      </c>
    </row>
    <row r="267" customFormat="false" ht="15" hidden="false" customHeight="false" outlineLevel="0" collapsed="false">
      <c r="A267" s="32" t="n">
        <v>46074</v>
      </c>
      <c r="B267" s="33" t="str">
        <f aca="false">IF(A267="","",TEXT(A267,"yyyy-mm"))</f>
        <v>2026-02</v>
      </c>
      <c r="C267" s="34" t="s">
        <v>122</v>
      </c>
      <c r="D267" s="35" t="n">
        <v>33000</v>
      </c>
      <c r="E267" s="34" t="s">
        <v>120</v>
      </c>
      <c r="F267" s="33" t="str">
        <f aca="false">IF(E267="","",IFERROR(INDEX(카테고리!$B$2:$B$200,MATCH(E267,카테고리!$A$2:$A$200,0)),"미분류"))</f>
        <v>고정비</v>
      </c>
      <c r="G267" s="33" t="str">
        <f aca="false">IF(E267="","",IFERROR(INDEX(카테고리!$C$2:$C$200,MATCH(E267,카테고리!$A$2:$A$200,0)),"N"))</f>
        <v>Y</v>
      </c>
      <c r="H267" s="34" t="s">
        <v>81</v>
      </c>
      <c r="I267" s="34" t="s">
        <v>98</v>
      </c>
      <c r="J267" s="34" t="s">
        <v>75</v>
      </c>
      <c r="K267" s="37"/>
      <c r="L267" s="36" t="n">
        <f aca="false">IF(A267="","",YEAR(A267)*100+MONTH(A267))</f>
        <v>202602</v>
      </c>
    </row>
    <row r="268" customFormat="false" ht="15" hidden="false" customHeight="false" outlineLevel="0" collapsed="false">
      <c r="A268" s="32" t="n">
        <v>46075</v>
      </c>
      <c r="B268" s="33" t="str">
        <f aca="false">IF(A268="","",TEXT(A268,"yyyy-mm"))</f>
        <v>2026-02</v>
      </c>
      <c r="C268" s="34" t="s">
        <v>110</v>
      </c>
      <c r="D268" s="35" t="n">
        <v>14410</v>
      </c>
      <c r="E268" s="34" t="s">
        <v>85</v>
      </c>
      <c r="F268" s="33" t="str">
        <f aca="false">IF(E268="","",IFERROR(INDEX(카테고리!$B$2:$B$200,MATCH(E268,카테고리!$A$2:$A$200,0)),"미분류"))</f>
        <v>변동비</v>
      </c>
      <c r="G268" s="33" t="str">
        <f aca="false">IF(E268="","",IFERROR(INDEX(카테고리!$C$2:$C$200,MATCH(E268,카테고리!$A$2:$A$200,0)),"N"))</f>
        <v>Y</v>
      </c>
      <c r="H268" s="34" t="s">
        <v>78</v>
      </c>
      <c r="I268" s="34" t="s">
        <v>107</v>
      </c>
      <c r="J268" s="34" t="s">
        <v>75</v>
      </c>
      <c r="K268" s="37"/>
      <c r="L268" s="36" t="n">
        <f aca="false">IF(A268="","",YEAR(A268)*100+MONTH(A268))</f>
        <v>202602</v>
      </c>
    </row>
    <row r="269" customFormat="false" ht="15" hidden="false" customHeight="false" outlineLevel="0" collapsed="false">
      <c r="A269" s="32" t="n">
        <v>46075</v>
      </c>
      <c r="B269" s="33" t="str">
        <f aca="false">IF(A269="","",TEXT(A269,"yyyy-mm"))</f>
        <v>2026-02</v>
      </c>
      <c r="C269" s="34" t="s">
        <v>110</v>
      </c>
      <c r="D269" s="35" t="n">
        <v>22890</v>
      </c>
      <c r="E269" s="34" t="s">
        <v>85</v>
      </c>
      <c r="F269" s="33" t="str">
        <f aca="false">IF(E269="","",IFERROR(INDEX(카테고리!$B$2:$B$200,MATCH(E269,카테고리!$A$2:$A$200,0)),"미분류"))</f>
        <v>변동비</v>
      </c>
      <c r="G269" s="33" t="str">
        <f aca="false">IF(E269="","",IFERROR(INDEX(카테고리!$C$2:$C$200,MATCH(E269,카테고리!$A$2:$A$200,0)),"N"))</f>
        <v>Y</v>
      </c>
      <c r="H269" s="34" t="s">
        <v>78</v>
      </c>
      <c r="I269" s="34" t="s">
        <v>107</v>
      </c>
      <c r="J269" s="34" t="s">
        <v>75</v>
      </c>
      <c r="K269" s="37"/>
      <c r="L269" s="36" t="n">
        <f aca="false">IF(A269="","",YEAR(A269)*100+MONTH(A269))</f>
        <v>202602</v>
      </c>
    </row>
    <row r="270" customFormat="false" ht="15" hidden="false" customHeight="false" outlineLevel="0" collapsed="false">
      <c r="A270" s="32" t="n">
        <v>46077</v>
      </c>
      <c r="B270" s="33" t="str">
        <f aca="false">IF(A270="","",TEXT(A270,"yyyy-mm"))</f>
        <v>2026-02</v>
      </c>
      <c r="C270" s="34" t="s">
        <v>125</v>
      </c>
      <c r="D270" s="35" t="n">
        <v>106470</v>
      </c>
      <c r="E270" s="34" t="s">
        <v>126</v>
      </c>
      <c r="F270" s="33" t="str">
        <f aca="false">IF(E270="","",IFERROR(INDEX(카테고리!$B$2:$B$200,MATCH(E270,카테고리!$A$2:$A$200,0)),"미분류"))</f>
        <v>변동비</v>
      </c>
      <c r="G270" s="33" t="str">
        <f aca="false">IF(E270="","",IFERROR(INDEX(카테고리!$C$2:$C$200,MATCH(E270,카테고리!$A$2:$A$200,0)),"N"))</f>
        <v>N</v>
      </c>
      <c r="H270" s="34" t="s">
        <v>73</v>
      </c>
      <c r="I270" s="34" t="s">
        <v>90</v>
      </c>
      <c r="J270" s="34" t="s">
        <v>75</v>
      </c>
      <c r="K270" s="37"/>
      <c r="L270" s="36" t="n">
        <f aca="false">IF(A270="","",YEAR(A270)*100+MONTH(A270))</f>
        <v>202602</v>
      </c>
    </row>
    <row r="271" customFormat="false" ht="15" hidden="false" customHeight="false" outlineLevel="0" collapsed="false">
      <c r="A271" s="32" t="n">
        <v>46078</v>
      </c>
      <c r="B271" s="33" t="str">
        <f aca="false">IF(A271="","",TEXT(A271,"yyyy-mm"))</f>
        <v>2026-02</v>
      </c>
      <c r="C271" s="37" t="s">
        <v>84</v>
      </c>
      <c r="D271" s="35" t="n">
        <v>76460</v>
      </c>
      <c r="E271" s="34" t="s">
        <v>85</v>
      </c>
      <c r="F271" s="33" t="str">
        <f aca="false">IF(E271="","",IFERROR(INDEX(카테고리!$B$2:$B$200,MATCH(E271,카테고리!$A$2:$A$200,0)),"미분류"))</f>
        <v>변동비</v>
      </c>
      <c r="G271" s="33" t="str">
        <f aca="false">IF(E271="","",IFERROR(INDEX(카테고리!$C$2:$C$200,MATCH(E271,카테고리!$A$2:$A$200,0)),"N"))</f>
        <v>Y</v>
      </c>
      <c r="H271" s="34" t="s">
        <v>81</v>
      </c>
      <c r="I271" s="34" t="s">
        <v>82</v>
      </c>
      <c r="J271" s="34" t="s">
        <v>75</v>
      </c>
      <c r="K271" s="37"/>
      <c r="L271" s="36" t="n">
        <f aca="false">IF(A271="","",YEAR(A271)*100+MONTH(A271))</f>
        <v>202602</v>
      </c>
    </row>
    <row r="272" customFormat="false" ht="15" hidden="false" customHeight="false" outlineLevel="0" collapsed="false">
      <c r="A272" s="32" t="n">
        <v>46078</v>
      </c>
      <c r="B272" s="33" t="str">
        <f aca="false">IF(A272="","",TEXT(A272,"yyyy-mm"))</f>
        <v>2026-02</v>
      </c>
      <c r="C272" s="34" t="s">
        <v>129</v>
      </c>
      <c r="D272" s="35" t="n">
        <v>3620000</v>
      </c>
      <c r="E272" s="34" t="s">
        <v>130</v>
      </c>
      <c r="F272" s="33" t="str">
        <f aca="false">IF(E272="","",IFERROR(INDEX(카테고리!$B$2:$B$200,MATCH(E272,카테고리!$A$2:$A$200,0)),"미분류"))</f>
        <v>소득</v>
      </c>
      <c r="G272" s="33" t="str">
        <f aca="false">IF(E272="","",IFERROR(INDEX(카테고리!$C$2:$C$200,MATCH(E272,카테고리!$A$2:$A$200,0)),"N"))</f>
        <v>N</v>
      </c>
      <c r="H272" s="34" t="s">
        <v>73</v>
      </c>
      <c r="I272" s="34" t="s">
        <v>131</v>
      </c>
      <c r="J272" s="34" t="s">
        <v>75</v>
      </c>
      <c r="K272" s="37"/>
      <c r="L272" s="36" t="n">
        <f aca="false">IF(A272="","",YEAR(A272)*100+MONTH(A272))</f>
        <v>202602</v>
      </c>
    </row>
    <row r="273" customFormat="false" ht="15" hidden="false" customHeight="false" outlineLevel="0" collapsed="false">
      <c r="A273" s="32" t="n">
        <v>46078</v>
      </c>
      <c r="B273" s="33" t="str">
        <f aca="false">IF(A273="","",TEXT(A273,"yyyy-mm"))</f>
        <v>2026-02</v>
      </c>
      <c r="C273" s="34" t="s">
        <v>132</v>
      </c>
      <c r="D273" s="35" t="n">
        <v>4850000</v>
      </c>
      <c r="E273" s="34" t="s">
        <v>130</v>
      </c>
      <c r="F273" s="33" t="str">
        <f aca="false">IF(E273="","",IFERROR(INDEX(카테고리!$B$2:$B$200,MATCH(E273,카테고리!$A$2:$A$200,0)),"미분류"))</f>
        <v>소득</v>
      </c>
      <c r="G273" s="33" t="str">
        <f aca="false">IF(E273="","",IFERROR(INDEX(카테고리!$C$2:$C$200,MATCH(E273,카테고리!$A$2:$A$200,0)),"N"))</f>
        <v>N</v>
      </c>
      <c r="H273" s="34" t="s">
        <v>78</v>
      </c>
      <c r="I273" s="34" t="s">
        <v>131</v>
      </c>
      <c r="J273" s="34" t="s">
        <v>75</v>
      </c>
      <c r="K273" s="37"/>
      <c r="L273" s="36" t="n">
        <f aca="false">IF(A273="","",YEAR(A273)*100+MONTH(A273))</f>
        <v>202602</v>
      </c>
    </row>
    <row r="274" customFormat="false" ht="15" hidden="false" customHeight="false" outlineLevel="0" collapsed="false">
      <c r="A274" s="32" t="n">
        <v>46079</v>
      </c>
      <c r="B274" s="33" t="str">
        <f aca="false">IF(A274="","",TEXT(A274,"yyyy-mm"))</f>
        <v>2026-02</v>
      </c>
      <c r="C274" s="37" t="s">
        <v>133</v>
      </c>
      <c r="D274" s="35" t="n">
        <v>200000</v>
      </c>
      <c r="E274" s="34" t="s">
        <v>134</v>
      </c>
      <c r="F274" s="33" t="str">
        <f aca="false">IF(E274="","",IFERROR(INDEX(카테고리!$B$2:$B$200,MATCH(E274,카테고리!$A$2:$A$200,0)),"미분류"))</f>
        <v>자본이동</v>
      </c>
      <c r="G274" s="33" t="str">
        <f aca="false">IF(E274="","",IFERROR(INDEX(카테고리!$C$2:$C$200,MATCH(E274,카테고리!$A$2:$A$200,0)),"N"))</f>
        <v>N</v>
      </c>
      <c r="H274" s="34" t="s">
        <v>73</v>
      </c>
      <c r="I274" s="34" t="s">
        <v>98</v>
      </c>
      <c r="J274" s="34" t="s">
        <v>75</v>
      </c>
      <c r="K274" s="37"/>
      <c r="L274" s="36" t="n">
        <f aca="false">IF(A274="","",YEAR(A274)*100+MONTH(A274))</f>
        <v>202602</v>
      </c>
    </row>
    <row r="275" customFormat="false" ht="15" hidden="false" customHeight="false" outlineLevel="0" collapsed="false">
      <c r="A275" s="32" t="n">
        <v>46079</v>
      </c>
      <c r="B275" s="33" t="str">
        <f aca="false">IF(A275="","",TEXT(A275,"yyyy-mm"))</f>
        <v>2026-02</v>
      </c>
      <c r="C275" s="34" t="s">
        <v>135</v>
      </c>
      <c r="D275" s="35" t="n">
        <v>650000</v>
      </c>
      <c r="E275" s="34" t="s">
        <v>136</v>
      </c>
      <c r="F275" s="33" t="str">
        <f aca="false">IF(E275="","",IFERROR(INDEX(카테고리!$B$2:$B$200,MATCH(E275,카테고리!$A$2:$A$200,0)),"미분류"))</f>
        <v>자본이동</v>
      </c>
      <c r="G275" s="33" t="str">
        <f aca="false">IF(E275="","",IFERROR(INDEX(카테고리!$C$2:$C$200,MATCH(E275,카테고리!$A$2:$A$200,0)),"N"))</f>
        <v>N</v>
      </c>
      <c r="H275" s="34" t="s">
        <v>73</v>
      </c>
      <c r="I275" s="34" t="s">
        <v>74</v>
      </c>
      <c r="J275" s="34" t="s">
        <v>75</v>
      </c>
      <c r="K275" s="37"/>
      <c r="L275" s="36" t="n">
        <f aca="false">IF(A275="","",YEAR(A275)*100+MONTH(A275))</f>
        <v>202602</v>
      </c>
    </row>
    <row r="276" customFormat="false" ht="15" hidden="false" customHeight="false" outlineLevel="0" collapsed="false">
      <c r="A276" s="32" t="n">
        <v>46079</v>
      </c>
      <c r="B276" s="33" t="str">
        <f aca="false">IF(A276="","",TEXT(A276,"yyyy-mm"))</f>
        <v>2026-02</v>
      </c>
      <c r="C276" s="34" t="s">
        <v>137</v>
      </c>
      <c r="D276" s="35" t="n">
        <v>300000</v>
      </c>
      <c r="E276" s="34" t="s">
        <v>134</v>
      </c>
      <c r="F276" s="33" t="str">
        <f aca="false">IF(E276="","",IFERROR(INDEX(카테고리!$B$2:$B$200,MATCH(E276,카테고리!$A$2:$A$200,0)),"미분류"))</f>
        <v>자본이동</v>
      </c>
      <c r="G276" s="33" t="str">
        <f aca="false">IF(E276="","",IFERROR(INDEX(카테고리!$C$2:$C$200,MATCH(E276,카테고리!$A$2:$A$200,0)),"N"))</f>
        <v>N</v>
      </c>
      <c r="H276" s="34" t="s">
        <v>78</v>
      </c>
      <c r="I276" s="34" t="s">
        <v>98</v>
      </c>
      <c r="J276" s="34" t="s">
        <v>75</v>
      </c>
      <c r="K276" s="37"/>
      <c r="L276" s="36" t="n">
        <f aca="false">IF(A276="","",YEAR(A276)*100+MONTH(A276))</f>
        <v>202602</v>
      </c>
    </row>
    <row r="277" customFormat="false" ht="15" hidden="false" customHeight="false" outlineLevel="0" collapsed="false">
      <c r="A277" s="32" t="n">
        <v>46079</v>
      </c>
      <c r="B277" s="33" t="str">
        <f aca="false">IF(A277="","",TEXT(A277,"yyyy-mm"))</f>
        <v>2026-02</v>
      </c>
      <c r="C277" s="34" t="s">
        <v>138</v>
      </c>
      <c r="D277" s="35" t="n">
        <v>300000</v>
      </c>
      <c r="E277" s="34" t="s">
        <v>139</v>
      </c>
      <c r="F277" s="33" t="str">
        <f aca="false">IF(E277="","",IFERROR(INDEX(카테고리!$B$2:$B$200,MATCH(E277,카테고리!$A$2:$A$200,0)),"미분류"))</f>
        <v>자본이동</v>
      </c>
      <c r="G277" s="33" t="str">
        <f aca="false">IF(E277="","",IFERROR(INDEX(카테고리!$C$2:$C$200,MATCH(E277,카테고리!$A$2:$A$200,0)),"N"))</f>
        <v>N</v>
      </c>
      <c r="H277" s="34" t="s">
        <v>81</v>
      </c>
      <c r="I277" s="34" t="s">
        <v>98</v>
      </c>
      <c r="J277" s="34" t="s">
        <v>75</v>
      </c>
      <c r="K277" s="37"/>
      <c r="L277" s="36" t="n">
        <f aca="false">IF(A277="","",YEAR(A277)*100+MONTH(A277))</f>
        <v>202602</v>
      </c>
    </row>
    <row r="278" customFormat="false" ht="15" hidden="false" customHeight="false" outlineLevel="0" collapsed="false">
      <c r="A278" s="32" t="n">
        <v>46079</v>
      </c>
      <c r="B278" s="33" t="str">
        <f aca="false">IF(A278="","",TEXT(A278,"yyyy-mm"))</f>
        <v>2026-02</v>
      </c>
      <c r="C278" s="34" t="s">
        <v>140</v>
      </c>
      <c r="D278" s="35" t="n">
        <v>100000</v>
      </c>
      <c r="E278" s="34" t="s">
        <v>139</v>
      </c>
      <c r="F278" s="33" t="str">
        <f aca="false">IF(E278="","",IFERROR(INDEX(카테고리!$B$2:$B$200,MATCH(E278,카테고리!$A$2:$A$200,0)),"미분류"))</f>
        <v>자본이동</v>
      </c>
      <c r="G278" s="33" t="str">
        <f aca="false">IF(E278="","",IFERROR(INDEX(카테고리!$C$2:$C$200,MATCH(E278,카테고리!$A$2:$A$200,0)),"N"))</f>
        <v>N</v>
      </c>
      <c r="H278" s="34" t="s">
        <v>78</v>
      </c>
      <c r="I278" s="34" t="s">
        <v>98</v>
      </c>
      <c r="J278" s="34" t="s">
        <v>75</v>
      </c>
      <c r="K278" s="37"/>
      <c r="L278" s="36" t="n">
        <f aca="false">IF(A278="","",YEAR(A278)*100+MONTH(A278))</f>
        <v>202602</v>
      </c>
    </row>
    <row r="279" customFormat="false" ht="15" hidden="false" customHeight="false" outlineLevel="0" collapsed="false">
      <c r="A279" s="32" t="n">
        <v>46079</v>
      </c>
      <c r="B279" s="33" t="str">
        <f aca="false">IF(A279="","",TEXT(A279,"yyyy-mm"))</f>
        <v>2026-02</v>
      </c>
      <c r="C279" s="34" t="s">
        <v>148</v>
      </c>
      <c r="D279" s="35" t="n">
        <v>108960</v>
      </c>
      <c r="E279" s="34" t="s">
        <v>92</v>
      </c>
      <c r="F279" s="33" t="str">
        <f aca="false">IF(E279="","",IFERROR(INDEX(카테고리!$B$2:$B$200,MATCH(E279,카테고리!$A$2:$A$200,0)),"미분류"))</f>
        <v>변동비</v>
      </c>
      <c r="G279" s="33" t="str">
        <f aca="false">IF(E279="","",IFERROR(INDEX(카테고리!$C$2:$C$200,MATCH(E279,카테고리!$A$2:$A$200,0)),"N"))</f>
        <v>Y</v>
      </c>
      <c r="H279" s="34" t="s">
        <v>73</v>
      </c>
      <c r="I279" s="34" t="s">
        <v>82</v>
      </c>
      <c r="J279" s="34" t="s">
        <v>75</v>
      </c>
      <c r="K279" s="37"/>
      <c r="L279" s="36" t="n">
        <f aca="false">IF(A279="","",YEAR(A279)*100+MONTH(A279))</f>
        <v>202602</v>
      </c>
    </row>
    <row r="280" customFormat="false" ht="15" hidden="false" customHeight="false" outlineLevel="0" collapsed="false">
      <c r="A280" s="32" t="n">
        <v>46079</v>
      </c>
      <c r="B280" s="33" t="str">
        <f aca="false">IF(A280="","",TEXT(A280,"yyyy-mm"))</f>
        <v>2026-02</v>
      </c>
      <c r="C280" s="34" t="s">
        <v>141</v>
      </c>
      <c r="D280" s="35" t="n">
        <v>850000</v>
      </c>
      <c r="E280" s="34" t="s">
        <v>136</v>
      </c>
      <c r="F280" s="33" t="str">
        <f aca="false">IF(E280="","",IFERROR(INDEX(카테고리!$B$2:$B$200,MATCH(E280,카테고리!$A$2:$A$200,0)),"미분류"))</f>
        <v>자본이동</v>
      </c>
      <c r="G280" s="33" t="str">
        <f aca="false">IF(E280="","",IFERROR(INDEX(카테고리!$C$2:$C$200,MATCH(E280,카테고리!$A$2:$A$200,0)),"N"))</f>
        <v>N</v>
      </c>
      <c r="H280" s="34" t="s">
        <v>78</v>
      </c>
      <c r="I280" s="34" t="s">
        <v>74</v>
      </c>
      <c r="J280" s="34" t="s">
        <v>75</v>
      </c>
      <c r="K280" s="37"/>
      <c r="L280" s="36" t="n">
        <f aca="false">IF(A280="","",YEAR(A280)*100+MONTH(A280))</f>
        <v>202602</v>
      </c>
    </row>
    <row r="281" customFormat="false" ht="15" hidden="false" customHeight="false" outlineLevel="0" collapsed="false">
      <c r="A281" s="32" t="n">
        <v>46079</v>
      </c>
      <c r="B281" s="33" t="str">
        <f aca="false">IF(A281="","",TEXT(A281,"yyyy-mm"))</f>
        <v>2026-02</v>
      </c>
      <c r="C281" s="34" t="s">
        <v>142</v>
      </c>
      <c r="D281" s="35" t="n">
        <v>200000</v>
      </c>
      <c r="E281" s="34" t="s">
        <v>136</v>
      </c>
      <c r="F281" s="33" t="str">
        <f aca="false">IF(E281="","",IFERROR(INDEX(카테고리!$B$2:$B$200,MATCH(E281,카테고리!$A$2:$A$200,0)),"미분류"))</f>
        <v>자본이동</v>
      </c>
      <c r="G281" s="33" t="str">
        <f aca="false">IF(E281="","",IFERROR(INDEX(카테고리!$C$2:$C$200,MATCH(E281,카테고리!$A$2:$A$200,0)),"N"))</f>
        <v>N</v>
      </c>
      <c r="H281" s="34" t="s">
        <v>81</v>
      </c>
      <c r="I281" s="34" t="s">
        <v>74</v>
      </c>
      <c r="J281" s="34" t="s">
        <v>75</v>
      </c>
      <c r="K281" s="37"/>
      <c r="L281" s="36" t="n">
        <f aca="false">IF(A281="","",YEAR(A281)*100+MONTH(A281))</f>
        <v>202602</v>
      </c>
    </row>
    <row r="282" customFormat="false" ht="15" hidden="false" customHeight="false" outlineLevel="0" collapsed="false">
      <c r="A282" s="32" t="n">
        <v>46080</v>
      </c>
      <c r="B282" s="33" t="str">
        <f aca="false">IF(A282="","",TEXT(A282,"yyyy-mm"))</f>
        <v>2026-02</v>
      </c>
      <c r="C282" s="34" t="s">
        <v>148</v>
      </c>
      <c r="D282" s="35" t="n">
        <v>84830</v>
      </c>
      <c r="E282" s="34" t="s">
        <v>92</v>
      </c>
      <c r="F282" s="33" t="str">
        <f aca="false">IF(E282="","",IFERROR(INDEX(카테고리!$B$2:$B$200,MATCH(E282,카테고리!$A$2:$A$200,0)),"미분류"))</f>
        <v>변동비</v>
      </c>
      <c r="G282" s="33" t="str">
        <f aca="false">IF(E282="","",IFERROR(INDEX(카테고리!$C$2:$C$200,MATCH(E282,카테고리!$A$2:$A$200,0)),"N"))</f>
        <v>Y</v>
      </c>
      <c r="H282" s="34" t="s">
        <v>81</v>
      </c>
      <c r="I282" s="34" t="s">
        <v>82</v>
      </c>
      <c r="J282" s="34" t="s">
        <v>75</v>
      </c>
      <c r="K282" s="37"/>
      <c r="L282" s="36" t="n">
        <f aca="false">IF(A282="","",YEAR(A282)*100+MONTH(A282))</f>
        <v>202602</v>
      </c>
    </row>
    <row r="283" customFormat="false" ht="15" hidden="false" customHeight="false" outlineLevel="0" collapsed="false">
      <c r="A283" s="32" t="n">
        <v>46081</v>
      </c>
      <c r="B283" s="33" t="str">
        <f aca="false">IF(A283="","",TEXT(A283,"yyyy-mm"))</f>
        <v>2026-02</v>
      </c>
      <c r="C283" s="34" t="s">
        <v>143</v>
      </c>
      <c r="D283" s="35" t="n">
        <v>20000</v>
      </c>
      <c r="E283" s="34" t="s">
        <v>144</v>
      </c>
      <c r="F283" s="33" t="str">
        <f aca="false">IF(E283="","",IFERROR(INDEX(카테고리!$B$2:$B$200,MATCH(E283,카테고리!$A$2:$A$200,0)),"미분류"))</f>
        <v>소득</v>
      </c>
      <c r="G283" s="33" t="str">
        <f aca="false">IF(E283="","",IFERROR(INDEX(카테고리!$C$2:$C$200,MATCH(E283,카테고리!$A$2:$A$200,0)),"N"))</f>
        <v>N</v>
      </c>
      <c r="H283" s="34" t="s">
        <v>81</v>
      </c>
      <c r="I283" s="34" t="s">
        <v>131</v>
      </c>
      <c r="J283" s="34" t="s">
        <v>75</v>
      </c>
      <c r="K283" s="37"/>
      <c r="L283" s="36" t="n">
        <f aca="false">IF(A283="","",YEAR(A283)*100+MONTH(A283))</f>
        <v>202602</v>
      </c>
    </row>
    <row r="284" customFormat="false" ht="15" hidden="false" customHeight="false" outlineLevel="0" collapsed="false">
      <c r="A284" s="32" t="n">
        <v>46081</v>
      </c>
      <c r="B284" s="33" t="str">
        <f aca="false">IF(A284="","",TEXT(A284,"yyyy-mm"))</f>
        <v>2026-02</v>
      </c>
      <c r="C284" s="34" t="s">
        <v>103</v>
      </c>
      <c r="D284" s="35" t="n">
        <v>76300</v>
      </c>
      <c r="E284" s="34" t="s">
        <v>92</v>
      </c>
      <c r="F284" s="33" t="str">
        <f aca="false">IF(E284="","",IFERROR(INDEX(카테고리!$B$2:$B$200,MATCH(E284,카테고리!$A$2:$A$200,0)),"미분류"))</f>
        <v>변동비</v>
      </c>
      <c r="G284" s="33" t="str">
        <f aca="false">IF(E284="","",IFERROR(INDEX(카테고리!$C$2:$C$200,MATCH(E284,카테고리!$A$2:$A$200,0)),"N"))</f>
        <v>Y</v>
      </c>
      <c r="H284" s="34" t="s">
        <v>81</v>
      </c>
      <c r="I284" s="34" t="s">
        <v>82</v>
      </c>
      <c r="J284" s="34" t="s">
        <v>75</v>
      </c>
      <c r="K284" s="37"/>
      <c r="L284" s="36" t="n">
        <f aca="false">IF(A284="","",YEAR(A284)*100+MONTH(A284))</f>
        <v>202602</v>
      </c>
    </row>
    <row r="285" customFormat="false" ht="15" hidden="false" customHeight="false" outlineLevel="0" collapsed="false">
      <c r="A285" s="32" t="n">
        <v>46082</v>
      </c>
      <c r="B285" s="33" t="str">
        <f aca="false">IF(A285="","",TEXT(A285,"yyyy-mm"))</f>
        <v>2026-03</v>
      </c>
      <c r="C285" s="34" t="s">
        <v>71</v>
      </c>
      <c r="D285" s="35" t="n">
        <v>300000</v>
      </c>
      <c r="E285" s="34" t="s">
        <v>72</v>
      </c>
      <c r="F285" s="33" t="str">
        <f aca="false">IF(E285="","",IFERROR(INDEX(카테고리!$B$2:$B$200,MATCH(E285,카테고리!$A$2:$A$200,0)),"미분류"))</f>
        <v>변동비</v>
      </c>
      <c r="G285" s="33" t="str">
        <f aca="false">IF(E285="","",IFERROR(INDEX(카테고리!$C$2:$C$200,MATCH(E285,카테고리!$A$2:$A$200,0)),"N"))</f>
        <v>N</v>
      </c>
      <c r="H285" s="34" t="s">
        <v>73</v>
      </c>
      <c r="I285" s="34" t="s">
        <v>74</v>
      </c>
      <c r="J285" s="34" t="s">
        <v>75</v>
      </c>
      <c r="K285" s="37"/>
      <c r="L285" s="36" t="n">
        <f aca="false">IF(A285="","",YEAR(A285)*100+MONTH(A285))</f>
        <v>202603</v>
      </c>
    </row>
    <row r="286" customFormat="false" ht="15" hidden="false" customHeight="false" outlineLevel="0" collapsed="false">
      <c r="A286" s="32" t="n">
        <v>46082</v>
      </c>
      <c r="B286" s="33" t="str">
        <f aca="false">IF(A286="","",TEXT(A286,"yyyy-mm"))</f>
        <v>2026-03</v>
      </c>
      <c r="C286" s="34" t="s">
        <v>77</v>
      </c>
      <c r="D286" s="35" t="n">
        <v>300000</v>
      </c>
      <c r="E286" s="34" t="s">
        <v>72</v>
      </c>
      <c r="F286" s="33" t="str">
        <f aca="false">IF(E286="","",IFERROR(INDEX(카테고리!$B$2:$B$200,MATCH(E286,카테고리!$A$2:$A$200,0)),"미분류"))</f>
        <v>변동비</v>
      </c>
      <c r="G286" s="33" t="str">
        <f aca="false">IF(E286="","",IFERROR(INDEX(카테고리!$C$2:$C$200,MATCH(E286,카테고리!$A$2:$A$200,0)),"N"))</f>
        <v>N</v>
      </c>
      <c r="H286" s="34" t="s">
        <v>78</v>
      </c>
      <c r="I286" s="34" t="s">
        <v>74</v>
      </c>
      <c r="J286" s="34" t="s">
        <v>75</v>
      </c>
      <c r="K286" s="37"/>
      <c r="L286" s="36" t="n">
        <f aca="false">IF(A286="","",YEAR(A286)*100+MONTH(A286))</f>
        <v>202603</v>
      </c>
    </row>
    <row r="287" customFormat="false" ht="15" hidden="false" customHeight="false" outlineLevel="0" collapsed="false">
      <c r="A287" s="32" t="n">
        <v>46082</v>
      </c>
      <c r="B287" s="33" t="str">
        <f aca="false">IF(A287="","",TEXT(A287,"yyyy-mm"))</f>
        <v>2026-03</v>
      </c>
      <c r="C287" s="34" t="s">
        <v>79</v>
      </c>
      <c r="D287" s="35" t="n">
        <v>140000</v>
      </c>
      <c r="E287" s="34" t="s">
        <v>80</v>
      </c>
      <c r="F287" s="33" t="str">
        <f aca="false">IF(E287="","",IFERROR(INDEX(카테고리!$B$2:$B$200,MATCH(E287,카테고리!$A$2:$A$200,0)),"미분류"))</f>
        <v>고정비</v>
      </c>
      <c r="G287" s="33" t="str">
        <f aca="false">IF(E287="","",IFERROR(INDEX(카테고리!$C$2:$C$200,MATCH(E287,카테고리!$A$2:$A$200,0)),"N"))</f>
        <v>Y</v>
      </c>
      <c r="H287" s="34" t="s">
        <v>81</v>
      </c>
      <c r="I287" s="34" t="s">
        <v>82</v>
      </c>
      <c r="J287" s="34" t="s">
        <v>75</v>
      </c>
      <c r="K287" s="37"/>
      <c r="L287" s="36" t="n">
        <f aca="false">IF(A287="","",YEAR(A287)*100+MONTH(A287))</f>
        <v>202603</v>
      </c>
    </row>
    <row r="288" customFormat="false" ht="15" hidden="false" customHeight="false" outlineLevel="0" collapsed="false">
      <c r="A288" s="32" t="n">
        <v>46082</v>
      </c>
      <c r="B288" s="33" t="str">
        <f aca="false">IF(A288="","",TEXT(A288,"yyyy-mm"))</f>
        <v>2026-03</v>
      </c>
      <c r="C288" s="34" t="s">
        <v>83</v>
      </c>
      <c r="D288" s="35" t="n">
        <v>380000</v>
      </c>
      <c r="E288" s="34" t="s">
        <v>80</v>
      </c>
      <c r="F288" s="33" t="str">
        <f aca="false">IF(E288="","",IFERROR(INDEX(카테고리!$B$2:$B$200,MATCH(E288,카테고리!$A$2:$A$200,0)),"미분류"))</f>
        <v>고정비</v>
      </c>
      <c r="G288" s="33" t="str">
        <f aca="false">IF(E288="","",IFERROR(INDEX(카테고리!$C$2:$C$200,MATCH(E288,카테고리!$A$2:$A$200,0)),"N"))</f>
        <v>Y</v>
      </c>
      <c r="H288" s="34" t="s">
        <v>81</v>
      </c>
      <c r="I288" s="34" t="s">
        <v>82</v>
      </c>
      <c r="J288" s="34" t="s">
        <v>75</v>
      </c>
      <c r="K288" s="37"/>
      <c r="L288" s="36" t="n">
        <f aca="false">IF(A288="","",YEAR(A288)*100+MONTH(A288))</f>
        <v>202603</v>
      </c>
    </row>
    <row r="289" customFormat="false" ht="15" hidden="false" customHeight="false" outlineLevel="0" collapsed="false">
      <c r="A289" s="32" t="n">
        <v>46084</v>
      </c>
      <c r="B289" s="33" t="str">
        <f aca="false">IF(A289="","",TEXT(A289,"yyyy-mm"))</f>
        <v>2026-03</v>
      </c>
      <c r="C289" s="34" t="s">
        <v>94</v>
      </c>
      <c r="D289" s="35" t="n">
        <v>50000</v>
      </c>
      <c r="E289" s="34" t="s">
        <v>85</v>
      </c>
      <c r="F289" s="33" t="str">
        <f aca="false">IF(E289="","",IFERROR(INDEX(카테고리!$B$2:$B$200,MATCH(E289,카테고리!$A$2:$A$200,0)),"미분류"))</f>
        <v>변동비</v>
      </c>
      <c r="G289" s="33" t="str">
        <f aca="false">IF(E289="","",IFERROR(INDEX(카테고리!$C$2:$C$200,MATCH(E289,카테고리!$A$2:$A$200,0)),"N"))</f>
        <v>Y</v>
      </c>
      <c r="H289" s="34" t="s">
        <v>73</v>
      </c>
      <c r="I289" s="34" t="s">
        <v>90</v>
      </c>
      <c r="J289" s="34" t="s">
        <v>75</v>
      </c>
      <c r="K289" s="37"/>
      <c r="L289" s="36" t="n">
        <f aca="false">IF(A289="","",YEAR(A289)*100+MONTH(A289))</f>
        <v>202603</v>
      </c>
    </row>
    <row r="290" customFormat="false" ht="15" hidden="false" customHeight="false" outlineLevel="0" collapsed="false">
      <c r="A290" s="32" t="n">
        <v>46086</v>
      </c>
      <c r="B290" s="33" t="str">
        <f aca="false">IF(A290="","",TEXT(A290,"yyyy-mm"))</f>
        <v>2026-03</v>
      </c>
      <c r="C290" s="37" t="s">
        <v>149</v>
      </c>
      <c r="D290" s="35" t="n">
        <v>55310</v>
      </c>
      <c r="E290" s="34" t="s">
        <v>124</v>
      </c>
      <c r="F290" s="33" t="str">
        <f aca="false">IF(E290="","",IFERROR(INDEX(카테고리!$B$2:$B$200,MATCH(E290,카테고리!$A$2:$A$200,0)),"미분류"))</f>
        <v>변동비</v>
      </c>
      <c r="G290" s="33" t="str">
        <f aca="false">IF(E290="","",IFERROR(INDEX(카테고리!$C$2:$C$200,MATCH(E290,카테고리!$A$2:$A$200,0)),"N"))</f>
        <v>N</v>
      </c>
      <c r="H290" s="34" t="s">
        <v>73</v>
      </c>
      <c r="I290" s="34" t="s">
        <v>107</v>
      </c>
      <c r="J290" s="34" t="s">
        <v>75</v>
      </c>
      <c r="K290" s="37"/>
      <c r="L290" s="36" t="n">
        <f aca="false">IF(A290="","",YEAR(A290)*100+MONTH(A290))</f>
        <v>202603</v>
      </c>
    </row>
    <row r="291" customFormat="false" ht="15" hidden="false" customHeight="false" outlineLevel="0" collapsed="false">
      <c r="A291" s="32" t="n">
        <v>46086</v>
      </c>
      <c r="B291" s="33" t="str">
        <f aca="false">IF(A291="","",TEXT(A291,"yyyy-mm"))</f>
        <v>2026-03</v>
      </c>
      <c r="C291" s="34" t="s">
        <v>96</v>
      </c>
      <c r="D291" s="35" t="n">
        <v>300000</v>
      </c>
      <c r="E291" s="34" t="s">
        <v>97</v>
      </c>
      <c r="F291" s="33" t="str">
        <f aca="false">IF(E291="","",IFERROR(INDEX(카테고리!$B$2:$B$200,MATCH(E291,카테고리!$A$2:$A$200,0)),"미분류"))</f>
        <v>자본이동</v>
      </c>
      <c r="G291" s="33" t="str">
        <f aca="false">IF(E291="","",IFERROR(INDEX(카테고리!$C$2:$C$200,MATCH(E291,카테고리!$A$2:$A$200,0)),"N"))</f>
        <v>N</v>
      </c>
      <c r="H291" s="34" t="s">
        <v>78</v>
      </c>
      <c r="I291" s="34" t="s">
        <v>98</v>
      </c>
      <c r="J291" s="34" t="s">
        <v>75</v>
      </c>
      <c r="K291" s="37"/>
      <c r="L291" s="36" t="n">
        <f aca="false">IF(A291="","",YEAR(A291)*100+MONTH(A291))</f>
        <v>202603</v>
      </c>
    </row>
    <row r="292" customFormat="false" ht="15" hidden="false" customHeight="false" outlineLevel="0" collapsed="false">
      <c r="A292" s="32" t="n">
        <v>46086</v>
      </c>
      <c r="B292" s="33" t="str">
        <f aca="false">IF(A292="","",TEXT(A292,"yyyy-mm"))</f>
        <v>2026-03</v>
      </c>
      <c r="C292" s="34" t="s">
        <v>99</v>
      </c>
      <c r="D292" s="35" t="n">
        <v>75500</v>
      </c>
      <c r="E292" s="34" t="s">
        <v>100</v>
      </c>
      <c r="F292" s="33" t="str">
        <f aca="false">IF(E292="","",IFERROR(INDEX(카테고리!$B$2:$B$200,MATCH(E292,카테고리!$A$2:$A$200,0)),"미분류"))</f>
        <v>고정비</v>
      </c>
      <c r="G292" s="33" t="str">
        <f aca="false">IF(E292="","",IFERROR(INDEX(카테고리!$C$2:$C$200,MATCH(E292,카테고리!$A$2:$A$200,0)),"N"))</f>
        <v>Y</v>
      </c>
      <c r="H292" s="34" t="s">
        <v>78</v>
      </c>
      <c r="I292" s="34" t="s">
        <v>98</v>
      </c>
      <c r="J292" s="34" t="s">
        <v>75</v>
      </c>
      <c r="K292" s="37"/>
      <c r="L292" s="36" t="n">
        <f aca="false">IF(A292="","",YEAR(A292)*100+MONTH(A292))</f>
        <v>202603</v>
      </c>
    </row>
    <row r="293" customFormat="false" ht="15" hidden="false" customHeight="false" outlineLevel="0" collapsed="false">
      <c r="A293" s="32" t="n">
        <v>46086</v>
      </c>
      <c r="B293" s="33" t="str">
        <f aca="false">IF(A293="","",TEXT(A293,"yyyy-mm"))</f>
        <v>2026-03</v>
      </c>
      <c r="C293" s="34" t="s">
        <v>101</v>
      </c>
      <c r="D293" s="35" t="n">
        <v>600000</v>
      </c>
      <c r="E293" s="34" t="s">
        <v>97</v>
      </c>
      <c r="F293" s="33" t="str">
        <f aca="false">IF(E293="","",IFERROR(INDEX(카테고리!$B$2:$B$200,MATCH(E293,카테고리!$A$2:$A$200,0)),"미분류"))</f>
        <v>자본이동</v>
      </c>
      <c r="G293" s="33" t="str">
        <f aca="false">IF(E293="","",IFERROR(INDEX(카테고리!$C$2:$C$200,MATCH(E293,카테고리!$A$2:$A$200,0)),"N"))</f>
        <v>N</v>
      </c>
      <c r="H293" s="34" t="s">
        <v>81</v>
      </c>
      <c r="I293" s="34" t="s">
        <v>98</v>
      </c>
      <c r="J293" s="34" t="s">
        <v>75</v>
      </c>
      <c r="K293" s="37"/>
      <c r="L293" s="36" t="n">
        <f aca="false">IF(A293="","",YEAR(A293)*100+MONTH(A293))</f>
        <v>202603</v>
      </c>
    </row>
    <row r="294" customFormat="false" ht="15" hidden="false" customHeight="false" outlineLevel="0" collapsed="false">
      <c r="A294" s="32" t="n">
        <v>46086</v>
      </c>
      <c r="B294" s="33" t="str">
        <f aca="false">IF(A294="","",TEXT(A294,"yyyy-mm"))</f>
        <v>2026-03</v>
      </c>
      <c r="C294" s="34" t="s">
        <v>102</v>
      </c>
      <c r="D294" s="35" t="n">
        <v>995000</v>
      </c>
      <c r="E294" s="34" t="s">
        <v>100</v>
      </c>
      <c r="F294" s="33" t="str">
        <f aca="false">IF(E294="","",IFERROR(INDEX(카테고리!$B$2:$B$200,MATCH(E294,카테고리!$A$2:$A$200,0)),"미분류"))</f>
        <v>고정비</v>
      </c>
      <c r="G294" s="33" t="str">
        <f aca="false">IF(E294="","",IFERROR(INDEX(카테고리!$C$2:$C$200,MATCH(E294,카테고리!$A$2:$A$200,0)),"N"))</f>
        <v>Y</v>
      </c>
      <c r="H294" s="34" t="s">
        <v>81</v>
      </c>
      <c r="I294" s="34" t="s">
        <v>98</v>
      </c>
      <c r="J294" s="34" t="s">
        <v>75</v>
      </c>
      <c r="K294" s="37"/>
      <c r="L294" s="36" t="n">
        <f aca="false">IF(A294="","",YEAR(A294)*100+MONTH(A294))</f>
        <v>202603</v>
      </c>
    </row>
    <row r="295" customFormat="false" ht="15" hidden="false" customHeight="false" outlineLevel="0" collapsed="false">
      <c r="A295" s="32" t="n">
        <v>46086</v>
      </c>
      <c r="B295" s="33" t="str">
        <f aca="false">IF(A295="","",TEXT(A295,"yyyy-mm"))</f>
        <v>2026-03</v>
      </c>
      <c r="C295" s="34" t="s">
        <v>109</v>
      </c>
      <c r="D295" s="35" t="n">
        <v>68750</v>
      </c>
      <c r="E295" s="34" t="s">
        <v>87</v>
      </c>
      <c r="F295" s="33" t="str">
        <f aca="false">IF(E295="","",IFERROR(INDEX(카테고리!$B$2:$B$200,MATCH(E295,카테고리!$A$2:$A$200,0)),"미분류"))</f>
        <v>변동비</v>
      </c>
      <c r="G295" s="33" t="str">
        <f aca="false">IF(E295="","",IFERROR(INDEX(카테고리!$C$2:$C$200,MATCH(E295,카테고리!$A$2:$A$200,0)),"N"))</f>
        <v>Y</v>
      </c>
      <c r="H295" s="34" t="s">
        <v>81</v>
      </c>
      <c r="I295" s="34" t="s">
        <v>82</v>
      </c>
      <c r="J295" s="34" t="s">
        <v>75</v>
      </c>
      <c r="K295" s="37"/>
      <c r="L295" s="36" t="n">
        <f aca="false">IF(A295="","",YEAR(A295)*100+MONTH(A295))</f>
        <v>202603</v>
      </c>
    </row>
    <row r="296" customFormat="false" ht="15" hidden="false" customHeight="false" outlineLevel="0" collapsed="false">
      <c r="A296" s="32" t="n">
        <v>46088</v>
      </c>
      <c r="B296" s="33" t="str">
        <f aca="false">IF(A296="","",TEXT(A296,"yyyy-mm"))</f>
        <v>2026-03</v>
      </c>
      <c r="C296" s="34" t="s">
        <v>104</v>
      </c>
      <c r="D296" s="35" t="n">
        <v>17000</v>
      </c>
      <c r="E296" s="34" t="s">
        <v>105</v>
      </c>
      <c r="F296" s="33" t="str">
        <f aca="false">IF(E296="","",IFERROR(INDEX(카테고리!$B$2:$B$200,MATCH(E296,카테고리!$A$2:$A$200,0)),"미분류"))</f>
        <v>고정비</v>
      </c>
      <c r="G296" s="33" t="str">
        <f aca="false">IF(E296="","",IFERROR(INDEX(카테고리!$C$2:$C$200,MATCH(E296,카테고리!$A$2:$A$200,0)),"N"))</f>
        <v>N</v>
      </c>
      <c r="H296" s="34" t="s">
        <v>81</v>
      </c>
      <c r="I296" s="34" t="s">
        <v>82</v>
      </c>
      <c r="J296" s="34" t="s">
        <v>75</v>
      </c>
      <c r="K296" s="37"/>
      <c r="L296" s="36" t="n">
        <f aca="false">IF(A296="","",YEAR(A296)*100+MONTH(A296))</f>
        <v>202603</v>
      </c>
    </row>
    <row r="297" customFormat="false" ht="15" hidden="false" customHeight="false" outlineLevel="0" collapsed="false">
      <c r="A297" s="32" t="n">
        <v>46088</v>
      </c>
      <c r="B297" s="33" t="str">
        <f aca="false">IF(A297="","",TEXT(A297,"yyyy-mm"))</f>
        <v>2026-03</v>
      </c>
      <c r="C297" s="34" t="s">
        <v>106</v>
      </c>
      <c r="D297" s="35" t="n">
        <v>14900</v>
      </c>
      <c r="E297" s="34" t="s">
        <v>105</v>
      </c>
      <c r="F297" s="33" t="str">
        <f aca="false">IF(E297="","",IFERROR(INDEX(카테고리!$B$2:$B$200,MATCH(E297,카테고리!$A$2:$A$200,0)),"미분류"))</f>
        <v>고정비</v>
      </c>
      <c r="G297" s="33" t="str">
        <f aca="false">IF(E297="","",IFERROR(INDEX(카테고리!$C$2:$C$200,MATCH(E297,카테고리!$A$2:$A$200,0)),"N"))</f>
        <v>N</v>
      </c>
      <c r="H297" s="34" t="s">
        <v>78</v>
      </c>
      <c r="I297" s="34" t="s">
        <v>107</v>
      </c>
      <c r="J297" s="34" t="s">
        <v>75</v>
      </c>
      <c r="K297" s="37"/>
      <c r="L297" s="36" t="n">
        <f aca="false">IF(A297="","",YEAR(A297)*100+MONTH(A297))</f>
        <v>202603</v>
      </c>
    </row>
    <row r="298" customFormat="false" ht="15" hidden="false" customHeight="false" outlineLevel="0" collapsed="false">
      <c r="A298" s="32" t="n">
        <v>46088</v>
      </c>
      <c r="B298" s="33" t="str">
        <f aca="false">IF(A298="","",TEXT(A298,"yyyy-mm"))</f>
        <v>2026-03</v>
      </c>
      <c r="C298" s="34" t="s">
        <v>148</v>
      </c>
      <c r="D298" s="35" t="n">
        <v>111350</v>
      </c>
      <c r="E298" s="34" t="s">
        <v>92</v>
      </c>
      <c r="F298" s="33" t="str">
        <f aca="false">IF(E298="","",IFERROR(INDEX(카테고리!$B$2:$B$200,MATCH(E298,카테고리!$A$2:$A$200,0)),"미분류"))</f>
        <v>변동비</v>
      </c>
      <c r="G298" s="33" t="str">
        <f aca="false">IF(E298="","",IFERROR(INDEX(카테고리!$C$2:$C$200,MATCH(E298,카테고리!$A$2:$A$200,0)),"N"))</f>
        <v>Y</v>
      </c>
      <c r="H298" s="34" t="s">
        <v>73</v>
      </c>
      <c r="I298" s="34" t="s">
        <v>82</v>
      </c>
      <c r="J298" s="34" t="s">
        <v>75</v>
      </c>
      <c r="K298" s="37"/>
      <c r="L298" s="36" t="n">
        <f aca="false">IF(A298="","",YEAR(A298)*100+MONTH(A298))</f>
        <v>202603</v>
      </c>
    </row>
    <row r="299" customFormat="false" ht="15" hidden="false" customHeight="false" outlineLevel="0" collapsed="false">
      <c r="A299" s="32" t="n">
        <v>46088</v>
      </c>
      <c r="B299" s="33" t="str">
        <f aca="false">IF(A299="","",TEXT(A299,"yyyy-mm"))</f>
        <v>2026-03</v>
      </c>
      <c r="C299" s="34" t="s">
        <v>108</v>
      </c>
      <c r="D299" s="35" t="n">
        <v>7890</v>
      </c>
      <c r="E299" s="34" t="s">
        <v>105</v>
      </c>
      <c r="F299" s="33" t="str">
        <f aca="false">IF(E299="","",IFERROR(INDEX(카테고리!$B$2:$B$200,MATCH(E299,카테고리!$A$2:$A$200,0)),"미분류"))</f>
        <v>고정비</v>
      </c>
      <c r="G299" s="33" t="str">
        <f aca="false">IF(E299="","",IFERROR(INDEX(카테고리!$C$2:$C$200,MATCH(E299,카테고리!$A$2:$A$200,0)),"N"))</f>
        <v>N</v>
      </c>
      <c r="H299" s="34" t="s">
        <v>73</v>
      </c>
      <c r="I299" s="34" t="s">
        <v>90</v>
      </c>
      <c r="J299" s="34" t="s">
        <v>75</v>
      </c>
      <c r="K299" s="37"/>
      <c r="L299" s="36" t="n">
        <f aca="false">IF(A299="","",YEAR(A299)*100+MONTH(A299))</f>
        <v>202603</v>
      </c>
    </row>
    <row r="300" customFormat="false" ht="15" hidden="false" customHeight="false" outlineLevel="0" collapsed="false">
      <c r="A300" s="32" t="n">
        <v>46089</v>
      </c>
      <c r="B300" s="33" t="str">
        <f aca="false">IF(A300="","",TEXT(A300,"yyyy-mm"))</f>
        <v>2026-03</v>
      </c>
      <c r="C300" s="34" t="s">
        <v>127</v>
      </c>
      <c r="D300" s="35" t="n">
        <v>80280</v>
      </c>
      <c r="E300" s="34" t="s">
        <v>89</v>
      </c>
      <c r="F300" s="33" t="str">
        <f aca="false">IF(E300="","",IFERROR(INDEX(카테고리!$B$2:$B$200,MATCH(E300,카테고리!$A$2:$A$200,0)),"미분류"))</f>
        <v>변동비</v>
      </c>
      <c r="G300" s="33" t="str">
        <f aca="false">IF(E300="","",IFERROR(INDEX(카테고리!$C$2:$C$200,MATCH(E300,카테고리!$A$2:$A$200,0)),"N"))</f>
        <v>N</v>
      </c>
      <c r="H300" s="34" t="s">
        <v>73</v>
      </c>
      <c r="I300" s="34" t="s">
        <v>82</v>
      </c>
      <c r="J300" s="34" t="s">
        <v>75</v>
      </c>
      <c r="K300" s="37"/>
      <c r="L300" s="36" t="n">
        <f aca="false">IF(A300="","",YEAR(A300)*100+MONTH(A300))</f>
        <v>202603</v>
      </c>
    </row>
    <row r="301" customFormat="false" ht="15" hidden="false" customHeight="false" outlineLevel="0" collapsed="false">
      <c r="A301" s="32" t="n">
        <v>46089</v>
      </c>
      <c r="B301" s="33" t="str">
        <f aca="false">IF(A301="","",TEXT(A301,"yyyy-mm"))</f>
        <v>2026-03</v>
      </c>
      <c r="C301" s="34" t="s">
        <v>148</v>
      </c>
      <c r="D301" s="35" t="n">
        <v>81100</v>
      </c>
      <c r="E301" s="34" t="s">
        <v>92</v>
      </c>
      <c r="F301" s="33" t="str">
        <f aca="false">IF(E301="","",IFERROR(INDEX(카테고리!$B$2:$B$200,MATCH(E301,카테고리!$A$2:$A$200,0)),"미분류"))</f>
        <v>변동비</v>
      </c>
      <c r="G301" s="33" t="str">
        <f aca="false">IF(E301="","",IFERROR(INDEX(카테고리!$C$2:$C$200,MATCH(E301,카테고리!$A$2:$A$200,0)),"N"))</f>
        <v>Y</v>
      </c>
      <c r="H301" s="34" t="s">
        <v>81</v>
      </c>
      <c r="I301" s="34" t="s">
        <v>82</v>
      </c>
      <c r="J301" s="34" t="s">
        <v>75</v>
      </c>
      <c r="K301" s="37"/>
      <c r="L301" s="36" t="n">
        <f aca="false">IF(A301="","",YEAR(A301)*100+MONTH(A301))</f>
        <v>202603</v>
      </c>
    </row>
    <row r="302" customFormat="false" ht="15" hidden="false" customHeight="false" outlineLevel="0" collapsed="false">
      <c r="A302" s="32" t="n">
        <v>46090</v>
      </c>
      <c r="B302" s="33" t="str">
        <f aca="false">IF(A302="","",TEXT(A302,"yyyy-mm"))</f>
        <v>2026-03</v>
      </c>
      <c r="C302" s="37" t="s">
        <v>84</v>
      </c>
      <c r="D302" s="35" t="n">
        <v>88310</v>
      </c>
      <c r="E302" s="34" t="s">
        <v>85</v>
      </c>
      <c r="F302" s="33" t="str">
        <f aca="false">IF(E302="","",IFERROR(INDEX(카테고리!$B$2:$B$200,MATCH(E302,카테고리!$A$2:$A$200,0)),"미분류"))</f>
        <v>변동비</v>
      </c>
      <c r="G302" s="33" t="str">
        <f aca="false">IF(E302="","",IFERROR(INDEX(카테고리!$C$2:$C$200,MATCH(E302,카테고리!$A$2:$A$200,0)),"N"))</f>
        <v>Y</v>
      </c>
      <c r="H302" s="34" t="s">
        <v>81</v>
      </c>
      <c r="I302" s="34" t="s">
        <v>82</v>
      </c>
      <c r="J302" s="34" t="s">
        <v>75</v>
      </c>
      <c r="K302" s="37"/>
      <c r="L302" s="36" t="n">
        <f aca="false">IF(A302="","",YEAR(A302)*100+MONTH(A302))</f>
        <v>202603</v>
      </c>
    </row>
    <row r="303" customFormat="false" ht="15" hidden="false" customHeight="false" outlineLevel="0" collapsed="false">
      <c r="A303" s="32" t="n">
        <v>46090</v>
      </c>
      <c r="B303" s="33" t="str">
        <f aca="false">IF(A303="","",TEXT(A303,"yyyy-mm"))</f>
        <v>2026-03</v>
      </c>
      <c r="C303" s="34" t="s">
        <v>154</v>
      </c>
      <c r="D303" s="35" t="n">
        <v>150080</v>
      </c>
      <c r="E303" s="34" t="s">
        <v>126</v>
      </c>
      <c r="F303" s="33" t="str">
        <f aca="false">IF(E303="","",IFERROR(INDEX(카테고리!$B$2:$B$200,MATCH(E303,카테고리!$A$2:$A$200,0)),"미분류"))</f>
        <v>변동비</v>
      </c>
      <c r="G303" s="33" t="str">
        <f aca="false">IF(E303="","",IFERROR(INDEX(카테고리!$C$2:$C$200,MATCH(E303,카테고리!$A$2:$A$200,0)),"N"))</f>
        <v>N</v>
      </c>
      <c r="H303" s="34" t="s">
        <v>73</v>
      </c>
      <c r="I303" s="34" t="s">
        <v>90</v>
      </c>
      <c r="J303" s="34" t="s">
        <v>75</v>
      </c>
      <c r="K303" s="37"/>
      <c r="L303" s="36" t="n">
        <f aca="false">IF(A303="","",YEAR(A303)*100+MONTH(A303))</f>
        <v>202603</v>
      </c>
    </row>
    <row r="304" customFormat="false" ht="15" hidden="false" customHeight="false" outlineLevel="0" collapsed="false">
      <c r="A304" s="32" t="n">
        <v>46091</v>
      </c>
      <c r="B304" s="33" t="str">
        <f aca="false">IF(A304="","",TEXT(A304,"yyyy-mm"))</f>
        <v>2026-03</v>
      </c>
      <c r="C304" s="37" t="s">
        <v>111</v>
      </c>
      <c r="D304" s="35" t="n">
        <v>68000</v>
      </c>
      <c r="E304" s="34" t="s">
        <v>112</v>
      </c>
      <c r="F304" s="33" t="str">
        <f aca="false">IF(E304="","",IFERROR(INDEX(카테고리!$B$2:$B$200,MATCH(E304,카테고리!$A$2:$A$200,0)),"미분류"))</f>
        <v>고정비</v>
      </c>
      <c r="G304" s="33" t="str">
        <f aca="false">IF(E304="","",IFERROR(INDEX(카테고리!$C$2:$C$200,MATCH(E304,카테고리!$A$2:$A$200,0)),"N"))</f>
        <v>Y</v>
      </c>
      <c r="H304" s="34" t="s">
        <v>81</v>
      </c>
      <c r="I304" s="34" t="s">
        <v>98</v>
      </c>
      <c r="J304" s="34" t="s">
        <v>75</v>
      </c>
      <c r="K304" s="37"/>
      <c r="L304" s="36" t="n">
        <f aca="false">IF(A304="","",YEAR(A304)*100+MONTH(A304))</f>
        <v>202603</v>
      </c>
    </row>
    <row r="305" customFormat="false" ht="15" hidden="false" customHeight="false" outlineLevel="0" collapsed="false">
      <c r="A305" s="32" t="n">
        <v>46091</v>
      </c>
      <c r="B305" s="33" t="str">
        <f aca="false">IF(A305="","",TEXT(A305,"yyyy-mm"))</f>
        <v>2026-03</v>
      </c>
      <c r="C305" s="34" t="s">
        <v>113</v>
      </c>
      <c r="D305" s="35" t="n">
        <v>172000</v>
      </c>
      <c r="E305" s="34" t="s">
        <v>112</v>
      </c>
      <c r="F305" s="33" t="str">
        <f aca="false">IF(E305="","",IFERROR(INDEX(카테고리!$B$2:$B$200,MATCH(E305,카테고리!$A$2:$A$200,0)),"미분류"))</f>
        <v>고정비</v>
      </c>
      <c r="G305" s="33" t="str">
        <f aca="false">IF(E305="","",IFERROR(INDEX(카테고리!$C$2:$C$200,MATCH(E305,카테고리!$A$2:$A$200,0)),"N"))</f>
        <v>Y</v>
      </c>
      <c r="H305" s="34" t="s">
        <v>78</v>
      </c>
      <c r="I305" s="34" t="s">
        <v>98</v>
      </c>
      <c r="J305" s="34" t="s">
        <v>75</v>
      </c>
      <c r="K305" s="37"/>
      <c r="L305" s="36" t="n">
        <f aca="false">IF(A305="","",YEAR(A305)*100+MONTH(A305))</f>
        <v>202603</v>
      </c>
    </row>
    <row r="306" customFormat="false" ht="15" hidden="false" customHeight="false" outlineLevel="0" collapsed="false">
      <c r="A306" s="32" t="n">
        <v>46091</v>
      </c>
      <c r="B306" s="33" t="str">
        <f aca="false">IF(A306="","",TEXT(A306,"yyyy-mm"))</f>
        <v>2026-03</v>
      </c>
      <c r="C306" s="34" t="s">
        <v>93</v>
      </c>
      <c r="D306" s="35" t="n">
        <v>122560</v>
      </c>
      <c r="E306" s="34" t="s">
        <v>92</v>
      </c>
      <c r="F306" s="33" t="str">
        <f aca="false">IF(E306="","",IFERROR(INDEX(카테고리!$B$2:$B$200,MATCH(E306,카테고리!$A$2:$A$200,0)),"미분류"))</f>
        <v>변동비</v>
      </c>
      <c r="G306" s="33" t="str">
        <f aca="false">IF(E306="","",IFERROR(INDEX(카테고리!$C$2:$C$200,MATCH(E306,카테고리!$A$2:$A$200,0)),"N"))</f>
        <v>Y</v>
      </c>
      <c r="H306" s="34" t="s">
        <v>73</v>
      </c>
      <c r="I306" s="34" t="s">
        <v>82</v>
      </c>
      <c r="J306" s="34" t="s">
        <v>75</v>
      </c>
      <c r="K306" s="37"/>
      <c r="L306" s="36" t="n">
        <f aca="false">IF(A306="","",YEAR(A306)*100+MONTH(A306))</f>
        <v>202603</v>
      </c>
    </row>
    <row r="307" customFormat="false" ht="15" hidden="false" customHeight="false" outlineLevel="0" collapsed="false">
      <c r="A307" s="32" t="n">
        <v>46091</v>
      </c>
      <c r="B307" s="33" t="str">
        <f aca="false">IF(A307="","",TEXT(A307,"yyyy-mm"))</f>
        <v>2026-03</v>
      </c>
      <c r="C307" s="34" t="s">
        <v>128</v>
      </c>
      <c r="D307" s="35" t="n">
        <v>25810</v>
      </c>
      <c r="E307" s="34" t="s">
        <v>116</v>
      </c>
      <c r="F307" s="33" t="str">
        <f aca="false">IF(E307="","",IFERROR(INDEX(카테고리!$B$2:$B$200,MATCH(E307,카테고리!$A$2:$A$200,0)),"미분류"))</f>
        <v>변동비</v>
      </c>
      <c r="G307" s="33" t="str">
        <f aca="false">IF(E307="","",IFERROR(INDEX(카테고리!$C$2:$C$200,MATCH(E307,카테고리!$A$2:$A$200,0)),"N"))</f>
        <v>Y</v>
      </c>
      <c r="H307" s="34" t="s">
        <v>81</v>
      </c>
      <c r="I307" s="34" t="s">
        <v>82</v>
      </c>
      <c r="J307" s="34" t="s">
        <v>75</v>
      </c>
      <c r="K307" s="37"/>
      <c r="L307" s="36" t="n">
        <f aca="false">IF(A307="","",YEAR(A307)*100+MONTH(A307))</f>
        <v>202603</v>
      </c>
    </row>
    <row r="308" customFormat="false" ht="15" hidden="false" customHeight="false" outlineLevel="0" collapsed="false">
      <c r="A308" s="32" t="n">
        <v>46091</v>
      </c>
      <c r="B308" s="33" t="str">
        <f aca="false">IF(A308="","",TEXT(A308,"yyyy-mm"))</f>
        <v>2026-03</v>
      </c>
      <c r="C308" s="34" t="s">
        <v>114</v>
      </c>
      <c r="D308" s="35" t="n">
        <v>148000</v>
      </c>
      <c r="E308" s="34" t="s">
        <v>112</v>
      </c>
      <c r="F308" s="33" t="str">
        <f aca="false">IF(E308="","",IFERROR(INDEX(카테고리!$B$2:$B$200,MATCH(E308,카테고리!$A$2:$A$200,0)),"미분류"))</f>
        <v>고정비</v>
      </c>
      <c r="G308" s="33" t="str">
        <f aca="false">IF(E308="","",IFERROR(INDEX(카테고리!$C$2:$C$200,MATCH(E308,카테고리!$A$2:$A$200,0)),"N"))</f>
        <v>Y</v>
      </c>
      <c r="H308" s="34" t="s">
        <v>73</v>
      </c>
      <c r="I308" s="34" t="s">
        <v>98</v>
      </c>
      <c r="J308" s="34" t="s">
        <v>75</v>
      </c>
      <c r="K308" s="37"/>
      <c r="L308" s="36" t="n">
        <f aca="false">IF(A308="","",YEAR(A308)*100+MONTH(A308))</f>
        <v>202603</v>
      </c>
    </row>
    <row r="309" customFormat="false" ht="15" hidden="false" customHeight="false" outlineLevel="0" collapsed="false">
      <c r="A309" s="32" t="n">
        <v>46092</v>
      </c>
      <c r="B309" s="33" t="str">
        <f aca="false">IF(A309="","",TEXT(A309,"yyyy-mm"))</f>
        <v>2026-03</v>
      </c>
      <c r="C309" s="34" t="s">
        <v>91</v>
      </c>
      <c r="D309" s="35" t="n">
        <v>67240</v>
      </c>
      <c r="E309" s="34" t="s">
        <v>92</v>
      </c>
      <c r="F309" s="33" t="str">
        <f aca="false">IF(E309="","",IFERROR(INDEX(카테고리!$B$2:$B$200,MATCH(E309,카테고리!$A$2:$A$200,0)),"미분류"))</f>
        <v>변동비</v>
      </c>
      <c r="G309" s="33" t="str">
        <f aca="false">IF(E309="","",IFERROR(INDEX(카테고리!$C$2:$C$200,MATCH(E309,카테고리!$A$2:$A$200,0)),"N"))</f>
        <v>Y</v>
      </c>
      <c r="H309" s="34" t="s">
        <v>81</v>
      </c>
      <c r="I309" s="34" t="s">
        <v>82</v>
      </c>
      <c r="J309" s="34" t="s">
        <v>75</v>
      </c>
      <c r="K309" s="37"/>
      <c r="L309" s="36" t="n">
        <f aca="false">IF(A309="","",YEAR(A309)*100+MONTH(A309))</f>
        <v>202603</v>
      </c>
    </row>
    <row r="310" customFormat="false" ht="15" hidden="false" customHeight="false" outlineLevel="0" collapsed="false">
      <c r="A310" s="32" t="n">
        <v>46092</v>
      </c>
      <c r="B310" s="33" t="str">
        <f aca="false">IF(A310="","",TEXT(A310,"yyyy-mm"))</f>
        <v>2026-03</v>
      </c>
      <c r="C310" s="34" t="s">
        <v>115</v>
      </c>
      <c r="D310" s="35" t="n">
        <v>43400</v>
      </c>
      <c r="E310" s="34" t="s">
        <v>116</v>
      </c>
      <c r="F310" s="33" t="str">
        <f aca="false">IF(E310="","",IFERROR(INDEX(카테고리!$B$2:$B$200,MATCH(E310,카테고리!$A$2:$A$200,0)),"미분류"))</f>
        <v>변동비</v>
      </c>
      <c r="G310" s="33" t="str">
        <f aca="false">IF(E310="","",IFERROR(INDEX(카테고리!$C$2:$C$200,MATCH(E310,카테고리!$A$2:$A$200,0)),"N"))</f>
        <v>Y</v>
      </c>
      <c r="H310" s="34" t="s">
        <v>81</v>
      </c>
      <c r="I310" s="34" t="s">
        <v>82</v>
      </c>
      <c r="J310" s="34" t="s">
        <v>75</v>
      </c>
      <c r="K310" s="37"/>
      <c r="L310" s="36" t="n">
        <f aca="false">IF(A310="","",YEAR(A310)*100+MONTH(A310))</f>
        <v>202603</v>
      </c>
    </row>
    <row r="311" customFormat="false" ht="15" hidden="false" customHeight="false" outlineLevel="0" collapsed="false">
      <c r="A311" s="32" t="n">
        <v>46095</v>
      </c>
      <c r="B311" s="33" t="str">
        <f aca="false">IF(A311="","",TEXT(A311,"yyyy-mm"))</f>
        <v>2026-03</v>
      </c>
      <c r="C311" s="34" t="s">
        <v>88</v>
      </c>
      <c r="D311" s="35" t="n">
        <v>43480</v>
      </c>
      <c r="E311" s="34" t="s">
        <v>89</v>
      </c>
      <c r="F311" s="33" t="str">
        <f aca="false">IF(E311="","",IFERROR(INDEX(카테고리!$B$2:$B$200,MATCH(E311,카테고리!$A$2:$A$200,0)),"미분류"))</f>
        <v>변동비</v>
      </c>
      <c r="G311" s="33" t="str">
        <f aca="false">IF(E311="","",IFERROR(INDEX(카테고리!$C$2:$C$200,MATCH(E311,카테고리!$A$2:$A$200,0)),"N"))</f>
        <v>N</v>
      </c>
      <c r="H311" s="34" t="s">
        <v>73</v>
      </c>
      <c r="I311" s="34" t="s">
        <v>90</v>
      </c>
      <c r="J311" s="34" t="s">
        <v>75</v>
      </c>
      <c r="K311" s="37"/>
      <c r="L311" s="36" t="n">
        <f aca="false">IF(A311="","",YEAR(A311)*100+MONTH(A311))</f>
        <v>202603</v>
      </c>
    </row>
    <row r="312" customFormat="false" ht="15" hidden="false" customHeight="false" outlineLevel="0" collapsed="false">
      <c r="A312" s="32" t="n">
        <v>46096</v>
      </c>
      <c r="B312" s="33" t="str">
        <f aca="false">IF(A312="","",TEXT(A312,"yyyy-mm"))</f>
        <v>2026-03</v>
      </c>
      <c r="C312" s="34" t="s">
        <v>146</v>
      </c>
      <c r="D312" s="35" t="n">
        <v>83010</v>
      </c>
      <c r="E312" s="34" t="s">
        <v>92</v>
      </c>
      <c r="F312" s="33" t="str">
        <f aca="false">IF(E312="","",IFERROR(INDEX(카테고리!$B$2:$B$200,MATCH(E312,카테고리!$A$2:$A$200,0)),"미분류"))</f>
        <v>변동비</v>
      </c>
      <c r="G312" s="33" t="str">
        <f aca="false">IF(E312="","",IFERROR(INDEX(카테고리!$C$2:$C$200,MATCH(E312,카테고리!$A$2:$A$200,0)),"N"))</f>
        <v>Y</v>
      </c>
      <c r="H312" s="34" t="s">
        <v>73</v>
      </c>
      <c r="I312" s="34" t="s">
        <v>82</v>
      </c>
      <c r="J312" s="34" t="s">
        <v>75</v>
      </c>
      <c r="K312" s="37"/>
      <c r="L312" s="36" t="n">
        <f aca="false">IF(A312="","",YEAR(A312)*100+MONTH(A312))</f>
        <v>202603</v>
      </c>
    </row>
    <row r="313" customFormat="false" ht="15" hidden="false" customHeight="false" outlineLevel="0" collapsed="false">
      <c r="A313" s="32" t="n">
        <v>46096</v>
      </c>
      <c r="B313" s="33" t="str">
        <f aca="false">IF(A313="","",TEXT(A313,"yyyy-mm"))</f>
        <v>2026-03</v>
      </c>
      <c r="C313" s="34" t="s">
        <v>154</v>
      </c>
      <c r="D313" s="35" t="n">
        <v>137470</v>
      </c>
      <c r="E313" s="34" t="s">
        <v>126</v>
      </c>
      <c r="F313" s="33" t="str">
        <f aca="false">IF(E313="","",IFERROR(INDEX(카테고리!$B$2:$B$200,MATCH(E313,카테고리!$A$2:$A$200,0)),"미분류"))</f>
        <v>변동비</v>
      </c>
      <c r="G313" s="33" t="str">
        <f aca="false">IF(E313="","",IFERROR(INDEX(카테고리!$C$2:$C$200,MATCH(E313,카테고리!$A$2:$A$200,0)),"N"))</f>
        <v>N</v>
      </c>
      <c r="H313" s="34" t="s">
        <v>73</v>
      </c>
      <c r="I313" s="34" t="s">
        <v>90</v>
      </c>
      <c r="J313" s="34" t="s">
        <v>75</v>
      </c>
      <c r="K313" s="37"/>
      <c r="L313" s="36" t="n">
        <f aca="false">IF(A313="","",YEAR(A313)*100+MONTH(A313))</f>
        <v>202603</v>
      </c>
    </row>
    <row r="314" customFormat="false" ht="15" hidden="false" customHeight="false" outlineLevel="0" collapsed="false">
      <c r="A314" s="32" t="n">
        <v>46096</v>
      </c>
      <c r="B314" s="33" t="str">
        <f aca="false">IF(A314="","",TEXT(A314,"yyyy-mm"))</f>
        <v>2026-03</v>
      </c>
      <c r="C314" s="34" t="s">
        <v>155</v>
      </c>
      <c r="D314" s="35" t="n">
        <v>120000</v>
      </c>
      <c r="E314" s="34" t="s">
        <v>144</v>
      </c>
      <c r="F314" s="33" t="str">
        <f aca="false">IF(E314="","",IFERROR(INDEX(카테고리!$B$2:$B$200,MATCH(E314,카테고리!$A$2:$A$200,0)),"미분류"))</f>
        <v>소득</v>
      </c>
      <c r="G314" s="33" t="str">
        <f aca="false">IF(E314="","",IFERROR(INDEX(카테고리!$C$2:$C$200,MATCH(E314,카테고리!$A$2:$A$200,0)),"N"))</f>
        <v>N</v>
      </c>
      <c r="H314" s="34" t="s">
        <v>78</v>
      </c>
      <c r="I314" s="34" t="s">
        <v>131</v>
      </c>
      <c r="J314" s="34" t="s">
        <v>75</v>
      </c>
      <c r="K314" s="37"/>
      <c r="L314" s="36" t="n">
        <f aca="false">IF(A314="","",YEAR(A314)*100+MONTH(A314))</f>
        <v>202603</v>
      </c>
    </row>
    <row r="315" customFormat="false" ht="15" hidden="false" customHeight="false" outlineLevel="0" collapsed="false">
      <c r="A315" s="32" t="n">
        <v>46097</v>
      </c>
      <c r="B315" s="33" t="str">
        <f aca="false">IF(A315="","",TEXT(A315,"yyyy-mm"))</f>
        <v>2026-03</v>
      </c>
      <c r="C315" s="34" t="s">
        <v>88</v>
      </c>
      <c r="D315" s="35" t="n">
        <v>70380</v>
      </c>
      <c r="E315" s="34" t="s">
        <v>89</v>
      </c>
      <c r="F315" s="33" t="str">
        <f aca="false">IF(E315="","",IFERROR(INDEX(카테고리!$B$2:$B$200,MATCH(E315,카테고리!$A$2:$A$200,0)),"미분류"))</f>
        <v>변동비</v>
      </c>
      <c r="G315" s="33" t="str">
        <f aca="false">IF(E315="","",IFERROR(INDEX(카테고리!$C$2:$C$200,MATCH(E315,카테고리!$A$2:$A$200,0)),"N"))</f>
        <v>N</v>
      </c>
      <c r="H315" s="34" t="s">
        <v>81</v>
      </c>
      <c r="I315" s="34" t="s">
        <v>82</v>
      </c>
      <c r="J315" s="34" t="s">
        <v>75</v>
      </c>
      <c r="K315" s="37"/>
      <c r="L315" s="36" t="n">
        <f aca="false">IF(A315="","",YEAR(A315)*100+MONTH(A315))</f>
        <v>202603</v>
      </c>
    </row>
    <row r="316" customFormat="false" ht="15" hidden="false" customHeight="false" outlineLevel="0" collapsed="false">
      <c r="A316" s="32" t="n">
        <v>46098</v>
      </c>
      <c r="B316" s="33" t="str">
        <f aca="false">IF(A316="","",TEXT(A316,"yyyy-mm"))</f>
        <v>2026-03</v>
      </c>
      <c r="C316" s="34" t="s">
        <v>110</v>
      </c>
      <c r="D316" s="35" t="n">
        <v>15990</v>
      </c>
      <c r="E316" s="34" t="s">
        <v>85</v>
      </c>
      <c r="F316" s="33" t="str">
        <f aca="false">IF(E316="","",IFERROR(INDEX(카테고리!$B$2:$B$200,MATCH(E316,카테고리!$A$2:$A$200,0)),"미분류"))</f>
        <v>변동비</v>
      </c>
      <c r="G316" s="33" t="str">
        <f aca="false">IF(E316="","",IFERROR(INDEX(카테고리!$C$2:$C$200,MATCH(E316,카테고리!$A$2:$A$200,0)),"N"))</f>
        <v>Y</v>
      </c>
      <c r="H316" s="34" t="s">
        <v>78</v>
      </c>
      <c r="I316" s="34" t="s">
        <v>107</v>
      </c>
      <c r="J316" s="34" t="s">
        <v>75</v>
      </c>
      <c r="K316" s="37"/>
      <c r="L316" s="36" t="n">
        <f aca="false">IF(A316="","",YEAR(A316)*100+MONTH(A316))</f>
        <v>202603</v>
      </c>
    </row>
    <row r="317" customFormat="false" ht="15" hidden="false" customHeight="false" outlineLevel="0" collapsed="false">
      <c r="A317" s="32" t="n">
        <v>46101</v>
      </c>
      <c r="B317" s="33" t="str">
        <f aca="false">IF(A317="","",TEXT(A317,"yyyy-mm"))</f>
        <v>2026-03</v>
      </c>
      <c r="C317" s="34" t="s">
        <v>117</v>
      </c>
      <c r="D317" s="35" t="n">
        <v>264860</v>
      </c>
      <c r="E317" s="34" t="s">
        <v>118</v>
      </c>
      <c r="F317" s="33" t="str">
        <f aca="false">IF(E317="","",IFERROR(INDEX(카테고리!$B$2:$B$200,MATCH(E317,카테고리!$A$2:$A$200,0)),"미분류"))</f>
        <v>고정비</v>
      </c>
      <c r="G317" s="33" t="str">
        <f aca="false">IF(E317="","",IFERROR(INDEX(카테고리!$C$2:$C$200,MATCH(E317,카테고리!$A$2:$A$200,0)),"N"))</f>
        <v>Y</v>
      </c>
      <c r="H317" s="34" t="s">
        <v>81</v>
      </c>
      <c r="I317" s="34" t="s">
        <v>98</v>
      </c>
      <c r="J317" s="34" t="s">
        <v>75</v>
      </c>
      <c r="K317" s="37"/>
      <c r="L317" s="36" t="n">
        <f aca="false">IF(A317="","",YEAR(A317)*100+MONTH(A317))</f>
        <v>202603</v>
      </c>
    </row>
    <row r="318" customFormat="false" ht="15" hidden="false" customHeight="false" outlineLevel="0" collapsed="false">
      <c r="A318" s="32" t="n">
        <v>46101</v>
      </c>
      <c r="B318" s="33" t="str">
        <f aca="false">IF(A318="","",TEXT(A318,"yyyy-mm"))</f>
        <v>2026-03</v>
      </c>
      <c r="C318" s="34" t="s">
        <v>110</v>
      </c>
      <c r="D318" s="35" t="n">
        <v>22350</v>
      </c>
      <c r="E318" s="34" t="s">
        <v>85</v>
      </c>
      <c r="F318" s="33" t="str">
        <f aca="false">IF(E318="","",IFERROR(INDEX(카테고리!$B$2:$B$200,MATCH(E318,카테고리!$A$2:$A$200,0)),"미분류"))</f>
        <v>변동비</v>
      </c>
      <c r="G318" s="33" t="str">
        <f aca="false">IF(E318="","",IFERROR(INDEX(카테고리!$C$2:$C$200,MATCH(E318,카테고리!$A$2:$A$200,0)),"N"))</f>
        <v>Y</v>
      </c>
      <c r="H318" s="34" t="s">
        <v>78</v>
      </c>
      <c r="I318" s="34" t="s">
        <v>107</v>
      </c>
      <c r="J318" s="34" t="s">
        <v>75</v>
      </c>
      <c r="K318" s="37"/>
      <c r="L318" s="36" t="n">
        <f aca="false">IF(A318="","",YEAR(A318)*100+MONTH(A318))</f>
        <v>202603</v>
      </c>
    </row>
    <row r="319" customFormat="false" ht="15" hidden="false" customHeight="false" outlineLevel="0" collapsed="false">
      <c r="A319" s="32" t="n">
        <v>46102</v>
      </c>
      <c r="B319" s="33" t="str">
        <f aca="false">IF(A319="","",TEXT(A319,"yyyy-mm"))</f>
        <v>2026-03</v>
      </c>
      <c r="C319" s="37" t="s">
        <v>119</v>
      </c>
      <c r="D319" s="35" t="n">
        <v>54000</v>
      </c>
      <c r="E319" s="34" t="s">
        <v>120</v>
      </c>
      <c r="F319" s="33" t="str">
        <f aca="false">IF(E319="","",IFERROR(INDEX(카테고리!$B$2:$B$200,MATCH(E319,카테고리!$A$2:$A$200,0)),"미분류"))</f>
        <v>고정비</v>
      </c>
      <c r="G319" s="33" t="str">
        <f aca="false">IF(E319="","",IFERROR(INDEX(카테고리!$C$2:$C$200,MATCH(E319,카테고리!$A$2:$A$200,0)),"N"))</f>
        <v>Y</v>
      </c>
      <c r="H319" s="34" t="s">
        <v>73</v>
      </c>
      <c r="I319" s="34" t="s">
        <v>90</v>
      </c>
      <c r="J319" s="34" t="s">
        <v>75</v>
      </c>
      <c r="K319" s="37"/>
      <c r="L319" s="36" t="n">
        <f aca="false">IF(A319="","",YEAR(A319)*100+MONTH(A319))</f>
        <v>202603</v>
      </c>
    </row>
    <row r="320" customFormat="false" ht="15" hidden="false" customHeight="false" outlineLevel="0" collapsed="false">
      <c r="A320" s="32" t="n">
        <v>46102</v>
      </c>
      <c r="B320" s="33" t="str">
        <f aca="false">IF(A320="","",TEXT(A320,"yyyy-mm"))</f>
        <v>2026-03</v>
      </c>
      <c r="C320" s="37" t="s">
        <v>121</v>
      </c>
      <c r="D320" s="35" t="n">
        <v>68000</v>
      </c>
      <c r="E320" s="34" t="s">
        <v>120</v>
      </c>
      <c r="F320" s="33" t="str">
        <f aca="false">IF(E320="","",IFERROR(INDEX(카테고리!$B$2:$B$200,MATCH(E320,카테고리!$A$2:$A$200,0)),"미분류"))</f>
        <v>고정비</v>
      </c>
      <c r="G320" s="33" t="str">
        <f aca="false">IF(E320="","",IFERROR(INDEX(카테고리!$C$2:$C$200,MATCH(E320,카테고리!$A$2:$A$200,0)),"N"))</f>
        <v>Y</v>
      </c>
      <c r="H320" s="34" t="s">
        <v>78</v>
      </c>
      <c r="I320" s="34" t="s">
        <v>107</v>
      </c>
      <c r="J320" s="34" t="s">
        <v>75</v>
      </c>
      <c r="K320" s="37"/>
      <c r="L320" s="36" t="n">
        <f aca="false">IF(A320="","",YEAR(A320)*100+MONTH(A320))</f>
        <v>202603</v>
      </c>
    </row>
    <row r="321" customFormat="false" ht="15" hidden="false" customHeight="false" outlineLevel="0" collapsed="false">
      <c r="A321" s="32" t="n">
        <v>46102</v>
      </c>
      <c r="B321" s="33" t="str">
        <f aca="false">IF(A321="","",TEXT(A321,"yyyy-mm"))</f>
        <v>2026-03</v>
      </c>
      <c r="C321" s="34" t="s">
        <v>91</v>
      </c>
      <c r="D321" s="35" t="n">
        <v>97240</v>
      </c>
      <c r="E321" s="34" t="s">
        <v>92</v>
      </c>
      <c r="F321" s="33" t="str">
        <f aca="false">IF(E321="","",IFERROR(INDEX(카테고리!$B$2:$B$200,MATCH(E321,카테고리!$A$2:$A$200,0)),"미분류"))</f>
        <v>변동비</v>
      </c>
      <c r="G321" s="33" t="str">
        <f aca="false">IF(E321="","",IFERROR(INDEX(카테고리!$C$2:$C$200,MATCH(E321,카테고리!$A$2:$A$200,0)),"N"))</f>
        <v>Y</v>
      </c>
      <c r="H321" s="34" t="s">
        <v>81</v>
      </c>
      <c r="I321" s="34" t="s">
        <v>82</v>
      </c>
      <c r="J321" s="34" t="s">
        <v>75</v>
      </c>
      <c r="K321" s="37"/>
      <c r="L321" s="36" t="n">
        <f aca="false">IF(A321="","",YEAR(A321)*100+MONTH(A321))</f>
        <v>202603</v>
      </c>
    </row>
    <row r="322" customFormat="false" ht="15" hidden="false" customHeight="false" outlineLevel="0" collapsed="false">
      <c r="A322" s="32" t="n">
        <v>46102</v>
      </c>
      <c r="B322" s="33" t="str">
        <f aca="false">IF(A322="","",TEXT(A322,"yyyy-mm"))</f>
        <v>2026-03</v>
      </c>
      <c r="C322" s="34" t="s">
        <v>154</v>
      </c>
      <c r="D322" s="35" t="n">
        <v>75990</v>
      </c>
      <c r="E322" s="34" t="s">
        <v>126</v>
      </c>
      <c r="F322" s="33" t="str">
        <f aca="false">IF(E322="","",IFERROR(INDEX(카테고리!$B$2:$B$200,MATCH(E322,카테고리!$A$2:$A$200,0)),"미분류"))</f>
        <v>변동비</v>
      </c>
      <c r="G322" s="33" t="str">
        <f aca="false">IF(E322="","",IFERROR(INDEX(카테고리!$C$2:$C$200,MATCH(E322,카테고리!$A$2:$A$200,0)),"N"))</f>
        <v>N</v>
      </c>
      <c r="H322" s="34" t="s">
        <v>73</v>
      </c>
      <c r="I322" s="34" t="s">
        <v>107</v>
      </c>
      <c r="J322" s="34" t="s">
        <v>75</v>
      </c>
      <c r="K322" s="37"/>
      <c r="L322" s="36" t="n">
        <f aca="false">IF(A322="","",YEAR(A322)*100+MONTH(A322))</f>
        <v>202603</v>
      </c>
    </row>
    <row r="323" customFormat="false" ht="15" hidden="false" customHeight="false" outlineLevel="0" collapsed="false">
      <c r="A323" s="32" t="n">
        <v>46102</v>
      </c>
      <c r="B323" s="33" t="str">
        <f aca="false">IF(A323="","",TEXT(A323,"yyyy-mm"))</f>
        <v>2026-03</v>
      </c>
      <c r="C323" s="34" t="s">
        <v>122</v>
      </c>
      <c r="D323" s="35" t="n">
        <v>33000</v>
      </c>
      <c r="E323" s="34" t="s">
        <v>120</v>
      </c>
      <c r="F323" s="33" t="str">
        <f aca="false">IF(E323="","",IFERROR(INDEX(카테고리!$B$2:$B$200,MATCH(E323,카테고리!$A$2:$A$200,0)),"미분류"))</f>
        <v>고정비</v>
      </c>
      <c r="G323" s="33" t="str">
        <f aca="false">IF(E323="","",IFERROR(INDEX(카테고리!$C$2:$C$200,MATCH(E323,카테고리!$A$2:$A$200,0)),"N"))</f>
        <v>Y</v>
      </c>
      <c r="H323" s="34" t="s">
        <v>81</v>
      </c>
      <c r="I323" s="34" t="s">
        <v>98</v>
      </c>
      <c r="J323" s="34" t="s">
        <v>75</v>
      </c>
      <c r="K323" s="37"/>
      <c r="L323" s="36" t="n">
        <f aca="false">IF(A323="","",YEAR(A323)*100+MONTH(A323))</f>
        <v>202603</v>
      </c>
    </row>
    <row r="324" customFormat="false" ht="15" hidden="false" customHeight="false" outlineLevel="0" collapsed="false">
      <c r="A324" s="32" t="n">
        <v>46105</v>
      </c>
      <c r="B324" s="33" t="str">
        <f aca="false">IF(A324="","",TEXT(A324,"yyyy-mm"))</f>
        <v>2026-03</v>
      </c>
      <c r="C324" s="37" t="s">
        <v>84</v>
      </c>
      <c r="D324" s="35" t="n">
        <v>80400</v>
      </c>
      <c r="E324" s="34" t="s">
        <v>85</v>
      </c>
      <c r="F324" s="33" t="str">
        <f aca="false">IF(E324="","",IFERROR(INDEX(카테고리!$B$2:$B$200,MATCH(E324,카테고리!$A$2:$A$200,0)),"미분류"))</f>
        <v>변동비</v>
      </c>
      <c r="G324" s="33" t="str">
        <f aca="false">IF(E324="","",IFERROR(INDEX(카테고리!$C$2:$C$200,MATCH(E324,카테고리!$A$2:$A$200,0)),"N"))</f>
        <v>Y</v>
      </c>
      <c r="H324" s="34" t="s">
        <v>81</v>
      </c>
      <c r="I324" s="34" t="s">
        <v>82</v>
      </c>
      <c r="J324" s="34" t="s">
        <v>75</v>
      </c>
      <c r="K324" s="37"/>
      <c r="L324" s="36" t="n">
        <f aca="false">IF(A324="","",YEAR(A324)*100+MONTH(A324))</f>
        <v>202603</v>
      </c>
    </row>
    <row r="325" customFormat="false" ht="15" hidden="false" customHeight="false" outlineLevel="0" collapsed="false">
      <c r="A325" s="32" t="n">
        <v>46105</v>
      </c>
      <c r="B325" s="33" t="str">
        <f aca="false">IF(A325="","",TEXT(A325,"yyyy-mm"))</f>
        <v>2026-03</v>
      </c>
      <c r="C325" s="34" t="s">
        <v>110</v>
      </c>
      <c r="D325" s="35" t="n">
        <v>23610</v>
      </c>
      <c r="E325" s="34" t="s">
        <v>85</v>
      </c>
      <c r="F325" s="33" t="str">
        <f aca="false">IF(E325="","",IFERROR(INDEX(카테고리!$B$2:$B$200,MATCH(E325,카테고리!$A$2:$A$200,0)),"미분류"))</f>
        <v>변동비</v>
      </c>
      <c r="G325" s="33" t="str">
        <f aca="false">IF(E325="","",IFERROR(INDEX(카테고리!$C$2:$C$200,MATCH(E325,카테고리!$A$2:$A$200,0)),"N"))</f>
        <v>Y</v>
      </c>
      <c r="H325" s="34" t="s">
        <v>78</v>
      </c>
      <c r="I325" s="34" t="s">
        <v>107</v>
      </c>
      <c r="J325" s="34" t="s">
        <v>75</v>
      </c>
      <c r="K325" s="37"/>
      <c r="L325" s="36" t="n">
        <f aca="false">IF(A325="","",YEAR(A325)*100+MONTH(A325))</f>
        <v>202603</v>
      </c>
    </row>
    <row r="326" customFormat="false" ht="15" hidden="false" customHeight="false" outlineLevel="0" collapsed="false">
      <c r="A326" s="32" t="n">
        <v>46106</v>
      </c>
      <c r="B326" s="33" t="str">
        <f aca="false">IF(A326="","",TEXT(A326,"yyyy-mm"))</f>
        <v>2026-03</v>
      </c>
      <c r="C326" s="34" t="s">
        <v>129</v>
      </c>
      <c r="D326" s="35" t="n">
        <v>3620000</v>
      </c>
      <c r="E326" s="34" t="s">
        <v>130</v>
      </c>
      <c r="F326" s="33" t="str">
        <f aca="false">IF(E326="","",IFERROR(INDEX(카테고리!$B$2:$B$200,MATCH(E326,카테고리!$A$2:$A$200,0)),"미분류"))</f>
        <v>소득</v>
      </c>
      <c r="G326" s="33" t="str">
        <f aca="false">IF(E326="","",IFERROR(INDEX(카테고리!$C$2:$C$200,MATCH(E326,카테고리!$A$2:$A$200,0)),"N"))</f>
        <v>N</v>
      </c>
      <c r="H326" s="34" t="s">
        <v>73</v>
      </c>
      <c r="I326" s="34" t="s">
        <v>131</v>
      </c>
      <c r="J326" s="34" t="s">
        <v>75</v>
      </c>
      <c r="K326" s="37"/>
      <c r="L326" s="36" t="n">
        <f aca="false">IF(A326="","",YEAR(A326)*100+MONTH(A326))</f>
        <v>202603</v>
      </c>
    </row>
    <row r="327" customFormat="false" ht="15" hidden="false" customHeight="false" outlineLevel="0" collapsed="false">
      <c r="A327" s="32" t="n">
        <v>46106</v>
      </c>
      <c r="B327" s="33" t="str">
        <f aca="false">IF(A327="","",TEXT(A327,"yyyy-mm"))</f>
        <v>2026-03</v>
      </c>
      <c r="C327" s="34" t="s">
        <v>127</v>
      </c>
      <c r="D327" s="35" t="n">
        <v>31970</v>
      </c>
      <c r="E327" s="34" t="s">
        <v>89</v>
      </c>
      <c r="F327" s="33" t="str">
        <f aca="false">IF(E327="","",IFERROR(INDEX(카테고리!$B$2:$B$200,MATCH(E327,카테고리!$A$2:$A$200,0)),"미분류"))</f>
        <v>변동비</v>
      </c>
      <c r="G327" s="33" t="str">
        <f aca="false">IF(E327="","",IFERROR(INDEX(카테고리!$C$2:$C$200,MATCH(E327,카테고리!$A$2:$A$200,0)),"N"))</f>
        <v>N</v>
      </c>
      <c r="H327" s="34" t="s">
        <v>78</v>
      </c>
      <c r="I327" s="34" t="s">
        <v>82</v>
      </c>
      <c r="J327" s="34" t="s">
        <v>75</v>
      </c>
      <c r="K327" s="37"/>
      <c r="L327" s="36" t="n">
        <f aca="false">IF(A327="","",YEAR(A327)*100+MONTH(A327))</f>
        <v>202603</v>
      </c>
    </row>
    <row r="328" customFormat="false" ht="15" hidden="false" customHeight="false" outlineLevel="0" collapsed="false">
      <c r="A328" s="32" t="n">
        <v>46106</v>
      </c>
      <c r="B328" s="33" t="str">
        <f aca="false">IF(A328="","",TEXT(A328,"yyyy-mm"))</f>
        <v>2026-03</v>
      </c>
      <c r="C328" s="34" t="s">
        <v>132</v>
      </c>
      <c r="D328" s="35" t="n">
        <v>4850000</v>
      </c>
      <c r="E328" s="34" t="s">
        <v>130</v>
      </c>
      <c r="F328" s="33" t="str">
        <f aca="false">IF(E328="","",IFERROR(INDEX(카테고리!$B$2:$B$200,MATCH(E328,카테고리!$A$2:$A$200,0)),"미분류"))</f>
        <v>소득</v>
      </c>
      <c r="G328" s="33" t="str">
        <f aca="false">IF(E328="","",IFERROR(INDEX(카테고리!$C$2:$C$200,MATCH(E328,카테고리!$A$2:$A$200,0)),"N"))</f>
        <v>N</v>
      </c>
      <c r="H328" s="34" t="s">
        <v>78</v>
      </c>
      <c r="I328" s="34" t="s">
        <v>131</v>
      </c>
      <c r="J328" s="34" t="s">
        <v>75</v>
      </c>
      <c r="K328" s="37"/>
      <c r="L328" s="36" t="n">
        <f aca="false">IF(A328="","",YEAR(A328)*100+MONTH(A328))</f>
        <v>202603</v>
      </c>
    </row>
    <row r="329" customFormat="false" ht="15" hidden="false" customHeight="false" outlineLevel="0" collapsed="false">
      <c r="A329" s="32" t="n">
        <v>46107</v>
      </c>
      <c r="B329" s="33" t="str">
        <f aca="false">IF(A329="","",TEXT(A329,"yyyy-mm"))</f>
        <v>2026-03</v>
      </c>
      <c r="C329" s="37" t="s">
        <v>133</v>
      </c>
      <c r="D329" s="35" t="n">
        <v>200000</v>
      </c>
      <c r="E329" s="34" t="s">
        <v>134</v>
      </c>
      <c r="F329" s="33" t="str">
        <f aca="false">IF(E329="","",IFERROR(INDEX(카테고리!$B$2:$B$200,MATCH(E329,카테고리!$A$2:$A$200,0)),"미분류"))</f>
        <v>자본이동</v>
      </c>
      <c r="G329" s="33" t="str">
        <f aca="false">IF(E329="","",IFERROR(INDEX(카테고리!$C$2:$C$200,MATCH(E329,카테고리!$A$2:$A$200,0)),"N"))</f>
        <v>N</v>
      </c>
      <c r="H329" s="34" t="s">
        <v>73</v>
      </c>
      <c r="I329" s="34" t="s">
        <v>98</v>
      </c>
      <c r="J329" s="34" t="s">
        <v>75</v>
      </c>
      <c r="K329" s="37"/>
      <c r="L329" s="36" t="n">
        <f aca="false">IF(A329="","",YEAR(A329)*100+MONTH(A329))</f>
        <v>202603</v>
      </c>
    </row>
    <row r="330" customFormat="false" ht="15" hidden="false" customHeight="false" outlineLevel="0" collapsed="false">
      <c r="A330" s="32" t="n">
        <v>46107</v>
      </c>
      <c r="B330" s="33" t="str">
        <f aca="false">IF(A330="","",TEXT(A330,"yyyy-mm"))</f>
        <v>2026-03</v>
      </c>
      <c r="C330" s="34" t="s">
        <v>146</v>
      </c>
      <c r="D330" s="35" t="n">
        <v>77240</v>
      </c>
      <c r="E330" s="34" t="s">
        <v>92</v>
      </c>
      <c r="F330" s="33" t="str">
        <f aca="false">IF(E330="","",IFERROR(INDEX(카테고리!$B$2:$B$200,MATCH(E330,카테고리!$A$2:$A$200,0)),"미분류"))</f>
        <v>변동비</v>
      </c>
      <c r="G330" s="33" t="str">
        <f aca="false">IF(E330="","",IFERROR(INDEX(카테고리!$C$2:$C$200,MATCH(E330,카테고리!$A$2:$A$200,0)),"N"))</f>
        <v>Y</v>
      </c>
      <c r="H330" s="34" t="s">
        <v>73</v>
      </c>
      <c r="I330" s="34" t="s">
        <v>82</v>
      </c>
      <c r="J330" s="34" t="s">
        <v>75</v>
      </c>
      <c r="K330" s="37"/>
      <c r="L330" s="36" t="n">
        <f aca="false">IF(A330="","",YEAR(A330)*100+MONTH(A330))</f>
        <v>202603</v>
      </c>
    </row>
    <row r="331" customFormat="false" ht="15" hidden="false" customHeight="false" outlineLevel="0" collapsed="false">
      <c r="A331" s="32" t="n">
        <v>46107</v>
      </c>
      <c r="B331" s="33" t="str">
        <f aca="false">IF(A331="","",TEXT(A331,"yyyy-mm"))</f>
        <v>2026-03</v>
      </c>
      <c r="C331" s="34" t="s">
        <v>135</v>
      </c>
      <c r="D331" s="35" t="n">
        <v>650000</v>
      </c>
      <c r="E331" s="34" t="s">
        <v>136</v>
      </c>
      <c r="F331" s="33" t="str">
        <f aca="false">IF(E331="","",IFERROR(INDEX(카테고리!$B$2:$B$200,MATCH(E331,카테고리!$A$2:$A$200,0)),"미분류"))</f>
        <v>자본이동</v>
      </c>
      <c r="G331" s="33" t="str">
        <f aca="false">IF(E331="","",IFERROR(INDEX(카테고리!$C$2:$C$200,MATCH(E331,카테고리!$A$2:$A$200,0)),"N"))</f>
        <v>N</v>
      </c>
      <c r="H331" s="34" t="s">
        <v>73</v>
      </c>
      <c r="I331" s="34" t="s">
        <v>74</v>
      </c>
      <c r="J331" s="34" t="s">
        <v>75</v>
      </c>
      <c r="K331" s="37"/>
      <c r="L331" s="36" t="n">
        <f aca="false">IF(A331="","",YEAR(A331)*100+MONTH(A331))</f>
        <v>202603</v>
      </c>
    </row>
    <row r="332" customFormat="false" ht="15" hidden="false" customHeight="false" outlineLevel="0" collapsed="false">
      <c r="A332" s="32" t="n">
        <v>46107</v>
      </c>
      <c r="B332" s="33" t="str">
        <f aca="false">IF(A332="","",TEXT(A332,"yyyy-mm"))</f>
        <v>2026-03</v>
      </c>
      <c r="C332" s="34" t="s">
        <v>158</v>
      </c>
      <c r="D332" s="35" t="n">
        <v>78890</v>
      </c>
      <c r="E332" s="34" t="s">
        <v>89</v>
      </c>
      <c r="F332" s="33" t="str">
        <f aca="false">IF(E332="","",IFERROR(INDEX(카테고리!$B$2:$B$200,MATCH(E332,카테고리!$A$2:$A$200,0)),"미분류"))</f>
        <v>변동비</v>
      </c>
      <c r="G332" s="33" t="str">
        <f aca="false">IF(E332="","",IFERROR(INDEX(카테고리!$C$2:$C$200,MATCH(E332,카테고리!$A$2:$A$200,0)),"N"))</f>
        <v>N</v>
      </c>
      <c r="H332" s="34" t="s">
        <v>81</v>
      </c>
      <c r="I332" s="34" t="s">
        <v>90</v>
      </c>
      <c r="J332" s="34" t="s">
        <v>75</v>
      </c>
      <c r="K332" s="37"/>
      <c r="L332" s="36" t="n">
        <f aca="false">IF(A332="","",YEAR(A332)*100+MONTH(A332))</f>
        <v>202603</v>
      </c>
    </row>
    <row r="333" customFormat="false" ht="15" hidden="false" customHeight="false" outlineLevel="0" collapsed="false">
      <c r="A333" s="32" t="n">
        <v>46107</v>
      </c>
      <c r="B333" s="33" t="str">
        <f aca="false">IF(A333="","",TEXT(A333,"yyyy-mm"))</f>
        <v>2026-03</v>
      </c>
      <c r="C333" s="34" t="s">
        <v>137</v>
      </c>
      <c r="D333" s="35" t="n">
        <v>300000</v>
      </c>
      <c r="E333" s="34" t="s">
        <v>134</v>
      </c>
      <c r="F333" s="33" t="str">
        <f aca="false">IF(E333="","",IFERROR(INDEX(카테고리!$B$2:$B$200,MATCH(E333,카테고리!$A$2:$A$200,0)),"미분류"))</f>
        <v>자본이동</v>
      </c>
      <c r="G333" s="33" t="str">
        <f aca="false">IF(E333="","",IFERROR(INDEX(카테고리!$C$2:$C$200,MATCH(E333,카테고리!$A$2:$A$200,0)),"N"))</f>
        <v>N</v>
      </c>
      <c r="H333" s="34" t="s">
        <v>78</v>
      </c>
      <c r="I333" s="34" t="s">
        <v>98</v>
      </c>
      <c r="J333" s="34" t="s">
        <v>75</v>
      </c>
      <c r="K333" s="37"/>
      <c r="L333" s="36" t="n">
        <f aca="false">IF(A333="","",YEAR(A333)*100+MONTH(A333))</f>
        <v>202603</v>
      </c>
    </row>
    <row r="334" customFormat="false" ht="15" hidden="false" customHeight="false" outlineLevel="0" collapsed="false">
      <c r="A334" s="32" t="n">
        <v>46107</v>
      </c>
      <c r="B334" s="33" t="str">
        <f aca="false">IF(A334="","",TEXT(A334,"yyyy-mm"))</f>
        <v>2026-03</v>
      </c>
      <c r="C334" s="34" t="s">
        <v>138</v>
      </c>
      <c r="D334" s="35" t="n">
        <v>300000</v>
      </c>
      <c r="E334" s="34" t="s">
        <v>139</v>
      </c>
      <c r="F334" s="33" t="str">
        <f aca="false">IF(E334="","",IFERROR(INDEX(카테고리!$B$2:$B$200,MATCH(E334,카테고리!$A$2:$A$200,0)),"미분류"))</f>
        <v>자본이동</v>
      </c>
      <c r="G334" s="33" t="str">
        <f aca="false">IF(E334="","",IFERROR(INDEX(카테고리!$C$2:$C$200,MATCH(E334,카테고리!$A$2:$A$200,0)),"N"))</f>
        <v>N</v>
      </c>
      <c r="H334" s="34" t="s">
        <v>81</v>
      </c>
      <c r="I334" s="34" t="s">
        <v>98</v>
      </c>
      <c r="J334" s="34" t="s">
        <v>75</v>
      </c>
      <c r="K334" s="37"/>
      <c r="L334" s="36" t="n">
        <f aca="false">IF(A334="","",YEAR(A334)*100+MONTH(A334))</f>
        <v>202603</v>
      </c>
    </row>
    <row r="335" customFormat="false" ht="15" hidden="false" customHeight="false" outlineLevel="0" collapsed="false">
      <c r="A335" s="32" t="n">
        <v>46107</v>
      </c>
      <c r="B335" s="33" t="str">
        <f aca="false">IF(A335="","",TEXT(A335,"yyyy-mm"))</f>
        <v>2026-03</v>
      </c>
      <c r="C335" s="34" t="s">
        <v>140</v>
      </c>
      <c r="D335" s="35" t="n">
        <v>100000</v>
      </c>
      <c r="E335" s="34" t="s">
        <v>139</v>
      </c>
      <c r="F335" s="33" t="str">
        <f aca="false">IF(E335="","",IFERROR(INDEX(카테고리!$B$2:$B$200,MATCH(E335,카테고리!$A$2:$A$200,0)),"미분류"))</f>
        <v>자본이동</v>
      </c>
      <c r="G335" s="33" t="str">
        <f aca="false">IF(E335="","",IFERROR(INDEX(카테고리!$C$2:$C$200,MATCH(E335,카테고리!$A$2:$A$200,0)),"N"))</f>
        <v>N</v>
      </c>
      <c r="H335" s="34" t="s">
        <v>78</v>
      </c>
      <c r="I335" s="34" t="s">
        <v>98</v>
      </c>
      <c r="J335" s="34" t="s">
        <v>75</v>
      </c>
      <c r="K335" s="37"/>
      <c r="L335" s="36" t="n">
        <f aca="false">IF(A335="","",YEAR(A335)*100+MONTH(A335))</f>
        <v>202603</v>
      </c>
    </row>
    <row r="336" customFormat="false" ht="15" hidden="false" customHeight="false" outlineLevel="0" collapsed="false">
      <c r="A336" s="32" t="n">
        <v>46107</v>
      </c>
      <c r="B336" s="33" t="str">
        <f aca="false">IF(A336="","",TEXT(A336,"yyyy-mm"))</f>
        <v>2026-03</v>
      </c>
      <c r="C336" s="34" t="s">
        <v>141</v>
      </c>
      <c r="D336" s="35" t="n">
        <v>850000</v>
      </c>
      <c r="E336" s="34" t="s">
        <v>136</v>
      </c>
      <c r="F336" s="33" t="str">
        <f aca="false">IF(E336="","",IFERROR(INDEX(카테고리!$B$2:$B$200,MATCH(E336,카테고리!$A$2:$A$200,0)),"미분류"))</f>
        <v>자본이동</v>
      </c>
      <c r="G336" s="33" t="str">
        <f aca="false">IF(E336="","",IFERROR(INDEX(카테고리!$C$2:$C$200,MATCH(E336,카테고리!$A$2:$A$200,0)),"N"))</f>
        <v>N</v>
      </c>
      <c r="H336" s="34" t="s">
        <v>78</v>
      </c>
      <c r="I336" s="34" t="s">
        <v>74</v>
      </c>
      <c r="J336" s="34" t="s">
        <v>75</v>
      </c>
      <c r="K336" s="37"/>
      <c r="L336" s="36" t="n">
        <f aca="false">IF(A336="","",YEAR(A336)*100+MONTH(A336))</f>
        <v>202603</v>
      </c>
    </row>
    <row r="337" customFormat="false" ht="15" hidden="false" customHeight="false" outlineLevel="0" collapsed="false">
      <c r="A337" s="32" t="n">
        <v>46107</v>
      </c>
      <c r="B337" s="33" t="str">
        <f aca="false">IF(A337="","",TEXT(A337,"yyyy-mm"))</f>
        <v>2026-03</v>
      </c>
      <c r="C337" s="34" t="s">
        <v>142</v>
      </c>
      <c r="D337" s="35" t="n">
        <v>200000</v>
      </c>
      <c r="E337" s="34" t="s">
        <v>136</v>
      </c>
      <c r="F337" s="33" t="str">
        <f aca="false">IF(E337="","",IFERROR(INDEX(카테고리!$B$2:$B$200,MATCH(E337,카테고리!$A$2:$A$200,0)),"미분류"))</f>
        <v>자본이동</v>
      </c>
      <c r="G337" s="33" t="str">
        <f aca="false">IF(E337="","",IFERROR(INDEX(카테고리!$C$2:$C$200,MATCH(E337,카테고리!$A$2:$A$200,0)),"N"))</f>
        <v>N</v>
      </c>
      <c r="H337" s="34" t="s">
        <v>81</v>
      </c>
      <c r="I337" s="34" t="s">
        <v>74</v>
      </c>
      <c r="J337" s="34" t="s">
        <v>75</v>
      </c>
      <c r="K337" s="37"/>
      <c r="L337" s="36" t="n">
        <f aca="false">IF(A337="","",YEAR(A337)*100+MONTH(A337))</f>
        <v>202603</v>
      </c>
    </row>
    <row r="338" customFormat="false" ht="15" hidden="false" customHeight="false" outlineLevel="0" collapsed="false">
      <c r="A338" s="32" t="n">
        <v>46108</v>
      </c>
      <c r="B338" s="33" t="str">
        <f aca="false">IF(A338="","",TEXT(A338,"yyyy-mm"))</f>
        <v>2026-03</v>
      </c>
      <c r="C338" s="34" t="s">
        <v>91</v>
      </c>
      <c r="D338" s="35" t="n">
        <v>55050</v>
      </c>
      <c r="E338" s="34" t="s">
        <v>92</v>
      </c>
      <c r="F338" s="33" t="str">
        <f aca="false">IF(E338="","",IFERROR(INDEX(카테고리!$B$2:$B$200,MATCH(E338,카테고리!$A$2:$A$200,0)),"미분류"))</f>
        <v>변동비</v>
      </c>
      <c r="G338" s="33" t="str">
        <f aca="false">IF(E338="","",IFERROR(INDEX(카테고리!$C$2:$C$200,MATCH(E338,카테고리!$A$2:$A$200,0)),"N"))</f>
        <v>Y</v>
      </c>
      <c r="H338" s="34" t="s">
        <v>81</v>
      </c>
      <c r="I338" s="34" t="s">
        <v>82</v>
      </c>
      <c r="J338" s="34" t="s">
        <v>75</v>
      </c>
      <c r="K338" s="37"/>
      <c r="L338" s="36" t="n">
        <f aca="false">IF(A338="","",YEAR(A338)*100+MONTH(A338))</f>
        <v>202603</v>
      </c>
    </row>
    <row r="339" customFormat="false" ht="15" hidden="false" customHeight="false" outlineLevel="0" collapsed="false">
      <c r="A339" s="32" t="n">
        <v>46108</v>
      </c>
      <c r="B339" s="33" t="str">
        <f aca="false">IF(A339="","",TEXT(A339,"yyyy-mm"))</f>
        <v>2026-03</v>
      </c>
      <c r="C339" s="34" t="s">
        <v>110</v>
      </c>
      <c r="D339" s="35" t="n">
        <v>23860</v>
      </c>
      <c r="E339" s="34" t="s">
        <v>85</v>
      </c>
      <c r="F339" s="33" t="str">
        <f aca="false">IF(E339="","",IFERROR(INDEX(카테고리!$B$2:$B$200,MATCH(E339,카테고리!$A$2:$A$200,0)),"미분류"))</f>
        <v>변동비</v>
      </c>
      <c r="G339" s="33" t="str">
        <f aca="false">IF(E339="","",IFERROR(INDEX(카테고리!$C$2:$C$200,MATCH(E339,카테고리!$A$2:$A$200,0)),"N"))</f>
        <v>Y</v>
      </c>
      <c r="H339" s="34" t="s">
        <v>78</v>
      </c>
      <c r="I339" s="34" t="s">
        <v>107</v>
      </c>
      <c r="J339" s="34" t="s">
        <v>75</v>
      </c>
      <c r="K339" s="37"/>
      <c r="L339" s="36" t="n">
        <f aca="false">IF(A339="","",YEAR(A339)*100+MONTH(A339))</f>
        <v>202603</v>
      </c>
    </row>
    <row r="340" customFormat="false" ht="15" hidden="false" customHeight="false" outlineLevel="0" collapsed="false">
      <c r="A340" s="32" t="n">
        <v>46109</v>
      </c>
      <c r="B340" s="33" t="str">
        <f aca="false">IF(A340="","",TEXT(A340,"yyyy-mm"))</f>
        <v>2026-03</v>
      </c>
      <c r="C340" s="34" t="s">
        <v>86</v>
      </c>
      <c r="D340" s="35" t="n">
        <v>54910</v>
      </c>
      <c r="E340" s="34" t="s">
        <v>87</v>
      </c>
      <c r="F340" s="33" t="str">
        <f aca="false">IF(E340="","",IFERROR(INDEX(카테고리!$B$2:$B$200,MATCH(E340,카테고리!$A$2:$A$200,0)),"미분류"))</f>
        <v>변동비</v>
      </c>
      <c r="G340" s="33" t="str">
        <f aca="false">IF(E340="","",IFERROR(INDEX(카테고리!$C$2:$C$200,MATCH(E340,카테고리!$A$2:$A$200,0)),"N"))</f>
        <v>Y</v>
      </c>
      <c r="H340" s="34" t="s">
        <v>81</v>
      </c>
      <c r="I340" s="34" t="s">
        <v>82</v>
      </c>
      <c r="J340" s="34" t="s">
        <v>75</v>
      </c>
      <c r="K340" s="37"/>
      <c r="L340" s="36" t="n">
        <f aca="false">IF(A340="","",YEAR(A340)*100+MONTH(A340))</f>
        <v>202603</v>
      </c>
    </row>
    <row r="341" customFormat="false" ht="15" hidden="false" customHeight="false" outlineLevel="0" collapsed="false">
      <c r="A341" s="32" t="n">
        <v>46109</v>
      </c>
      <c r="B341" s="33" t="str">
        <f aca="false">IF(A341="","",TEXT(A341,"yyyy-mm"))</f>
        <v>2026-03</v>
      </c>
      <c r="C341" s="34" t="s">
        <v>143</v>
      </c>
      <c r="D341" s="35" t="n">
        <v>21500</v>
      </c>
      <c r="E341" s="34" t="s">
        <v>144</v>
      </c>
      <c r="F341" s="33" t="str">
        <f aca="false">IF(E341="","",IFERROR(INDEX(카테고리!$B$2:$B$200,MATCH(E341,카테고리!$A$2:$A$200,0)),"미분류"))</f>
        <v>소득</v>
      </c>
      <c r="G341" s="33" t="str">
        <f aca="false">IF(E341="","",IFERROR(INDEX(카테고리!$C$2:$C$200,MATCH(E341,카테고리!$A$2:$A$200,0)),"N"))</f>
        <v>N</v>
      </c>
      <c r="H341" s="34" t="s">
        <v>81</v>
      </c>
      <c r="I341" s="34" t="s">
        <v>131</v>
      </c>
      <c r="J341" s="34" t="s">
        <v>75</v>
      </c>
      <c r="K341" s="37"/>
      <c r="L341" s="36" t="n">
        <f aca="false">IF(A341="","",YEAR(A341)*100+MONTH(A341))</f>
        <v>202603</v>
      </c>
    </row>
    <row r="342" customFormat="false" ht="15" hidden="false" customHeight="false" outlineLevel="0" collapsed="false">
      <c r="A342" s="32" t="n">
        <v>46113</v>
      </c>
      <c r="B342" s="33" t="str">
        <f aca="false">IF(A342="","",TEXT(A342,"yyyy-mm"))</f>
        <v>2026-04</v>
      </c>
      <c r="C342" s="34" t="s">
        <v>86</v>
      </c>
      <c r="D342" s="35" t="n">
        <v>87380</v>
      </c>
      <c r="E342" s="34" t="s">
        <v>87</v>
      </c>
      <c r="F342" s="33" t="str">
        <f aca="false">IF(E342="","",IFERROR(INDEX(카테고리!$B$2:$B$200,MATCH(E342,카테고리!$A$2:$A$200,0)),"미분류"))</f>
        <v>변동비</v>
      </c>
      <c r="G342" s="33" t="str">
        <f aca="false">IF(E342="","",IFERROR(INDEX(카테고리!$C$2:$C$200,MATCH(E342,카테고리!$A$2:$A$200,0)),"N"))</f>
        <v>Y</v>
      </c>
      <c r="H342" s="34" t="s">
        <v>81</v>
      </c>
      <c r="I342" s="34" t="s">
        <v>82</v>
      </c>
      <c r="J342" s="34" t="s">
        <v>75</v>
      </c>
      <c r="K342" s="37"/>
      <c r="L342" s="36" t="n">
        <f aca="false">IF(A342="","",YEAR(A342)*100+MONTH(A342))</f>
        <v>202604</v>
      </c>
    </row>
    <row r="343" customFormat="false" ht="15" hidden="false" customHeight="false" outlineLevel="0" collapsed="false">
      <c r="A343" s="32" t="n">
        <v>46113</v>
      </c>
      <c r="B343" s="33" t="str">
        <f aca="false">IF(A343="","",TEXT(A343,"yyyy-mm"))</f>
        <v>2026-04</v>
      </c>
      <c r="C343" s="34" t="s">
        <v>71</v>
      </c>
      <c r="D343" s="35" t="n">
        <v>300000</v>
      </c>
      <c r="E343" s="34" t="s">
        <v>72</v>
      </c>
      <c r="F343" s="33" t="str">
        <f aca="false">IF(E343="","",IFERROR(INDEX(카테고리!$B$2:$B$200,MATCH(E343,카테고리!$A$2:$A$200,0)),"미분류"))</f>
        <v>변동비</v>
      </c>
      <c r="G343" s="33" t="str">
        <f aca="false">IF(E343="","",IFERROR(INDEX(카테고리!$C$2:$C$200,MATCH(E343,카테고리!$A$2:$A$200,0)),"N"))</f>
        <v>N</v>
      </c>
      <c r="H343" s="34" t="s">
        <v>73</v>
      </c>
      <c r="I343" s="34" t="s">
        <v>74</v>
      </c>
      <c r="J343" s="34" t="s">
        <v>75</v>
      </c>
      <c r="K343" s="37"/>
      <c r="L343" s="36" t="n">
        <f aca="false">IF(A343="","",YEAR(A343)*100+MONTH(A343))</f>
        <v>202604</v>
      </c>
    </row>
    <row r="344" customFormat="false" ht="15" hidden="false" customHeight="false" outlineLevel="0" collapsed="false">
      <c r="A344" s="32" t="n">
        <v>46113</v>
      </c>
      <c r="B344" s="33" t="str">
        <f aca="false">IF(A344="","",TEXT(A344,"yyyy-mm"))</f>
        <v>2026-04</v>
      </c>
      <c r="C344" s="34" t="s">
        <v>77</v>
      </c>
      <c r="D344" s="35" t="n">
        <v>300000</v>
      </c>
      <c r="E344" s="34" t="s">
        <v>72</v>
      </c>
      <c r="F344" s="33" t="str">
        <f aca="false">IF(E344="","",IFERROR(INDEX(카테고리!$B$2:$B$200,MATCH(E344,카테고리!$A$2:$A$200,0)),"미분류"))</f>
        <v>변동비</v>
      </c>
      <c r="G344" s="33" t="str">
        <f aca="false">IF(E344="","",IFERROR(INDEX(카테고리!$C$2:$C$200,MATCH(E344,카테고리!$A$2:$A$200,0)),"N"))</f>
        <v>N</v>
      </c>
      <c r="H344" s="34" t="s">
        <v>78</v>
      </c>
      <c r="I344" s="34" t="s">
        <v>74</v>
      </c>
      <c r="J344" s="34" t="s">
        <v>75</v>
      </c>
      <c r="K344" s="37"/>
      <c r="L344" s="36" t="n">
        <f aca="false">IF(A344="","",YEAR(A344)*100+MONTH(A344))</f>
        <v>202604</v>
      </c>
    </row>
    <row r="345" customFormat="false" ht="15" hidden="false" customHeight="false" outlineLevel="0" collapsed="false">
      <c r="A345" s="32" t="n">
        <v>46113</v>
      </c>
      <c r="B345" s="33" t="str">
        <f aca="false">IF(A345="","",TEXT(A345,"yyyy-mm"))</f>
        <v>2026-04</v>
      </c>
      <c r="C345" s="34" t="s">
        <v>79</v>
      </c>
      <c r="D345" s="35" t="n">
        <v>140000</v>
      </c>
      <c r="E345" s="34" t="s">
        <v>80</v>
      </c>
      <c r="F345" s="33" t="str">
        <f aca="false">IF(E345="","",IFERROR(INDEX(카테고리!$B$2:$B$200,MATCH(E345,카테고리!$A$2:$A$200,0)),"미분류"))</f>
        <v>고정비</v>
      </c>
      <c r="G345" s="33" t="str">
        <f aca="false">IF(E345="","",IFERROR(INDEX(카테고리!$C$2:$C$200,MATCH(E345,카테고리!$A$2:$A$200,0)),"N"))</f>
        <v>Y</v>
      </c>
      <c r="H345" s="34" t="s">
        <v>81</v>
      </c>
      <c r="I345" s="34" t="s">
        <v>82</v>
      </c>
      <c r="J345" s="34" t="s">
        <v>75</v>
      </c>
      <c r="K345" s="37"/>
      <c r="L345" s="36" t="n">
        <f aca="false">IF(A345="","",YEAR(A345)*100+MONTH(A345))</f>
        <v>202604</v>
      </c>
    </row>
    <row r="346" customFormat="false" ht="15" hidden="false" customHeight="false" outlineLevel="0" collapsed="false">
      <c r="A346" s="32" t="n">
        <v>46113</v>
      </c>
      <c r="B346" s="33" t="str">
        <f aca="false">IF(A346="","",TEXT(A346,"yyyy-mm"))</f>
        <v>2026-04</v>
      </c>
      <c r="C346" s="34" t="s">
        <v>110</v>
      </c>
      <c r="D346" s="35" t="n">
        <v>19180</v>
      </c>
      <c r="E346" s="34" t="s">
        <v>85</v>
      </c>
      <c r="F346" s="33" t="str">
        <f aca="false">IF(E346="","",IFERROR(INDEX(카테고리!$B$2:$B$200,MATCH(E346,카테고리!$A$2:$A$200,0)),"미분류"))</f>
        <v>변동비</v>
      </c>
      <c r="G346" s="33" t="str">
        <f aca="false">IF(E346="","",IFERROR(INDEX(카테고리!$C$2:$C$200,MATCH(E346,카테고리!$A$2:$A$200,0)),"N"))</f>
        <v>Y</v>
      </c>
      <c r="H346" s="34" t="s">
        <v>78</v>
      </c>
      <c r="I346" s="34" t="s">
        <v>107</v>
      </c>
      <c r="J346" s="34" t="s">
        <v>75</v>
      </c>
      <c r="K346" s="37"/>
      <c r="L346" s="36" t="n">
        <f aca="false">IF(A346="","",YEAR(A346)*100+MONTH(A346))</f>
        <v>202604</v>
      </c>
    </row>
    <row r="347" customFormat="false" ht="15" hidden="false" customHeight="false" outlineLevel="0" collapsed="false">
      <c r="A347" s="32" t="n">
        <v>46113</v>
      </c>
      <c r="B347" s="33" t="str">
        <f aca="false">IF(A347="","",TEXT(A347,"yyyy-mm"))</f>
        <v>2026-04</v>
      </c>
      <c r="C347" s="34" t="s">
        <v>83</v>
      </c>
      <c r="D347" s="35" t="n">
        <v>380000</v>
      </c>
      <c r="E347" s="34" t="s">
        <v>80</v>
      </c>
      <c r="F347" s="33" t="str">
        <f aca="false">IF(E347="","",IFERROR(INDEX(카테고리!$B$2:$B$200,MATCH(E347,카테고리!$A$2:$A$200,0)),"미분류"))</f>
        <v>고정비</v>
      </c>
      <c r="G347" s="33" t="str">
        <f aca="false">IF(E347="","",IFERROR(INDEX(카테고리!$C$2:$C$200,MATCH(E347,카테고리!$A$2:$A$200,0)),"N"))</f>
        <v>Y</v>
      </c>
      <c r="H347" s="34" t="s">
        <v>81</v>
      </c>
      <c r="I347" s="34" t="s">
        <v>82</v>
      </c>
      <c r="J347" s="34" t="s">
        <v>75</v>
      </c>
      <c r="K347" s="37"/>
      <c r="L347" s="36" t="n">
        <f aca="false">IF(A347="","",YEAR(A347)*100+MONTH(A347))</f>
        <v>202604</v>
      </c>
    </row>
    <row r="348" customFormat="false" ht="15" hidden="false" customHeight="false" outlineLevel="0" collapsed="false">
      <c r="A348" s="32" t="n">
        <v>46114</v>
      </c>
      <c r="B348" s="33" t="str">
        <f aca="false">IF(A348="","",TEXT(A348,"yyyy-mm"))</f>
        <v>2026-04</v>
      </c>
      <c r="C348" s="37" t="s">
        <v>84</v>
      </c>
      <c r="D348" s="35" t="n">
        <v>71320</v>
      </c>
      <c r="E348" s="34" t="s">
        <v>85</v>
      </c>
      <c r="F348" s="33" t="str">
        <f aca="false">IF(E348="","",IFERROR(INDEX(카테고리!$B$2:$B$200,MATCH(E348,카테고리!$A$2:$A$200,0)),"미분류"))</f>
        <v>변동비</v>
      </c>
      <c r="G348" s="33" t="str">
        <f aca="false">IF(E348="","",IFERROR(INDEX(카테고리!$C$2:$C$200,MATCH(E348,카테고리!$A$2:$A$200,0)),"N"))</f>
        <v>Y</v>
      </c>
      <c r="H348" s="34" t="s">
        <v>81</v>
      </c>
      <c r="I348" s="34" t="s">
        <v>82</v>
      </c>
      <c r="J348" s="34" t="s">
        <v>75</v>
      </c>
      <c r="K348" s="37"/>
      <c r="L348" s="36" t="n">
        <f aca="false">IF(A348="","",YEAR(A348)*100+MONTH(A348))</f>
        <v>202604</v>
      </c>
    </row>
    <row r="349" customFormat="false" ht="15" hidden="false" customHeight="false" outlineLevel="0" collapsed="false">
      <c r="A349" s="32" t="n">
        <v>46114</v>
      </c>
      <c r="B349" s="33" t="str">
        <f aca="false">IF(A349="","",TEXT(A349,"yyyy-mm"))</f>
        <v>2026-04</v>
      </c>
      <c r="C349" s="34" t="s">
        <v>146</v>
      </c>
      <c r="D349" s="35" t="n">
        <v>82110</v>
      </c>
      <c r="E349" s="34" t="s">
        <v>92</v>
      </c>
      <c r="F349" s="33" t="str">
        <f aca="false">IF(E349="","",IFERROR(INDEX(카테고리!$B$2:$B$200,MATCH(E349,카테고리!$A$2:$A$200,0)),"미분류"))</f>
        <v>변동비</v>
      </c>
      <c r="G349" s="33" t="str">
        <f aca="false">IF(E349="","",IFERROR(INDEX(카테고리!$C$2:$C$200,MATCH(E349,카테고리!$A$2:$A$200,0)),"N"))</f>
        <v>Y</v>
      </c>
      <c r="H349" s="34" t="s">
        <v>81</v>
      </c>
      <c r="I349" s="34" t="s">
        <v>82</v>
      </c>
      <c r="J349" s="34" t="s">
        <v>75</v>
      </c>
      <c r="K349" s="37"/>
      <c r="L349" s="36" t="n">
        <f aca="false">IF(A349="","",YEAR(A349)*100+MONTH(A349))</f>
        <v>202604</v>
      </c>
    </row>
    <row r="350" customFormat="false" ht="15" hidden="false" customHeight="false" outlineLevel="0" collapsed="false">
      <c r="A350" s="32" t="n">
        <v>46115</v>
      </c>
      <c r="B350" s="33" t="str">
        <f aca="false">IF(A350="","",TEXT(A350,"yyyy-mm"))</f>
        <v>2026-04</v>
      </c>
      <c r="C350" s="34" t="s">
        <v>94</v>
      </c>
      <c r="D350" s="35" t="n">
        <v>50000</v>
      </c>
      <c r="E350" s="34" t="s">
        <v>85</v>
      </c>
      <c r="F350" s="33" t="str">
        <f aca="false">IF(E350="","",IFERROR(INDEX(카테고리!$B$2:$B$200,MATCH(E350,카테고리!$A$2:$A$200,0)),"미분류"))</f>
        <v>변동비</v>
      </c>
      <c r="G350" s="33" t="str">
        <f aca="false">IF(E350="","",IFERROR(INDEX(카테고리!$C$2:$C$200,MATCH(E350,카테고리!$A$2:$A$200,0)),"N"))</f>
        <v>Y</v>
      </c>
      <c r="H350" s="34" t="s">
        <v>73</v>
      </c>
      <c r="I350" s="34" t="s">
        <v>90</v>
      </c>
      <c r="J350" s="34" t="s">
        <v>75</v>
      </c>
      <c r="K350" s="37"/>
      <c r="L350" s="36" t="n">
        <f aca="false">IF(A350="","",YEAR(A350)*100+MONTH(A350))</f>
        <v>202604</v>
      </c>
    </row>
    <row r="351" customFormat="false" ht="15" hidden="false" customHeight="false" outlineLevel="0" collapsed="false">
      <c r="A351" s="32" t="n">
        <v>46117</v>
      </c>
      <c r="B351" s="33" t="str">
        <f aca="false">IF(A351="","",TEXT(A351,"yyyy-mm"))</f>
        <v>2026-04</v>
      </c>
      <c r="C351" s="34" t="s">
        <v>88</v>
      </c>
      <c r="D351" s="35" t="n">
        <v>78520</v>
      </c>
      <c r="E351" s="34" t="s">
        <v>89</v>
      </c>
      <c r="F351" s="33" t="str">
        <f aca="false">IF(E351="","",IFERROR(INDEX(카테고리!$B$2:$B$200,MATCH(E351,카테고리!$A$2:$A$200,0)),"미분류"))</f>
        <v>변동비</v>
      </c>
      <c r="G351" s="33" t="str">
        <f aca="false">IF(E351="","",IFERROR(INDEX(카테고리!$C$2:$C$200,MATCH(E351,카테고리!$A$2:$A$200,0)),"N"))</f>
        <v>N</v>
      </c>
      <c r="H351" s="34" t="s">
        <v>81</v>
      </c>
      <c r="I351" s="34" t="s">
        <v>82</v>
      </c>
      <c r="J351" s="34" t="s">
        <v>75</v>
      </c>
      <c r="K351" s="37"/>
      <c r="L351" s="36" t="n">
        <f aca="false">IF(A351="","",YEAR(A351)*100+MONTH(A351))</f>
        <v>202604</v>
      </c>
    </row>
    <row r="352" customFormat="false" ht="15" hidden="false" customHeight="false" outlineLevel="0" collapsed="false">
      <c r="A352" s="32" t="n">
        <v>46117</v>
      </c>
      <c r="B352" s="33" t="str">
        <f aca="false">IF(A352="","",TEXT(A352,"yyyy-mm"))</f>
        <v>2026-04</v>
      </c>
      <c r="C352" s="34" t="s">
        <v>96</v>
      </c>
      <c r="D352" s="35" t="n">
        <v>300000</v>
      </c>
      <c r="E352" s="34" t="s">
        <v>97</v>
      </c>
      <c r="F352" s="33" t="str">
        <f aca="false">IF(E352="","",IFERROR(INDEX(카테고리!$B$2:$B$200,MATCH(E352,카테고리!$A$2:$A$200,0)),"미분류"))</f>
        <v>자본이동</v>
      </c>
      <c r="G352" s="33" t="str">
        <f aca="false">IF(E352="","",IFERROR(INDEX(카테고리!$C$2:$C$200,MATCH(E352,카테고리!$A$2:$A$200,0)),"N"))</f>
        <v>N</v>
      </c>
      <c r="H352" s="34" t="s">
        <v>78</v>
      </c>
      <c r="I352" s="34" t="s">
        <v>98</v>
      </c>
      <c r="J352" s="34" t="s">
        <v>75</v>
      </c>
      <c r="K352" s="37"/>
      <c r="L352" s="36" t="n">
        <f aca="false">IF(A352="","",YEAR(A352)*100+MONTH(A352))</f>
        <v>202604</v>
      </c>
    </row>
    <row r="353" customFormat="false" ht="15" hidden="false" customHeight="false" outlineLevel="0" collapsed="false">
      <c r="A353" s="32" t="n">
        <v>46117</v>
      </c>
      <c r="B353" s="33" t="str">
        <f aca="false">IF(A353="","",TEXT(A353,"yyyy-mm"))</f>
        <v>2026-04</v>
      </c>
      <c r="C353" s="34" t="s">
        <v>99</v>
      </c>
      <c r="D353" s="35" t="n">
        <v>74200</v>
      </c>
      <c r="E353" s="34" t="s">
        <v>100</v>
      </c>
      <c r="F353" s="33" t="str">
        <f aca="false">IF(E353="","",IFERROR(INDEX(카테고리!$B$2:$B$200,MATCH(E353,카테고리!$A$2:$A$200,0)),"미분류"))</f>
        <v>고정비</v>
      </c>
      <c r="G353" s="33" t="str">
        <f aca="false">IF(E353="","",IFERROR(INDEX(카테고리!$C$2:$C$200,MATCH(E353,카테고리!$A$2:$A$200,0)),"N"))</f>
        <v>Y</v>
      </c>
      <c r="H353" s="34" t="s">
        <v>78</v>
      </c>
      <c r="I353" s="34" t="s">
        <v>98</v>
      </c>
      <c r="J353" s="34" t="s">
        <v>75</v>
      </c>
      <c r="K353" s="37"/>
      <c r="L353" s="36" t="n">
        <f aca="false">IF(A353="","",YEAR(A353)*100+MONTH(A353))</f>
        <v>202604</v>
      </c>
    </row>
    <row r="354" customFormat="false" ht="15" hidden="false" customHeight="false" outlineLevel="0" collapsed="false">
      <c r="A354" s="32" t="n">
        <v>46117</v>
      </c>
      <c r="B354" s="33" t="str">
        <f aca="false">IF(A354="","",TEXT(A354,"yyyy-mm"))</f>
        <v>2026-04</v>
      </c>
      <c r="C354" s="34" t="s">
        <v>101</v>
      </c>
      <c r="D354" s="35" t="n">
        <v>600000</v>
      </c>
      <c r="E354" s="34" t="s">
        <v>97</v>
      </c>
      <c r="F354" s="33" t="str">
        <f aca="false">IF(E354="","",IFERROR(INDEX(카테고리!$B$2:$B$200,MATCH(E354,카테고리!$A$2:$A$200,0)),"미분류"))</f>
        <v>자본이동</v>
      </c>
      <c r="G354" s="33" t="str">
        <f aca="false">IF(E354="","",IFERROR(INDEX(카테고리!$C$2:$C$200,MATCH(E354,카테고리!$A$2:$A$200,0)),"N"))</f>
        <v>N</v>
      </c>
      <c r="H354" s="34" t="s">
        <v>81</v>
      </c>
      <c r="I354" s="34" t="s">
        <v>98</v>
      </c>
      <c r="J354" s="34" t="s">
        <v>75</v>
      </c>
      <c r="K354" s="37"/>
      <c r="L354" s="36" t="n">
        <f aca="false">IF(A354="","",YEAR(A354)*100+MONTH(A354))</f>
        <v>202604</v>
      </c>
    </row>
    <row r="355" customFormat="false" ht="15" hidden="false" customHeight="false" outlineLevel="0" collapsed="false">
      <c r="A355" s="32" t="n">
        <v>46117</v>
      </c>
      <c r="B355" s="33" t="str">
        <f aca="false">IF(A355="","",TEXT(A355,"yyyy-mm"))</f>
        <v>2026-04</v>
      </c>
      <c r="C355" s="34" t="s">
        <v>102</v>
      </c>
      <c r="D355" s="35" t="n">
        <v>993000</v>
      </c>
      <c r="E355" s="34" t="s">
        <v>100</v>
      </c>
      <c r="F355" s="33" t="str">
        <f aca="false">IF(E355="","",IFERROR(INDEX(카테고리!$B$2:$B$200,MATCH(E355,카테고리!$A$2:$A$200,0)),"미분류"))</f>
        <v>고정비</v>
      </c>
      <c r="G355" s="33" t="str">
        <f aca="false">IF(E355="","",IFERROR(INDEX(카테고리!$C$2:$C$200,MATCH(E355,카테고리!$A$2:$A$200,0)),"N"))</f>
        <v>Y</v>
      </c>
      <c r="H355" s="34" t="s">
        <v>81</v>
      </c>
      <c r="I355" s="34" t="s">
        <v>98</v>
      </c>
      <c r="J355" s="34" t="s">
        <v>75</v>
      </c>
      <c r="K355" s="37"/>
      <c r="L355" s="36" t="n">
        <f aca="false">IF(A355="","",YEAR(A355)*100+MONTH(A355))</f>
        <v>202604</v>
      </c>
    </row>
    <row r="356" customFormat="false" ht="15" hidden="false" customHeight="false" outlineLevel="0" collapsed="false">
      <c r="A356" s="32" t="n">
        <v>46117</v>
      </c>
      <c r="B356" s="33" t="str">
        <f aca="false">IF(A356="","",TEXT(A356,"yyyy-mm"))</f>
        <v>2026-04</v>
      </c>
      <c r="C356" s="34" t="s">
        <v>110</v>
      </c>
      <c r="D356" s="35" t="n">
        <v>12910</v>
      </c>
      <c r="E356" s="34" t="s">
        <v>85</v>
      </c>
      <c r="F356" s="33" t="str">
        <f aca="false">IF(E356="","",IFERROR(INDEX(카테고리!$B$2:$B$200,MATCH(E356,카테고리!$A$2:$A$200,0)),"미분류"))</f>
        <v>변동비</v>
      </c>
      <c r="G356" s="33" t="str">
        <f aca="false">IF(E356="","",IFERROR(INDEX(카테고리!$C$2:$C$200,MATCH(E356,카테고리!$A$2:$A$200,0)),"N"))</f>
        <v>Y</v>
      </c>
      <c r="H356" s="34" t="s">
        <v>78</v>
      </c>
      <c r="I356" s="34" t="s">
        <v>107</v>
      </c>
      <c r="J356" s="34" t="s">
        <v>75</v>
      </c>
      <c r="K356" s="37"/>
      <c r="L356" s="36" t="n">
        <f aca="false">IF(A356="","",YEAR(A356)*100+MONTH(A356))</f>
        <v>202604</v>
      </c>
    </row>
    <row r="357" customFormat="false" ht="15" hidden="false" customHeight="false" outlineLevel="0" collapsed="false">
      <c r="A357" s="32" t="n">
        <v>46119</v>
      </c>
      <c r="B357" s="33" t="str">
        <f aca="false">IF(A357="","",TEXT(A357,"yyyy-mm"))</f>
        <v>2026-04</v>
      </c>
      <c r="C357" s="34" t="s">
        <v>104</v>
      </c>
      <c r="D357" s="35" t="n">
        <v>17000</v>
      </c>
      <c r="E357" s="34" t="s">
        <v>105</v>
      </c>
      <c r="F357" s="33" t="str">
        <f aca="false">IF(E357="","",IFERROR(INDEX(카테고리!$B$2:$B$200,MATCH(E357,카테고리!$A$2:$A$200,0)),"미분류"))</f>
        <v>고정비</v>
      </c>
      <c r="G357" s="33" t="str">
        <f aca="false">IF(E357="","",IFERROR(INDEX(카테고리!$C$2:$C$200,MATCH(E357,카테고리!$A$2:$A$200,0)),"N"))</f>
        <v>N</v>
      </c>
      <c r="H357" s="34" t="s">
        <v>81</v>
      </c>
      <c r="I357" s="34" t="s">
        <v>82</v>
      </c>
      <c r="J357" s="34" t="s">
        <v>75</v>
      </c>
      <c r="K357" s="37"/>
      <c r="L357" s="36" t="n">
        <f aca="false">IF(A357="","",YEAR(A357)*100+MONTH(A357))</f>
        <v>202604</v>
      </c>
    </row>
    <row r="358" customFormat="false" ht="15" hidden="false" customHeight="false" outlineLevel="0" collapsed="false">
      <c r="A358" s="32" t="n">
        <v>46119</v>
      </c>
      <c r="B358" s="33" t="str">
        <f aca="false">IF(A358="","",TEXT(A358,"yyyy-mm"))</f>
        <v>2026-04</v>
      </c>
      <c r="C358" s="34" t="s">
        <v>106</v>
      </c>
      <c r="D358" s="35" t="n">
        <v>14900</v>
      </c>
      <c r="E358" s="34" t="s">
        <v>105</v>
      </c>
      <c r="F358" s="33" t="str">
        <f aca="false">IF(E358="","",IFERROR(INDEX(카테고리!$B$2:$B$200,MATCH(E358,카테고리!$A$2:$A$200,0)),"미분류"))</f>
        <v>고정비</v>
      </c>
      <c r="G358" s="33" t="str">
        <f aca="false">IF(E358="","",IFERROR(INDEX(카테고리!$C$2:$C$200,MATCH(E358,카테고리!$A$2:$A$200,0)),"N"))</f>
        <v>N</v>
      </c>
      <c r="H358" s="34" t="s">
        <v>78</v>
      </c>
      <c r="I358" s="34" t="s">
        <v>107</v>
      </c>
      <c r="J358" s="34" t="s">
        <v>75</v>
      </c>
      <c r="K358" s="37"/>
      <c r="L358" s="36" t="n">
        <f aca="false">IF(A358="","",YEAR(A358)*100+MONTH(A358))</f>
        <v>202604</v>
      </c>
    </row>
    <row r="359" customFormat="false" ht="15" hidden="false" customHeight="false" outlineLevel="0" collapsed="false">
      <c r="A359" s="32" t="n">
        <v>46119</v>
      </c>
      <c r="B359" s="33" t="str">
        <f aca="false">IF(A359="","",TEXT(A359,"yyyy-mm"))</f>
        <v>2026-04</v>
      </c>
      <c r="C359" s="34" t="s">
        <v>110</v>
      </c>
      <c r="D359" s="35" t="n">
        <v>22750</v>
      </c>
      <c r="E359" s="34" t="s">
        <v>85</v>
      </c>
      <c r="F359" s="33" t="str">
        <f aca="false">IF(E359="","",IFERROR(INDEX(카테고리!$B$2:$B$200,MATCH(E359,카테고리!$A$2:$A$200,0)),"미분류"))</f>
        <v>변동비</v>
      </c>
      <c r="G359" s="33" t="str">
        <f aca="false">IF(E359="","",IFERROR(INDEX(카테고리!$C$2:$C$200,MATCH(E359,카테고리!$A$2:$A$200,0)),"N"))</f>
        <v>Y</v>
      </c>
      <c r="H359" s="34" t="s">
        <v>78</v>
      </c>
      <c r="I359" s="34" t="s">
        <v>107</v>
      </c>
      <c r="J359" s="34" t="s">
        <v>75</v>
      </c>
      <c r="K359" s="37"/>
      <c r="L359" s="36" t="n">
        <f aca="false">IF(A359="","",YEAR(A359)*100+MONTH(A359))</f>
        <v>202604</v>
      </c>
    </row>
    <row r="360" customFormat="false" ht="15" hidden="false" customHeight="false" outlineLevel="0" collapsed="false">
      <c r="A360" s="32" t="n">
        <v>46119</v>
      </c>
      <c r="B360" s="33" t="str">
        <f aca="false">IF(A360="","",TEXT(A360,"yyyy-mm"))</f>
        <v>2026-04</v>
      </c>
      <c r="C360" s="34" t="s">
        <v>108</v>
      </c>
      <c r="D360" s="35" t="n">
        <v>7890</v>
      </c>
      <c r="E360" s="34" t="s">
        <v>105</v>
      </c>
      <c r="F360" s="33" t="str">
        <f aca="false">IF(E360="","",IFERROR(INDEX(카테고리!$B$2:$B$200,MATCH(E360,카테고리!$A$2:$A$200,0)),"미분류"))</f>
        <v>고정비</v>
      </c>
      <c r="G360" s="33" t="str">
        <f aca="false">IF(E360="","",IFERROR(INDEX(카테고리!$C$2:$C$200,MATCH(E360,카테고리!$A$2:$A$200,0)),"N"))</f>
        <v>N</v>
      </c>
      <c r="H360" s="34" t="s">
        <v>73</v>
      </c>
      <c r="I360" s="34" t="s">
        <v>90</v>
      </c>
      <c r="J360" s="34" t="s">
        <v>75</v>
      </c>
      <c r="K360" s="37"/>
      <c r="L360" s="36" t="n">
        <f aca="false">IF(A360="","",YEAR(A360)*100+MONTH(A360))</f>
        <v>202604</v>
      </c>
    </row>
    <row r="361" customFormat="false" ht="15" hidden="false" customHeight="false" outlineLevel="0" collapsed="false">
      <c r="A361" s="32" t="n">
        <v>46121</v>
      </c>
      <c r="B361" s="33" t="str">
        <f aca="false">IF(A361="","",TEXT(A361,"yyyy-mm"))</f>
        <v>2026-04</v>
      </c>
      <c r="C361" s="34" t="s">
        <v>115</v>
      </c>
      <c r="D361" s="35" t="n">
        <v>19000</v>
      </c>
      <c r="E361" s="34" t="s">
        <v>116</v>
      </c>
      <c r="F361" s="33" t="str">
        <f aca="false">IF(E361="","",IFERROR(INDEX(카테고리!$B$2:$B$200,MATCH(E361,카테고리!$A$2:$A$200,0)),"미분류"))</f>
        <v>변동비</v>
      </c>
      <c r="G361" s="33" t="str">
        <f aca="false">IF(E361="","",IFERROR(INDEX(카테고리!$C$2:$C$200,MATCH(E361,카테고리!$A$2:$A$200,0)),"N"))</f>
        <v>Y</v>
      </c>
      <c r="H361" s="34" t="s">
        <v>81</v>
      </c>
      <c r="I361" s="34" t="s">
        <v>82</v>
      </c>
      <c r="J361" s="34" t="s">
        <v>75</v>
      </c>
      <c r="K361" s="37"/>
      <c r="L361" s="36" t="n">
        <f aca="false">IF(A361="","",YEAR(A361)*100+MONTH(A361))</f>
        <v>202604</v>
      </c>
    </row>
    <row r="362" customFormat="false" ht="15" hidden="false" customHeight="false" outlineLevel="0" collapsed="false">
      <c r="A362" s="32" t="n">
        <v>46122</v>
      </c>
      <c r="B362" s="33" t="str">
        <f aca="false">IF(A362="","",TEXT(A362,"yyyy-mm"))</f>
        <v>2026-04</v>
      </c>
      <c r="C362" s="37" t="s">
        <v>149</v>
      </c>
      <c r="D362" s="35" t="n">
        <v>100850</v>
      </c>
      <c r="E362" s="34" t="s">
        <v>124</v>
      </c>
      <c r="F362" s="33" t="str">
        <f aca="false">IF(E362="","",IFERROR(INDEX(카테고리!$B$2:$B$200,MATCH(E362,카테고리!$A$2:$A$200,0)),"미분류"))</f>
        <v>변동비</v>
      </c>
      <c r="G362" s="33" t="str">
        <f aca="false">IF(E362="","",IFERROR(INDEX(카테고리!$C$2:$C$200,MATCH(E362,카테고리!$A$2:$A$200,0)),"N"))</f>
        <v>N</v>
      </c>
      <c r="H362" s="34" t="s">
        <v>78</v>
      </c>
      <c r="I362" s="34" t="s">
        <v>90</v>
      </c>
      <c r="J362" s="34" t="s">
        <v>75</v>
      </c>
      <c r="K362" s="37"/>
      <c r="L362" s="36" t="n">
        <f aca="false">IF(A362="","",YEAR(A362)*100+MONTH(A362))</f>
        <v>202604</v>
      </c>
    </row>
    <row r="363" customFormat="false" ht="15" hidden="false" customHeight="false" outlineLevel="0" collapsed="false">
      <c r="A363" s="32" t="n">
        <v>46122</v>
      </c>
      <c r="B363" s="33" t="str">
        <f aca="false">IF(A363="","",TEXT(A363,"yyyy-mm"))</f>
        <v>2026-04</v>
      </c>
      <c r="C363" s="37" t="s">
        <v>111</v>
      </c>
      <c r="D363" s="35" t="n">
        <v>68000</v>
      </c>
      <c r="E363" s="34" t="s">
        <v>112</v>
      </c>
      <c r="F363" s="33" t="str">
        <f aca="false">IF(E363="","",IFERROR(INDEX(카테고리!$B$2:$B$200,MATCH(E363,카테고리!$A$2:$A$200,0)),"미분류"))</f>
        <v>고정비</v>
      </c>
      <c r="G363" s="33" t="str">
        <f aca="false">IF(E363="","",IFERROR(INDEX(카테고리!$C$2:$C$200,MATCH(E363,카테고리!$A$2:$A$200,0)),"N"))</f>
        <v>Y</v>
      </c>
      <c r="H363" s="34" t="s">
        <v>81</v>
      </c>
      <c r="I363" s="34" t="s">
        <v>98</v>
      </c>
      <c r="J363" s="34" t="s">
        <v>75</v>
      </c>
      <c r="K363" s="37"/>
      <c r="L363" s="36" t="n">
        <f aca="false">IF(A363="","",YEAR(A363)*100+MONTH(A363))</f>
        <v>202604</v>
      </c>
    </row>
    <row r="364" customFormat="false" ht="15" hidden="false" customHeight="false" outlineLevel="0" collapsed="false">
      <c r="A364" s="32" t="n">
        <v>46122</v>
      </c>
      <c r="B364" s="33" t="str">
        <f aca="false">IF(A364="","",TEXT(A364,"yyyy-mm"))</f>
        <v>2026-04</v>
      </c>
      <c r="C364" s="34" t="s">
        <v>113</v>
      </c>
      <c r="D364" s="35" t="n">
        <v>172000</v>
      </c>
      <c r="E364" s="34" t="s">
        <v>112</v>
      </c>
      <c r="F364" s="33" t="str">
        <f aca="false">IF(E364="","",IFERROR(INDEX(카테고리!$B$2:$B$200,MATCH(E364,카테고리!$A$2:$A$200,0)),"미분류"))</f>
        <v>고정비</v>
      </c>
      <c r="G364" s="33" t="str">
        <f aca="false">IF(E364="","",IFERROR(INDEX(카테고리!$C$2:$C$200,MATCH(E364,카테고리!$A$2:$A$200,0)),"N"))</f>
        <v>Y</v>
      </c>
      <c r="H364" s="34" t="s">
        <v>78</v>
      </c>
      <c r="I364" s="34" t="s">
        <v>98</v>
      </c>
      <c r="J364" s="34" t="s">
        <v>75</v>
      </c>
      <c r="K364" s="37"/>
      <c r="L364" s="36" t="n">
        <f aca="false">IF(A364="","",YEAR(A364)*100+MONTH(A364))</f>
        <v>202604</v>
      </c>
    </row>
    <row r="365" customFormat="false" ht="15" hidden="false" customHeight="false" outlineLevel="0" collapsed="false">
      <c r="A365" s="32" t="n">
        <v>46122</v>
      </c>
      <c r="B365" s="33" t="str">
        <f aca="false">IF(A365="","",TEXT(A365,"yyyy-mm"))</f>
        <v>2026-04</v>
      </c>
      <c r="C365" s="34" t="s">
        <v>114</v>
      </c>
      <c r="D365" s="35" t="n">
        <v>148000</v>
      </c>
      <c r="E365" s="34" t="s">
        <v>112</v>
      </c>
      <c r="F365" s="33" t="str">
        <f aca="false">IF(E365="","",IFERROR(INDEX(카테고리!$B$2:$B$200,MATCH(E365,카테고리!$A$2:$A$200,0)),"미분류"))</f>
        <v>고정비</v>
      </c>
      <c r="G365" s="33" t="str">
        <f aca="false">IF(E365="","",IFERROR(INDEX(카테고리!$C$2:$C$200,MATCH(E365,카테고리!$A$2:$A$200,0)),"N"))</f>
        <v>Y</v>
      </c>
      <c r="H365" s="34" t="s">
        <v>73</v>
      </c>
      <c r="I365" s="34" t="s">
        <v>98</v>
      </c>
      <c r="J365" s="34" t="s">
        <v>75</v>
      </c>
      <c r="K365" s="37"/>
      <c r="L365" s="36" t="n">
        <f aca="false">IF(A365="","",YEAR(A365)*100+MONTH(A365))</f>
        <v>202604</v>
      </c>
    </row>
    <row r="366" customFormat="false" ht="15" hidden="false" customHeight="false" outlineLevel="0" collapsed="false">
      <c r="A366" s="32" t="n">
        <v>46123</v>
      </c>
      <c r="B366" s="33" t="str">
        <f aca="false">IF(A366="","",TEXT(A366,"yyyy-mm"))</f>
        <v>2026-04</v>
      </c>
      <c r="C366" s="34" t="s">
        <v>146</v>
      </c>
      <c r="D366" s="35" t="n">
        <v>126120</v>
      </c>
      <c r="E366" s="34" t="s">
        <v>92</v>
      </c>
      <c r="F366" s="33" t="str">
        <f aca="false">IF(E366="","",IFERROR(INDEX(카테고리!$B$2:$B$200,MATCH(E366,카테고리!$A$2:$A$200,0)),"미분류"))</f>
        <v>변동비</v>
      </c>
      <c r="G366" s="33" t="str">
        <f aca="false">IF(E366="","",IFERROR(INDEX(카테고리!$C$2:$C$200,MATCH(E366,카테고리!$A$2:$A$200,0)),"N"))</f>
        <v>Y</v>
      </c>
      <c r="H366" s="34" t="s">
        <v>81</v>
      </c>
      <c r="I366" s="34" t="s">
        <v>82</v>
      </c>
      <c r="J366" s="34" t="s">
        <v>75</v>
      </c>
      <c r="K366" s="37"/>
      <c r="L366" s="36" t="n">
        <f aca="false">IF(A366="","",YEAR(A366)*100+MONTH(A366))</f>
        <v>202604</v>
      </c>
    </row>
    <row r="367" customFormat="false" ht="15" hidden="false" customHeight="false" outlineLevel="0" collapsed="false">
      <c r="A367" s="32" t="n">
        <v>46123</v>
      </c>
      <c r="B367" s="33" t="str">
        <f aca="false">IF(A367="","",TEXT(A367,"yyyy-mm"))</f>
        <v>2026-04</v>
      </c>
      <c r="C367" s="34" t="s">
        <v>95</v>
      </c>
      <c r="D367" s="35" t="n">
        <v>67690</v>
      </c>
      <c r="E367" s="34" t="s">
        <v>89</v>
      </c>
      <c r="F367" s="33" t="str">
        <f aca="false">IF(E367="","",IFERROR(INDEX(카테고리!$B$2:$B$200,MATCH(E367,카테고리!$A$2:$A$200,0)),"미분류"))</f>
        <v>변동비</v>
      </c>
      <c r="G367" s="33" t="str">
        <f aca="false">IF(E367="","",IFERROR(INDEX(카테고리!$C$2:$C$200,MATCH(E367,카테고리!$A$2:$A$200,0)),"N"))</f>
        <v>N</v>
      </c>
      <c r="H367" s="34" t="s">
        <v>78</v>
      </c>
      <c r="I367" s="34" t="s">
        <v>107</v>
      </c>
      <c r="J367" s="34" t="s">
        <v>75</v>
      </c>
      <c r="K367" s="37"/>
      <c r="L367" s="36" t="n">
        <f aca="false">IF(A367="","",YEAR(A367)*100+MONTH(A367))</f>
        <v>202604</v>
      </c>
    </row>
    <row r="368" customFormat="false" ht="15" hidden="false" customHeight="false" outlineLevel="0" collapsed="false">
      <c r="A368" s="32" t="n">
        <v>46124</v>
      </c>
      <c r="B368" s="33" t="str">
        <f aca="false">IF(A368="","",TEXT(A368,"yyyy-mm"))</f>
        <v>2026-04</v>
      </c>
      <c r="C368" s="34" t="s">
        <v>86</v>
      </c>
      <c r="D368" s="35" t="n">
        <v>67610</v>
      </c>
      <c r="E368" s="34" t="s">
        <v>87</v>
      </c>
      <c r="F368" s="33" t="str">
        <f aca="false">IF(E368="","",IFERROR(INDEX(카테고리!$B$2:$B$200,MATCH(E368,카테고리!$A$2:$A$200,0)),"미분류"))</f>
        <v>변동비</v>
      </c>
      <c r="G368" s="33" t="str">
        <f aca="false">IF(E368="","",IFERROR(INDEX(카테고리!$C$2:$C$200,MATCH(E368,카테고리!$A$2:$A$200,0)),"N"))</f>
        <v>Y</v>
      </c>
      <c r="H368" s="34" t="s">
        <v>81</v>
      </c>
      <c r="I368" s="34" t="s">
        <v>82</v>
      </c>
      <c r="J368" s="34" t="s">
        <v>75</v>
      </c>
      <c r="K368" s="37"/>
      <c r="L368" s="36" t="n">
        <f aca="false">IF(A368="","",YEAR(A368)*100+MONTH(A368))</f>
        <v>202604</v>
      </c>
    </row>
    <row r="369" customFormat="false" ht="15" hidden="false" customHeight="false" outlineLevel="0" collapsed="false">
      <c r="A369" s="32" t="n">
        <v>46125</v>
      </c>
      <c r="B369" s="33" t="str">
        <f aca="false">IF(A369="","",TEXT(A369,"yyyy-mm"))</f>
        <v>2026-04</v>
      </c>
      <c r="C369" s="34" t="s">
        <v>95</v>
      </c>
      <c r="D369" s="35" t="n">
        <v>60910</v>
      </c>
      <c r="E369" s="34" t="s">
        <v>89</v>
      </c>
      <c r="F369" s="33" t="str">
        <f aca="false">IF(E369="","",IFERROR(INDEX(카테고리!$B$2:$B$200,MATCH(E369,카테고리!$A$2:$A$200,0)),"미분류"))</f>
        <v>변동비</v>
      </c>
      <c r="G369" s="33" t="str">
        <f aca="false">IF(E369="","",IFERROR(INDEX(카테고리!$C$2:$C$200,MATCH(E369,카테고리!$A$2:$A$200,0)),"N"))</f>
        <v>N</v>
      </c>
      <c r="H369" s="34" t="s">
        <v>81</v>
      </c>
      <c r="I369" s="34" t="s">
        <v>107</v>
      </c>
      <c r="J369" s="34" t="s">
        <v>75</v>
      </c>
      <c r="K369" s="37"/>
      <c r="L369" s="36" t="n">
        <f aca="false">IF(A369="","",YEAR(A369)*100+MONTH(A369))</f>
        <v>202604</v>
      </c>
    </row>
    <row r="370" customFormat="false" ht="15" hidden="false" customHeight="false" outlineLevel="0" collapsed="false">
      <c r="A370" s="32" t="n">
        <v>46128</v>
      </c>
      <c r="B370" s="33" t="str">
        <f aca="false">IF(A370="","",TEXT(A370,"yyyy-mm"))</f>
        <v>2026-04</v>
      </c>
      <c r="C370" s="34" t="s">
        <v>146</v>
      </c>
      <c r="D370" s="35" t="n">
        <v>55770</v>
      </c>
      <c r="E370" s="34" t="s">
        <v>92</v>
      </c>
      <c r="F370" s="33" t="str">
        <f aca="false">IF(E370="","",IFERROR(INDEX(카테고리!$B$2:$B$200,MATCH(E370,카테고리!$A$2:$A$200,0)),"미분류"))</f>
        <v>변동비</v>
      </c>
      <c r="G370" s="33" t="str">
        <f aca="false">IF(E370="","",IFERROR(INDEX(카테고리!$C$2:$C$200,MATCH(E370,카테고리!$A$2:$A$200,0)),"N"))</f>
        <v>Y</v>
      </c>
      <c r="H370" s="34" t="s">
        <v>81</v>
      </c>
      <c r="I370" s="34" t="s">
        <v>82</v>
      </c>
      <c r="J370" s="34" t="s">
        <v>75</v>
      </c>
      <c r="K370" s="37"/>
      <c r="L370" s="36" t="n">
        <f aca="false">IF(A370="","",YEAR(A370)*100+MONTH(A370))</f>
        <v>202604</v>
      </c>
    </row>
    <row r="371" customFormat="false" ht="15" hidden="false" customHeight="false" outlineLevel="0" collapsed="false">
      <c r="A371" s="32" t="n">
        <v>46128</v>
      </c>
      <c r="B371" s="33" t="str">
        <f aca="false">IF(A371="","",TEXT(A371,"yyyy-mm"))</f>
        <v>2026-04</v>
      </c>
      <c r="C371" s="34" t="s">
        <v>146</v>
      </c>
      <c r="D371" s="35" t="n">
        <v>58800</v>
      </c>
      <c r="E371" s="34" t="s">
        <v>92</v>
      </c>
      <c r="F371" s="33" t="str">
        <f aca="false">IF(E371="","",IFERROR(INDEX(카테고리!$B$2:$B$200,MATCH(E371,카테고리!$A$2:$A$200,0)),"미분류"))</f>
        <v>변동비</v>
      </c>
      <c r="G371" s="33" t="str">
        <f aca="false">IF(E371="","",IFERROR(INDEX(카테고리!$C$2:$C$200,MATCH(E371,카테고리!$A$2:$A$200,0)),"N"))</f>
        <v>Y</v>
      </c>
      <c r="H371" s="34" t="s">
        <v>81</v>
      </c>
      <c r="I371" s="34" t="s">
        <v>82</v>
      </c>
      <c r="J371" s="34" t="s">
        <v>75</v>
      </c>
      <c r="K371" s="37"/>
      <c r="L371" s="36" t="n">
        <f aca="false">IF(A371="","",YEAR(A371)*100+MONTH(A371))</f>
        <v>202604</v>
      </c>
    </row>
    <row r="372" customFormat="false" ht="15" hidden="false" customHeight="false" outlineLevel="0" collapsed="false">
      <c r="A372" s="32" t="n">
        <v>46128</v>
      </c>
      <c r="B372" s="33" t="str">
        <f aca="false">IF(A372="","",TEXT(A372,"yyyy-mm"))</f>
        <v>2026-04</v>
      </c>
      <c r="C372" s="34" t="s">
        <v>162</v>
      </c>
      <c r="D372" s="35" t="n">
        <v>54990</v>
      </c>
      <c r="E372" s="34" t="s">
        <v>126</v>
      </c>
      <c r="F372" s="33" t="str">
        <f aca="false">IF(E372="","",IFERROR(INDEX(카테고리!$B$2:$B$200,MATCH(E372,카테고리!$A$2:$A$200,0)),"미분류"))</f>
        <v>변동비</v>
      </c>
      <c r="G372" s="33" t="str">
        <f aca="false">IF(E372="","",IFERROR(INDEX(카테고리!$C$2:$C$200,MATCH(E372,카테고리!$A$2:$A$200,0)),"N"))</f>
        <v>N</v>
      </c>
      <c r="H372" s="34" t="s">
        <v>78</v>
      </c>
      <c r="I372" s="34" t="s">
        <v>90</v>
      </c>
      <c r="J372" s="34" t="s">
        <v>75</v>
      </c>
      <c r="K372" s="37"/>
      <c r="L372" s="36" t="n">
        <f aca="false">IF(A372="","",YEAR(A372)*100+MONTH(A372))</f>
        <v>202604</v>
      </c>
    </row>
    <row r="373" customFormat="false" ht="15" hidden="false" customHeight="false" outlineLevel="0" collapsed="false">
      <c r="A373" s="32" t="n">
        <v>46128</v>
      </c>
      <c r="B373" s="33" t="str">
        <f aca="false">IF(A373="","",TEXT(A373,"yyyy-mm"))</f>
        <v>2026-04</v>
      </c>
      <c r="C373" s="34" t="s">
        <v>103</v>
      </c>
      <c r="D373" s="35" t="n">
        <v>83760</v>
      </c>
      <c r="E373" s="34" t="s">
        <v>92</v>
      </c>
      <c r="F373" s="33" t="str">
        <f aca="false">IF(E373="","",IFERROR(INDEX(카테고리!$B$2:$B$200,MATCH(E373,카테고리!$A$2:$A$200,0)),"미분류"))</f>
        <v>변동비</v>
      </c>
      <c r="G373" s="33" t="str">
        <f aca="false">IF(E373="","",IFERROR(INDEX(카테고리!$C$2:$C$200,MATCH(E373,카테고리!$A$2:$A$200,0)),"N"))</f>
        <v>Y</v>
      </c>
      <c r="H373" s="34" t="s">
        <v>81</v>
      </c>
      <c r="I373" s="34" t="s">
        <v>82</v>
      </c>
      <c r="J373" s="34" t="s">
        <v>75</v>
      </c>
      <c r="K373" s="37"/>
      <c r="L373" s="36" t="n">
        <f aca="false">IF(A373="","",YEAR(A373)*100+MONTH(A373))</f>
        <v>202604</v>
      </c>
    </row>
    <row r="374" customFormat="false" ht="15" hidden="false" customHeight="false" outlineLevel="0" collapsed="false">
      <c r="A374" s="32" t="n">
        <v>46130</v>
      </c>
      <c r="B374" s="33" t="str">
        <f aca="false">IF(A374="","",TEXT(A374,"yyyy-mm"))</f>
        <v>2026-04</v>
      </c>
      <c r="C374" s="34" t="s">
        <v>145</v>
      </c>
      <c r="D374" s="35" t="n">
        <v>21530</v>
      </c>
      <c r="E374" s="34" t="s">
        <v>89</v>
      </c>
      <c r="F374" s="33" t="str">
        <f aca="false">IF(E374="","",IFERROR(INDEX(카테고리!$B$2:$B$200,MATCH(E374,카테고리!$A$2:$A$200,0)),"미분류"))</f>
        <v>변동비</v>
      </c>
      <c r="G374" s="33" t="str">
        <f aca="false">IF(E374="","",IFERROR(INDEX(카테고리!$C$2:$C$200,MATCH(E374,카테고리!$A$2:$A$200,0)),"N"))</f>
        <v>N</v>
      </c>
      <c r="H374" s="34" t="s">
        <v>78</v>
      </c>
      <c r="I374" s="34" t="s">
        <v>90</v>
      </c>
      <c r="J374" s="34" t="s">
        <v>75</v>
      </c>
      <c r="K374" s="37"/>
      <c r="L374" s="36" t="n">
        <f aca="false">IF(A374="","",YEAR(A374)*100+MONTH(A374))</f>
        <v>202604</v>
      </c>
    </row>
    <row r="375" customFormat="false" ht="15" hidden="false" customHeight="false" outlineLevel="0" collapsed="false">
      <c r="A375" s="32" t="n">
        <v>46132</v>
      </c>
      <c r="B375" s="33" t="str">
        <f aca="false">IF(A375="","",TEXT(A375,"yyyy-mm"))</f>
        <v>2026-04</v>
      </c>
      <c r="C375" s="34" t="s">
        <v>117</v>
      </c>
      <c r="D375" s="35" t="n">
        <v>257100</v>
      </c>
      <c r="E375" s="34" t="s">
        <v>118</v>
      </c>
      <c r="F375" s="33" t="str">
        <f aca="false">IF(E375="","",IFERROR(INDEX(카테고리!$B$2:$B$200,MATCH(E375,카테고리!$A$2:$A$200,0)),"미분류"))</f>
        <v>고정비</v>
      </c>
      <c r="G375" s="33" t="str">
        <f aca="false">IF(E375="","",IFERROR(INDEX(카테고리!$C$2:$C$200,MATCH(E375,카테고리!$A$2:$A$200,0)),"N"))</f>
        <v>Y</v>
      </c>
      <c r="H375" s="34" t="s">
        <v>81</v>
      </c>
      <c r="I375" s="34" t="s">
        <v>98</v>
      </c>
      <c r="J375" s="34" t="s">
        <v>75</v>
      </c>
      <c r="K375" s="37"/>
      <c r="L375" s="36" t="n">
        <f aca="false">IF(A375="","",YEAR(A375)*100+MONTH(A375))</f>
        <v>202604</v>
      </c>
    </row>
    <row r="376" customFormat="false" ht="15" hidden="false" customHeight="false" outlineLevel="0" collapsed="false">
      <c r="A376" s="32" t="n">
        <v>46132</v>
      </c>
      <c r="B376" s="33" t="str">
        <f aca="false">IF(A376="","",TEXT(A376,"yyyy-mm"))</f>
        <v>2026-04</v>
      </c>
      <c r="C376" s="34" t="s">
        <v>128</v>
      </c>
      <c r="D376" s="35" t="n">
        <v>58970</v>
      </c>
      <c r="E376" s="34" t="s">
        <v>116</v>
      </c>
      <c r="F376" s="33" t="str">
        <f aca="false">IF(E376="","",IFERROR(INDEX(카테고리!$B$2:$B$200,MATCH(E376,카테고리!$A$2:$A$200,0)),"미분류"))</f>
        <v>변동비</v>
      </c>
      <c r="G376" s="33" t="str">
        <f aca="false">IF(E376="","",IFERROR(INDEX(카테고리!$C$2:$C$200,MATCH(E376,카테고리!$A$2:$A$200,0)),"N"))</f>
        <v>Y</v>
      </c>
      <c r="H376" s="34" t="s">
        <v>81</v>
      </c>
      <c r="I376" s="34" t="s">
        <v>82</v>
      </c>
      <c r="J376" s="34" t="s">
        <v>75</v>
      </c>
      <c r="K376" s="37"/>
      <c r="L376" s="36" t="n">
        <f aca="false">IF(A376="","",YEAR(A376)*100+MONTH(A376))</f>
        <v>202604</v>
      </c>
    </row>
    <row r="377" customFormat="false" ht="15" hidden="false" customHeight="false" outlineLevel="0" collapsed="false">
      <c r="A377" s="32" t="n">
        <v>46133</v>
      </c>
      <c r="B377" s="33" t="str">
        <f aca="false">IF(A377="","",TEXT(A377,"yyyy-mm"))</f>
        <v>2026-04</v>
      </c>
      <c r="C377" s="37" t="s">
        <v>119</v>
      </c>
      <c r="D377" s="35" t="n">
        <v>54000</v>
      </c>
      <c r="E377" s="34" t="s">
        <v>120</v>
      </c>
      <c r="F377" s="33" t="str">
        <f aca="false">IF(E377="","",IFERROR(INDEX(카테고리!$B$2:$B$200,MATCH(E377,카테고리!$A$2:$A$200,0)),"미분류"))</f>
        <v>고정비</v>
      </c>
      <c r="G377" s="33" t="str">
        <f aca="false">IF(E377="","",IFERROR(INDEX(카테고리!$C$2:$C$200,MATCH(E377,카테고리!$A$2:$A$200,0)),"N"))</f>
        <v>Y</v>
      </c>
      <c r="H377" s="34" t="s">
        <v>73</v>
      </c>
      <c r="I377" s="34" t="s">
        <v>90</v>
      </c>
      <c r="J377" s="34" t="s">
        <v>75</v>
      </c>
      <c r="K377" s="37"/>
      <c r="L377" s="36" t="n">
        <f aca="false">IF(A377="","",YEAR(A377)*100+MONTH(A377))</f>
        <v>202604</v>
      </c>
    </row>
    <row r="378" customFormat="false" ht="15" hidden="false" customHeight="false" outlineLevel="0" collapsed="false">
      <c r="A378" s="32" t="n">
        <v>46133</v>
      </c>
      <c r="B378" s="33" t="str">
        <f aca="false">IF(A378="","",TEXT(A378,"yyyy-mm"))</f>
        <v>2026-04</v>
      </c>
      <c r="C378" s="37" t="s">
        <v>121</v>
      </c>
      <c r="D378" s="35" t="n">
        <v>68000</v>
      </c>
      <c r="E378" s="34" t="s">
        <v>120</v>
      </c>
      <c r="F378" s="33" t="str">
        <f aca="false">IF(E378="","",IFERROR(INDEX(카테고리!$B$2:$B$200,MATCH(E378,카테고리!$A$2:$A$200,0)),"미분류"))</f>
        <v>고정비</v>
      </c>
      <c r="G378" s="33" t="str">
        <f aca="false">IF(E378="","",IFERROR(INDEX(카테고리!$C$2:$C$200,MATCH(E378,카테고리!$A$2:$A$200,0)),"N"))</f>
        <v>Y</v>
      </c>
      <c r="H378" s="34" t="s">
        <v>78</v>
      </c>
      <c r="I378" s="34" t="s">
        <v>107</v>
      </c>
      <c r="J378" s="34" t="s">
        <v>75</v>
      </c>
      <c r="K378" s="37"/>
      <c r="L378" s="36" t="n">
        <f aca="false">IF(A378="","",YEAR(A378)*100+MONTH(A378))</f>
        <v>202604</v>
      </c>
    </row>
    <row r="379" customFormat="false" ht="15" hidden="false" customHeight="false" outlineLevel="0" collapsed="false">
      <c r="A379" s="32" t="n">
        <v>46133</v>
      </c>
      <c r="B379" s="33" t="str">
        <f aca="false">IF(A379="","",TEXT(A379,"yyyy-mm"))</f>
        <v>2026-04</v>
      </c>
      <c r="C379" s="34" t="s">
        <v>122</v>
      </c>
      <c r="D379" s="35" t="n">
        <v>33000</v>
      </c>
      <c r="E379" s="34" t="s">
        <v>120</v>
      </c>
      <c r="F379" s="33" t="str">
        <f aca="false">IF(E379="","",IFERROR(INDEX(카테고리!$B$2:$B$200,MATCH(E379,카테고리!$A$2:$A$200,0)),"미분류"))</f>
        <v>고정비</v>
      </c>
      <c r="G379" s="33" t="str">
        <f aca="false">IF(E379="","",IFERROR(INDEX(카테고리!$C$2:$C$200,MATCH(E379,카테고리!$A$2:$A$200,0)),"N"))</f>
        <v>Y</v>
      </c>
      <c r="H379" s="34" t="s">
        <v>81</v>
      </c>
      <c r="I379" s="34" t="s">
        <v>98</v>
      </c>
      <c r="J379" s="34" t="s">
        <v>75</v>
      </c>
      <c r="K379" s="37"/>
      <c r="L379" s="36" t="n">
        <f aca="false">IF(A379="","",YEAR(A379)*100+MONTH(A379))</f>
        <v>202604</v>
      </c>
    </row>
    <row r="380" customFormat="false" ht="15" hidden="false" customHeight="false" outlineLevel="0" collapsed="false">
      <c r="A380" s="32" t="n">
        <v>46134</v>
      </c>
      <c r="B380" s="33" t="str">
        <f aca="false">IF(A380="","",TEXT(A380,"yyyy-mm"))</f>
        <v>2026-04</v>
      </c>
      <c r="C380" s="34" t="s">
        <v>145</v>
      </c>
      <c r="D380" s="35" t="n">
        <v>21550</v>
      </c>
      <c r="E380" s="34" t="s">
        <v>89</v>
      </c>
      <c r="F380" s="33" t="str">
        <f aca="false">IF(E380="","",IFERROR(INDEX(카테고리!$B$2:$B$200,MATCH(E380,카테고리!$A$2:$A$200,0)),"미분류"))</f>
        <v>변동비</v>
      </c>
      <c r="G380" s="33" t="str">
        <f aca="false">IF(E380="","",IFERROR(INDEX(카테고리!$C$2:$C$200,MATCH(E380,카테고리!$A$2:$A$200,0)),"N"))</f>
        <v>N</v>
      </c>
      <c r="H380" s="34" t="s">
        <v>81</v>
      </c>
      <c r="I380" s="34" t="s">
        <v>90</v>
      </c>
      <c r="J380" s="34" t="s">
        <v>75</v>
      </c>
      <c r="K380" s="37"/>
      <c r="L380" s="36" t="n">
        <f aca="false">IF(A380="","",YEAR(A380)*100+MONTH(A380))</f>
        <v>202604</v>
      </c>
    </row>
    <row r="381" customFormat="false" ht="15" hidden="false" customHeight="false" outlineLevel="0" collapsed="false">
      <c r="A381" s="32" t="n">
        <v>46136</v>
      </c>
      <c r="B381" s="33" t="str">
        <f aca="false">IF(A381="","",TEXT(A381,"yyyy-mm"))</f>
        <v>2026-04</v>
      </c>
      <c r="C381" s="34" t="s">
        <v>88</v>
      </c>
      <c r="D381" s="35" t="n">
        <v>39630</v>
      </c>
      <c r="E381" s="34" t="s">
        <v>89</v>
      </c>
      <c r="F381" s="33" t="str">
        <f aca="false">IF(E381="","",IFERROR(INDEX(카테고리!$B$2:$B$200,MATCH(E381,카테고리!$A$2:$A$200,0)),"미분류"))</f>
        <v>변동비</v>
      </c>
      <c r="G381" s="33" t="str">
        <f aca="false">IF(E381="","",IFERROR(INDEX(카테고리!$C$2:$C$200,MATCH(E381,카테고리!$A$2:$A$200,0)),"N"))</f>
        <v>N</v>
      </c>
      <c r="H381" s="34" t="s">
        <v>78</v>
      </c>
      <c r="I381" s="34" t="s">
        <v>82</v>
      </c>
      <c r="J381" s="34" t="s">
        <v>75</v>
      </c>
      <c r="K381" s="37"/>
      <c r="L381" s="36" t="n">
        <f aca="false">IF(A381="","",YEAR(A381)*100+MONTH(A381))</f>
        <v>202604</v>
      </c>
    </row>
    <row r="382" customFormat="false" ht="15" hidden="false" customHeight="false" outlineLevel="0" collapsed="false">
      <c r="A382" s="32" t="n">
        <v>46136</v>
      </c>
      <c r="B382" s="33" t="str">
        <f aca="false">IF(A382="","",TEXT(A382,"yyyy-mm"))</f>
        <v>2026-04</v>
      </c>
      <c r="C382" s="34" t="s">
        <v>91</v>
      </c>
      <c r="D382" s="35" t="n">
        <v>126580</v>
      </c>
      <c r="E382" s="34" t="s">
        <v>92</v>
      </c>
      <c r="F382" s="33" t="str">
        <f aca="false">IF(E382="","",IFERROR(INDEX(카테고리!$B$2:$B$200,MATCH(E382,카테고리!$A$2:$A$200,0)),"미분류"))</f>
        <v>변동비</v>
      </c>
      <c r="G382" s="33" t="str">
        <f aca="false">IF(E382="","",IFERROR(INDEX(카테고리!$C$2:$C$200,MATCH(E382,카테고리!$A$2:$A$200,0)),"N"))</f>
        <v>Y</v>
      </c>
      <c r="H382" s="34" t="s">
        <v>73</v>
      </c>
      <c r="I382" s="34" t="s">
        <v>82</v>
      </c>
      <c r="J382" s="34" t="s">
        <v>75</v>
      </c>
      <c r="K382" s="37"/>
      <c r="L382" s="36" t="n">
        <f aca="false">IF(A382="","",YEAR(A382)*100+MONTH(A382))</f>
        <v>202604</v>
      </c>
    </row>
    <row r="383" customFormat="false" ht="15" hidden="false" customHeight="false" outlineLevel="0" collapsed="false">
      <c r="A383" s="32" t="n">
        <v>46137</v>
      </c>
      <c r="B383" s="33" t="str">
        <f aca="false">IF(A383="","",TEXT(A383,"yyyy-mm"))</f>
        <v>2026-04</v>
      </c>
      <c r="C383" s="34" t="s">
        <v>129</v>
      </c>
      <c r="D383" s="35" t="n">
        <v>3620000</v>
      </c>
      <c r="E383" s="34" t="s">
        <v>130</v>
      </c>
      <c r="F383" s="33" t="str">
        <f aca="false">IF(E383="","",IFERROR(INDEX(카테고리!$B$2:$B$200,MATCH(E383,카테고리!$A$2:$A$200,0)),"미분류"))</f>
        <v>소득</v>
      </c>
      <c r="G383" s="33" t="str">
        <f aca="false">IF(E383="","",IFERROR(INDEX(카테고리!$C$2:$C$200,MATCH(E383,카테고리!$A$2:$A$200,0)),"N"))</f>
        <v>N</v>
      </c>
      <c r="H383" s="34" t="s">
        <v>73</v>
      </c>
      <c r="I383" s="34" t="s">
        <v>131</v>
      </c>
      <c r="J383" s="34" t="s">
        <v>75</v>
      </c>
      <c r="K383" s="37"/>
      <c r="L383" s="36" t="n">
        <f aca="false">IF(A383="","",YEAR(A383)*100+MONTH(A383))</f>
        <v>202604</v>
      </c>
    </row>
    <row r="384" customFormat="false" ht="15" hidden="false" customHeight="false" outlineLevel="0" collapsed="false">
      <c r="A384" s="32" t="n">
        <v>46137</v>
      </c>
      <c r="B384" s="33" t="str">
        <f aca="false">IF(A384="","",TEXT(A384,"yyyy-mm"))</f>
        <v>2026-04</v>
      </c>
      <c r="C384" s="34" t="s">
        <v>146</v>
      </c>
      <c r="D384" s="35" t="n">
        <v>57560</v>
      </c>
      <c r="E384" s="34" t="s">
        <v>92</v>
      </c>
      <c r="F384" s="33" t="str">
        <f aca="false">IF(E384="","",IFERROR(INDEX(카테고리!$B$2:$B$200,MATCH(E384,카테고리!$A$2:$A$200,0)),"미분류"))</f>
        <v>변동비</v>
      </c>
      <c r="G384" s="33" t="str">
        <f aca="false">IF(E384="","",IFERROR(INDEX(카테고리!$C$2:$C$200,MATCH(E384,카테고리!$A$2:$A$200,0)),"N"))</f>
        <v>Y</v>
      </c>
      <c r="H384" s="34" t="s">
        <v>73</v>
      </c>
      <c r="I384" s="34" t="s">
        <v>82</v>
      </c>
      <c r="J384" s="34" t="s">
        <v>75</v>
      </c>
      <c r="K384" s="37"/>
      <c r="L384" s="36" t="n">
        <f aca="false">IF(A384="","",YEAR(A384)*100+MONTH(A384))</f>
        <v>202604</v>
      </c>
    </row>
    <row r="385" customFormat="false" ht="15" hidden="false" customHeight="false" outlineLevel="0" collapsed="false">
      <c r="A385" s="32" t="n">
        <v>46137</v>
      </c>
      <c r="B385" s="33" t="str">
        <f aca="false">IF(A385="","",TEXT(A385,"yyyy-mm"))</f>
        <v>2026-04</v>
      </c>
      <c r="C385" s="34" t="s">
        <v>148</v>
      </c>
      <c r="D385" s="35" t="n">
        <v>106120</v>
      </c>
      <c r="E385" s="34" t="s">
        <v>92</v>
      </c>
      <c r="F385" s="33" t="str">
        <f aca="false">IF(E385="","",IFERROR(INDEX(카테고리!$B$2:$B$200,MATCH(E385,카테고리!$A$2:$A$200,0)),"미분류"))</f>
        <v>변동비</v>
      </c>
      <c r="G385" s="33" t="str">
        <f aca="false">IF(E385="","",IFERROR(INDEX(카테고리!$C$2:$C$200,MATCH(E385,카테고리!$A$2:$A$200,0)),"N"))</f>
        <v>Y</v>
      </c>
      <c r="H385" s="34" t="s">
        <v>81</v>
      </c>
      <c r="I385" s="34" t="s">
        <v>82</v>
      </c>
      <c r="J385" s="34" t="s">
        <v>75</v>
      </c>
      <c r="K385" s="37"/>
      <c r="L385" s="36" t="n">
        <f aca="false">IF(A385="","",YEAR(A385)*100+MONTH(A385))</f>
        <v>202604</v>
      </c>
    </row>
    <row r="386" customFormat="false" ht="15" hidden="false" customHeight="false" outlineLevel="0" collapsed="false">
      <c r="A386" s="32" t="n">
        <v>46137</v>
      </c>
      <c r="B386" s="33" t="str">
        <f aca="false">IF(A386="","",TEXT(A386,"yyyy-mm"))</f>
        <v>2026-04</v>
      </c>
      <c r="C386" s="34" t="s">
        <v>132</v>
      </c>
      <c r="D386" s="35" t="n">
        <v>4850000</v>
      </c>
      <c r="E386" s="34" t="s">
        <v>130</v>
      </c>
      <c r="F386" s="33" t="str">
        <f aca="false">IF(E386="","",IFERROR(INDEX(카테고리!$B$2:$B$200,MATCH(E386,카테고리!$A$2:$A$200,0)),"미분류"))</f>
        <v>소득</v>
      </c>
      <c r="G386" s="33" t="str">
        <f aca="false">IF(E386="","",IFERROR(INDEX(카테고리!$C$2:$C$200,MATCH(E386,카테고리!$A$2:$A$200,0)),"N"))</f>
        <v>N</v>
      </c>
      <c r="H386" s="34" t="s">
        <v>78</v>
      </c>
      <c r="I386" s="34" t="s">
        <v>131</v>
      </c>
      <c r="J386" s="34" t="s">
        <v>75</v>
      </c>
      <c r="K386" s="37"/>
      <c r="L386" s="36" t="n">
        <f aca="false">IF(A386="","",YEAR(A386)*100+MONTH(A386))</f>
        <v>202604</v>
      </c>
    </row>
    <row r="387" customFormat="false" ht="15" hidden="false" customHeight="false" outlineLevel="0" collapsed="false">
      <c r="A387" s="32" t="n">
        <v>46138</v>
      </c>
      <c r="B387" s="33" t="str">
        <f aca="false">IF(A387="","",TEXT(A387,"yyyy-mm"))</f>
        <v>2026-04</v>
      </c>
      <c r="C387" s="37" t="s">
        <v>133</v>
      </c>
      <c r="D387" s="35" t="n">
        <v>200000</v>
      </c>
      <c r="E387" s="34" t="s">
        <v>134</v>
      </c>
      <c r="F387" s="33" t="str">
        <f aca="false">IF(E387="","",IFERROR(INDEX(카테고리!$B$2:$B$200,MATCH(E387,카테고리!$A$2:$A$200,0)),"미분류"))</f>
        <v>자본이동</v>
      </c>
      <c r="G387" s="33" t="str">
        <f aca="false">IF(E387="","",IFERROR(INDEX(카테고리!$C$2:$C$200,MATCH(E387,카테고리!$A$2:$A$200,0)),"N"))</f>
        <v>N</v>
      </c>
      <c r="H387" s="34" t="s">
        <v>73</v>
      </c>
      <c r="I387" s="34" t="s">
        <v>98</v>
      </c>
      <c r="J387" s="34" t="s">
        <v>75</v>
      </c>
      <c r="K387" s="37"/>
      <c r="L387" s="36" t="n">
        <f aca="false">IF(A387="","",YEAR(A387)*100+MONTH(A387))</f>
        <v>202604</v>
      </c>
    </row>
    <row r="388" customFormat="false" ht="15" hidden="false" customHeight="false" outlineLevel="0" collapsed="false">
      <c r="A388" s="32" t="n">
        <v>46138</v>
      </c>
      <c r="B388" s="33" t="str">
        <f aca="false">IF(A388="","",TEXT(A388,"yyyy-mm"))</f>
        <v>2026-04</v>
      </c>
      <c r="C388" s="34" t="s">
        <v>135</v>
      </c>
      <c r="D388" s="35" t="n">
        <v>650000</v>
      </c>
      <c r="E388" s="34" t="s">
        <v>136</v>
      </c>
      <c r="F388" s="33" t="str">
        <f aca="false">IF(E388="","",IFERROR(INDEX(카테고리!$B$2:$B$200,MATCH(E388,카테고리!$A$2:$A$200,0)),"미분류"))</f>
        <v>자본이동</v>
      </c>
      <c r="G388" s="33" t="str">
        <f aca="false">IF(E388="","",IFERROR(INDEX(카테고리!$C$2:$C$200,MATCH(E388,카테고리!$A$2:$A$200,0)),"N"))</f>
        <v>N</v>
      </c>
      <c r="H388" s="34" t="s">
        <v>73</v>
      </c>
      <c r="I388" s="34" t="s">
        <v>74</v>
      </c>
      <c r="J388" s="34" t="s">
        <v>75</v>
      </c>
      <c r="K388" s="37"/>
      <c r="L388" s="36" t="n">
        <f aca="false">IF(A388="","",YEAR(A388)*100+MONTH(A388))</f>
        <v>202604</v>
      </c>
    </row>
    <row r="389" customFormat="false" ht="15" hidden="false" customHeight="false" outlineLevel="0" collapsed="false">
      <c r="A389" s="32" t="n">
        <v>46138</v>
      </c>
      <c r="B389" s="33" t="str">
        <f aca="false">IF(A389="","",TEXT(A389,"yyyy-mm"))</f>
        <v>2026-04</v>
      </c>
      <c r="C389" s="34" t="s">
        <v>137</v>
      </c>
      <c r="D389" s="35" t="n">
        <v>300000</v>
      </c>
      <c r="E389" s="34" t="s">
        <v>134</v>
      </c>
      <c r="F389" s="33" t="str">
        <f aca="false">IF(E389="","",IFERROR(INDEX(카테고리!$B$2:$B$200,MATCH(E389,카테고리!$A$2:$A$200,0)),"미분류"))</f>
        <v>자본이동</v>
      </c>
      <c r="G389" s="33" t="str">
        <f aca="false">IF(E389="","",IFERROR(INDEX(카테고리!$C$2:$C$200,MATCH(E389,카테고리!$A$2:$A$200,0)),"N"))</f>
        <v>N</v>
      </c>
      <c r="H389" s="34" t="s">
        <v>78</v>
      </c>
      <c r="I389" s="34" t="s">
        <v>98</v>
      </c>
      <c r="J389" s="34" t="s">
        <v>75</v>
      </c>
      <c r="K389" s="37"/>
      <c r="L389" s="36" t="n">
        <f aca="false">IF(A389="","",YEAR(A389)*100+MONTH(A389))</f>
        <v>202604</v>
      </c>
    </row>
    <row r="390" customFormat="false" ht="15" hidden="false" customHeight="false" outlineLevel="0" collapsed="false">
      <c r="A390" s="32" t="n">
        <v>46138</v>
      </c>
      <c r="B390" s="33" t="str">
        <f aca="false">IF(A390="","",TEXT(A390,"yyyy-mm"))</f>
        <v>2026-04</v>
      </c>
      <c r="C390" s="34" t="s">
        <v>138</v>
      </c>
      <c r="D390" s="35" t="n">
        <v>300000</v>
      </c>
      <c r="E390" s="34" t="s">
        <v>139</v>
      </c>
      <c r="F390" s="33" t="str">
        <f aca="false">IF(E390="","",IFERROR(INDEX(카테고리!$B$2:$B$200,MATCH(E390,카테고리!$A$2:$A$200,0)),"미분류"))</f>
        <v>자본이동</v>
      </c>
      <c r="G390" s="33" t="str">
        <f aca="false">IF(E390="","",IFERROR(INDEX(카테고리!$C$2:$C$200,MATCH(E390,카테고리!$A$2:$A$200,0)),"N"))</f>
        <v>N</v>
      </c>
      <c r="H390" s="34" t="s">
        <v>81</v>
      </c>
      <c r="I390" s="34" t="s">
        <v>98</v>
      </c>
      <c r="J390" s="34" t="s">
        <v>75</v>
      </c>
      <c r="K390" s="37"/>
      <c r="L390" s="36" t="n">
        <f aca="false">IF(A390="","",YEAR(A390)*100+MONTH(A390))</f>
        <v>202604</v>
      </c>
    </row>
    <row r="391" customFormat="false" ht="15" hidden="false" customHeight="false" outlineLevel="0" collapsed="false">
      <c r="A391" s="32" t="n">
        <v>46138</v>
      </c>
      <c r="B391" s="33" t="str">
        <f aca="false">IF(A391="","",TEXT(A391,"yyyy-mm"))</f>
        <v>2026-04</v>
      </c>
      <c r="C391" s="34" t="s">
        <v>140</v>
      </c>
      <c r="D391" s="35" t="n">
        <v>100000</v>
      </c>
      <c r="E391" s="34" t="s">
        <v>139</v>
      </c>
      <c r="F391" s="33" t="str">
        <f aca="false">IF(E391="","",IFERROR(INDEX(카테고리!$B$2:$B$200,MATCH(E391,카테고리!$A$2:$A$200,0)),"미분류"))</f>
        <v>자본이동</v>
      </c>
      <c r="G391" s="33" t="str">
        <f aca="false">IF(E391="","",IFERROR(INDEX(카테고리!$C$2:$C$200,MATCH(E391,카테고리!$A$2:$A$200,0)),"N"))</f>
        <v>N</v>
      </c>
      <c r="H391" s="34" t="s">
        <v>78</v>
      </c>
      <c r="I391" s="34" t="s">
        <v>98</v>
      </c>
      <c r="J391" s="34" t="s">
        <v>75</v>
      </c>
      <c r="K391" s="37"/>
      <c r="L391" s="36" t="n">
        <f aca="false">IF(A391="","",YEAR(A391)*100+MONTH(A391))</f>
        <v>202604</v>
      </c>
    </row>
    <row r="392" customFormat="false" ht="15" hidden="false" customHeight="false" outlineLevel="0" collapsed="false">
      <c r="A392" s="32" t="n">
        <v>46138</v>
      </c>
      <c r="B392" s="33" t="str">
        <f aca="false">IF(A392="","",TEXT(A392,"yyyy-mm"))</f>
        <v>2026-04</v>
      </c>
      <c r="C392" s="34" t="s">
        <v>141</v>
      </c>
      <c r="D392" s="35" t="n">
        <v>850000</v>
      </c>
      <c r="E392" s="34" t="s">
        <v>136</v>
      </c>
      <c r="F392" s="33" t="str">
        <f aca="false">IF(E392="","",IFERROR(INDEX(카테고리!$B$2:$B$200,MATCH(E392,카테고리!$A$2:$A$200,0)),"미분류"))</f>
        <v>자본이동</v>
      </c>
      <c r="G392" s="33" t="str">
        <f aca="false">IF(E392="","",IFERROR(INDEX(카테고리!$C$2:$C$200,MATCH(E392,카테고리!$A$2:$A$200,0)),"N"))</f>
        <v>N</v>
      </c>
      <c r="H392" s="34" t="s">
        <v>78</v>
      </c>
      <c r="I392" s="34" t="s">
        <v>74</v>
      </c>
      <c r="J392" s="34" t="s">
        <v>75</v>
      </c>
      <c r="K392" s="37"/>
      <c r="L392" s="36" t="n">
        <f aca="false">IF(A392="","",YEAR(A392)*100+MONTH(A392))</f>
        <v>202604</v>
      </c>
    </row>
    <row r="393" customFormat="false" ht="15" hidden="false" customHeight="false" outlineLevel="0" collapsed="false">
      <c r="A393" s="32" t="n">
        <v>46138</v>
      </c>
      <c r="B393" s="33" t="str">
        <f aca="false">IF(A393="","",TEXT(A393,"yyyy-mm"))</f>
        <v>2026-04</v>
      </c>
      <c r="C393" s="34" t="s">
        <v>142</v>
      </c>
      <c r="D393" s="35" t="n">
        <v>200000</v>
      </c>
      <c r="E393" s="34" t="s">
        <v>136</v>
      </c>
      <c r="F393" s="33" t="str">
        <f aca="false">IF(E393="","",IFERROR(INDEX(카테고리!$B$2:$B$200,MATCH(E393,카테고리!$A$2:$A$200,0)),"미분류"))</f>
        <v>자본이동</v>
      </c>
      <c r="G393" s="33" t="str">
        <f aca="false">IF(E393="","",IFERROR(INDEX(카테고리!$C$2:$C$200,MATCH(E393,카테고리!$A$2:$A$200,0)),"N"))</f>
        <v>N</v>
      </c>
      <c r="H393" s="34" t="s">
        <v>81</v>
      </c>
      <c r="I393" s="34" t="s">
        <v>74</v>
      </c>
      <c r="J393" s="34" t="s">
        <v>75</v>
      </c>
      <c r="K393" s="37"/>
      <c r="L393" s="36" t="n">
        <f aca="false">IF(A393="","",YEAR(A393)*100+MONTH(A393))</f>
        <v>202604</v>
      </c>
    </row>
    <row r="394" customFormat="false" ht="15" hidden="false" customHeight="false" outlineLevel="0" collapsed="false">
      <c r="A394" s="32" t="n">
        <v>46139</v>
      </c>
      <c r="B394" s="33" t="str">
        <f aca="false">IF(A394="","",TEXT(A394,"yyyy-mm"))</f>
        <v>2026-04</v>
      </c>
      <c r="C394" s="37" t="s">
        <v>84</v>
      </c>
      <c r="D394" s="35" t="n">
        <v>71020</v>
      </c>
      <c r="E394" s="34" t="s">
        <v>85</v>
      </c>
      <c r="F394" s="33" t="str">
        <f aca="false">IF(E394="","",IFERROR(INDEX(카테고리!$B$2:$B$200,MATCH(E394,카테고리!$A$2:$A$200,0)),"미분류"))</f>
        <v>변동비</v>
      </c>
      <c r="G394" s="33" t="str">
        <f aca="false">IF(E394="","",IFERROR(INDEX(카테고리!$C$2:$C$200,MATCH(E394,카테고리!$A$2:$A$200,0)),"N"))</f>
        <v>Y</v>
      </c>
      <c r="H394" s="34" t="s">
        <v>81</v>
      </c>
      <c r="I394" s="34" t="s">
        <v>82</v>
      </c>
      <c r="J394" s="34" t="s">
        <v>75</v>
      </c>
      <c r="K394" s="37"/>
      <c r="L394" s="36" t="n">
        <f aca="false">IF(A394="","",YEAR(A394)*100+MONTH(A394))</f>
        <v>202604</v>
      </c>
    </row>
    <row r="395" customFormat="false" ht="15" hidden="false" customHeight="false" outlineLevel="0" collapsed="false">
      <c r="A395" s="32" t="n">
        <v>46139</v>
      </c>
      <c r="B395" s="33" t="str">
        <f aca="false">IF(A395="","",TEXT(A395,"yyyy-mm"))</f>
        <v>2026-04</v>
      </c>
      <c r="C395" s="34" t="s">
        <v>86</v>
      </c>
      <c r="D395" s="35" t="n">
        <v>55820</v>
      </c>
      <c r="E395" s="34" t="s">
        <v>87</v>
      </c>
      <c r="F395" s="33" t="str">
        <f aca="false">IF(E395="","",IFERROR(INDEX(카테고리!$B$2:$B$200,MATCH(E395,카테고리!$A$2:$A$200,0)),"미분류"))</f>
        <v>변동비</v>
      </c>
      <c r="G395" s="33" t="str">
        <f aca="false">IF(E395="","",IFERROR(INDEX(카테고리!$C$2:$C$200,MATCH(E395,카테고리!$A$2:$A$200,0)),"N"))</f>
        <v>Y</v>
      </c>
      <c r="H395" s="34" t="s">
        <v>81</v>
      </c>
      <c r="I395" s="34" t="s">
        <v>82</v>
      </c>
      <c r="J395" s="34" t="s">
        <v>75</v>
      </c>
      <c r="K395" s="37"/>
      <c r="L395" s="36" t="n">
        <f aca="false">IF(A395="","",YEAR(A395)*100+MONTH(A395))</f>
        <v>202604</v>
      </c>
    </row>
    <row r="396" customFormat="false" ht="15" hidden="false" customHeight="false" outlineLevel="0" collapsed="false">
      <c r="A396" s="32" t="n">
        <v>46140</v>
      </c>
      <c r="B396" s="33" t="str">
        <f aca="false">IF(A396="","",TEXT(A396,"yyyy-mm"))</f>
        <v>2026-04</v>
      </c>
      <c r="C396" s="34" t="s">
        <v>143</v>
      </c>
      <c r="D396" s="35" t="n">
        <v>23000</v>
      </c>
      <c r="E396" s="34" t="s">
        <v>144</v>
      </c>
      <c r="F396" s="33" t="str">
        <f aca="false">IF(E396="","",IFERROR(INDEX(카테고리!$B$2:$B$200,MATCH(E396,카테고리!$A$2:$A$200,0)),"미분류"))</f>
        <v>소득</v>
      </c>
      <c r="G396" s="33" t="str">
        <f aca="false">IF(E396="","",IFERROR(INDEX(카테고리!$C$2:$C$200,MATCH(E396,카테고리!$A$2:$A$200,0)),"N"))</f>
        <v>N</v>
      </c>
      <c r="H396" s="34" t="s">
        <v>81</v>
      </c>
      <c r="I396" s="34" t="s">
        <v>131</v>
      </c>
      <c r="J396" s="34" t="s">
        <v>75</v>
      </c>
      <c r="K396" s="37"/>
      <c r="L396" s="36" t="n">
        <f aca="false">IF(A396="","",YEAR(A396)*100+MONTH(A396))</f>
        <v>202604</v>
      </c>
    </row>
    <row r="397" customFormat="false" ht="15" hidden="false" customHeight="false" outlineLevel="0" collapsed="false">
      <c r="A397" s="32" t="n">
        <v>46143</v>
      </c>
      <c r="B397" s="33" t="str">
        <f aca="false">IF(A397="","",TEXT(A397,"yyyy-mm"))</f>
        <v>2026-05</v>
      </c>
      <c r="C397" s="34" t="s">
        <v>71</v>
      </c>
      <c r="D397" s="35" t="n">
        <v>300000</v>
      </c>
      <c r="E397" s="34" t="s">
        <v>72</v>
      </c>
      <c r="F397" s="33" t="str">
        <f aca="false">IF(E397="","",IFERROR(INDEX(카테고리!$B$2:$B$200,MATCH(E397,카테고리!$A$2:$A$200,0)),"미분류"))</f>
        <v>변동비</v>
      </c>
      <c r="G397" s="33" t="str">
        <f aca="false">IF(E397="","",IFERROR(INDEX(카테고리!$C$2:$C$200,MATCH(E397,카테고리!$A$2:$A$200,0)),"N"))</f>
        <v>N</v>
      </c>
      <c r="H397" s="34" t="s">
        <v>73</v>
      </c>
      <c r="I397" s="34" t="s">
        <v>74</v>
      </c>
      <c r="J397" s="34" t="s">
        <v>75</v>
      </c>
      <c r="K397" s="37"/>
      <c r="L397" s="36" t="n">
        <f aca="false">IF(A397="","",YEAR(A397)*100+MONTH(A397))</f>
        <v>202605</v>
      </c>
    </row>
    <row r="398" customFormat="false" ht="15" hidden="false" customHeight="false" outlineLevel="0" collapsed="false">
      <c r="A398" s="32" t="n">
        <v>46143</v>
      </c>
      <c r="B398" s="33" t="str">
        <f aca="false">IF(A398="","",TEXT(A398,"yyyy-mm"))</f>
        <v>2026-05</v>
      </c>
      <c r="C398" s="34" t="s">
        <v>77</v>
      </c>
      <c r="D398" s="35" t="n">
        <v>300000</v>
      </c>
      <c r="E398" s="34" t="s">
        <v>72</v>
      </c>
      <c r="F398" s="33" t="str">
        <f aca="false">IF(E398="","",IFERROR(INDEX(카테고리!$B$2:$B$200,MATCH(E398,카테고리!$A$2:$A$200,0)),"미분류"))</f>
        <v>변동비</v>
      </c>
      <c r="G398" s="33" t="str">
        <f aca="false">IF(E398="","",IFERROR(INDEX(카테고리!$C$2:$C$200,MATCH(E398,카테고리!$A$2:$A$200,0)),"N"))</f>
        <v>N</v>
      </c>
      <c r="H398" s="34" t="s">
        <v>78</v>
      </c>
      <c r="I398" s="34" t="s">
        <v>74</v>
      </c>
      <c r="J398" s="34" t="s">
        <v>75</v>
      </c>
      <c r="K398" s="37"/>
      <c r="L398" s="36" t="n">
        <f aca="false">IF(A398="","",YEAR(A398)*100+MONTH(A398))</f>
        <v>202605</v>
      </c>
    </row>
    <row r="399" customFormat="false" ht="15" hidden="false" customHeight="false" outlineLevel="0" collapsed="false">
      <c r="A399" s="32" t="n">
        <v>46143</v>
      </c>
      <c r="B399" s="33" t="str">
        <f aca="false">IF(A399="","",TEXT(A399,"yyyy-mm"))</f>
        <v>2026-05</v>
      </c>
      <c r="C399" s="34" t="s">
        <v>79</v>
      </c>
      <c r="D399" s="35" t="n">
        <v>140000</v>
      </c>
      <c r="E399" s="34" t="s">
        <v>80</v>
      </c>
      <c r="F399" s="33" t="str">
        <f aca="false">IF(E399="","",IFERROR(INDEX(카테고리!$B$2:$B$200,MATCH(E399,카테고리!$A$2:$A$200,0)),"미분류"))</f>
        <v>고정비</v>
      </c>
      <c r="G399" s="33" t="str">
        <f aca="false">IF(E399="","",IFERROR(INDEX(카테고리!$C$2:$C$200,MATCH(E399,카테고리!$A$2:$A$200,0)),"N"))</f>
        <v>Y</v>
      </c>
      <c r="H399" s="34" t="s">
        <v>81</v>
      </c>
      <c r="I399" s="34" t="s">
        <v>82</v>
      </c>
      <c r="J399" s="34" t="s">
        <v>75</v>
      </c>
      <c r="K399" s="37"/>
      <c r="L399" s="36" t="n">
        <f aca="false">IF(A399="","",YEAR(A399)*100+MONTH(A399))</f>
        <v>202605</v>
      </c>
    </row>
    <row r="400" customFormat="false" ht="15" hidden="false" customHeight="false" outlineLevel="0" collapsed="false">
      <c r="A400" s="32" t="n">
        <v>46143</v>
      </c>
      <c r="B400" s="33" t="str">
        <f aca="false">IF(A400="","",TEXT(A400,"yyyy-mm"))</f>
        <v>2026-05</v>
      </c>
      <c r="C400" s="34" t="s">
        <v>110</v>
      </c>
      <c r="D400" s="35" t="n">
        <v>17460</v>
      </c>
      <c r="E400" s="34" t="s">
        <v>85</v>
      </c>
      <c r="F400" s="33" t="str">
        <f aca="false">IF(E400="","",IFERROR(INDEX(카테고리!$B$2:$B$200,MATCH(E400,카테고리!$A$2:$A$200,0)),"미분류"))</f>
        <v>변동비</v>
      </c>
      <c r="G400" s="33" t="str">
        <f aca="false">IF(E400="","",IFERROR(INDEX(카테고리!$C$2:$C$200,MATCH(E400,카테고리!$A$2:$A$200,0)),"N"))</f>
        <v>Y</v>
      </c>
      <c r="H400" s="34" t="s">
        <v>78</v>
      </c>
      <c r="I400" s="34" t="s">
        <v>107</v>
      </c>
      <c r="J400" s="34" t="s">
        <v>75</v>
      </c>
      <c r="K400" s="37"/>
      <c r="L400" s="36" t="n">
        <f aca="false">IF(A400="","",YEAR(A400)*100+MONTH(A400))</f>
        <v>202605</v>
      </c>
    </row>
    <row r="401" customFormat="false" ht="15" hidden="false" customHeight="false" outlineLevel="0" collapsed="false">
      <c r="A401" s="32" t="n">
        <v>46143</v>
      </c>
      <c r="B401" s="33" t="str">
        <f aca="false">IF(A401="","",TEXT(A401,"yyyy-mm"))</f>
        <v>2026-05</v>
      </c>
      <c r="C401" s="34" t="s">
        <v>148</v>
      </c>
      <c r="D401" s="35" t="n">
        <v>110060</v>
      </c>
      <c r="E401" s="34" t="s">
        <v>92</v>
      </c>
      <c r="F401" s="33" t="str">
        <f aca="false">IF(E401="","",IFERROR(INDEX(카테고리!$B$2:$B$200,MATCH(E401,카테고리!$A$2:$A$200,0)),"미분류"))</f>
        <v>변동비</v>
      </c>
      <c r="G401" s="33" t="str">
        <f aca="false">IF(E401="","",IFERROR(INDEX(카테고리!$C$2:$C$200,MATCH(E401,카테고리!$A$2:$A$200,0)),"N"))</f>
        <v>Y</v>
      </c>
      <c r="H401" s="34" t="s">
        <v>81</v>
      </c>
      <c r="I401" s="34" t="s">
        <v>82</v>
      </c>
      <c r="J401" s="34" t="s">
        <v>75</v>
      </c>
      <c r="K401" s="37"/>
      <c r="L401" s="36" t="n">
        <f aca="false">IF(A401="","",YEAR(A401)*100+MONTH(A401))</f>
        <v>202605</v>
      </c>
    </row>
    <row r="402" customFormat="false" ht="15" hidden="false" customHeight="false" outlineLevel="0" collapsed="false">
      <c r="A402" s="32" t="n">
        <v>46143</v>
      </c>
      <c r="B402" s="33" t="str">
        <f aca="false">IF(A402="","",TEXT(A402,"yyyy-mm"))</f>
        <v>2026-05</v>
      </c>
      <c r="C402" s="34" t="s">
        <v>83</v>
      </c>
      <c r="D402" s="35" t="n">
        <v>380000</v>
      </c>
      <c r="E402" s="34" t="s">
        <v>80</v>
      </c>
      <c r="F402" s="33" t="str">
        <f aca="false">IF(E402="","",IFERROR(INDEX(카테고리!$B$2:$B$200,MATCH(E402,카테고리!$A$2:$A$200,0)),"미분류"))</f>
        <v>고정비</v>
      </c>
      <c r="G402" s="33" t="str">
        <f aca="false">IF(E402="","",IFERROR(INDEX(카테고리!$C$2:$C$200,MATCH(E402,카테고리!$A$2:$A$200,0)),"N"))</f>
        <v>Y</v>
      </c>
      <c r="H402" s="34" t="s">
        <v>81</v>
      </c>
      <c r="I402" s="34" t="s">
        <v>82</v>
      </c>
      <c r="J402" s="34" t="s">
        <v>75</v>
      </c>
      <c r="K402" s="37"/>
      <c r="L402" s="36" t="n">
        <f aca="false">IF(A402="","",YEAR(A402)*100+MONTH(A402))</f>
        <v>202605</v>
      </c>
    </row>
    <row r="403" customFormat="false" ht="15" hidden="false" customHeight="false" outlineLevel="0" collapsed="false">
      <c r="A403" s="32" t="n">
        <v>46145</v>
      </c>
      <c r="B403" s="33" t="str">
        <f aca="false">IF(A403="","",TEXT(A403,"yyyy-mm"))</f>
        <v>2026-05</v>
      </c>
      <c r="C403" s="34" t="s">
        <v>148</v>
      </c>
      <c r="D403" s="35" t="n">
        <v>121320</v>
      </c>
      <c r="E403" s="34" t="s">
        <v>92</v>
      </c>
      <c r="F403" s="33" t="str">
        <f aca="false">IF(E403="","",IFERROR(INDEX(카테고리!$B$2:$B$200,MATCH(E403,카테고리!$A$2:$A$200,0)),"미분류"))</f>
        <v>변동비</v>
      </c>
      <c r="G403" s="33" t="str">
        <f aca="false">IF(E403="","",IFERROR(INDEX(카테고리!$C$2:$C$200,MATCH(E403,카테고리!$A$2:$A$200,0)),"N"))</f>
        <v>Y</v>
      </c>
      <c r="H403" s="34" t="s">
        <v>73</v>
      </c>
      <c r="I403" s="34" t="s">
        <v>82</v>
      </c>
      <c r="J403" s="34" t="s">
        <v>75</v>
      </c>
      <c r="K403" s="37"/>
      <c r="L403" s="36" t="n">
        <f aca="false">IF(A403="","",YEAR(A403)*100+MONTH(A403))</f>
        <v>202605</v>
      </c>
    </row>
    <row r="404" customFormat="false" ht="15" hidden="false" customHeight="false" outlineLevel="0" collapsed="false">
      <c r="A404" s="32" t="n">
        <v>46145</v>
      </c>
      <c r="B404" s="33" t="str">
        <f aca="false">IF(A404="","",TEXT(A404,"yyyy-mm"))</f>
        <v>2026-05</v>
      </c>
      <c r="C404" s="34" t="s">
        <v>94</v>
      </c>
      <c r="D404" s="35" t="n">
        <v>50000</v>
      </c>
      <c r="E404" s="34" t="s">
        <v>85</v>
      </c>
      <c r="F404" s="33" t="str">
        <f aca="false">IF(E404="","",IFERROR(INDEX(카테고리!$B$2:$B$200,MATCH(E404,카테고리!$A$2:$A$200,0)),"미분류"))</f>
        <v>변동비</v>
      </c>
      <c r="G404" s="33" t="str">
        <f aca="false">IF(E404="","",IFERROR(INDEX(카테고리!$C$2:$C$200,MATCH(E404,카테고리!$A$2:$A$200,0)),"N"))</f>
        <v>Y</v>
      </c>
      <c r="H404" s="34" t="s">
        <v>73</v>
      </c>
      <c r="I404" s="34" t="s">
        <v>90</v>
      </c>
      <c r="J404" s="34" t="s">
        <v>75</v>
      </c>
      <c r="K404" s="37"/>
      <c r="L404" s="36" t="n">
        <f aca="false">IF(A404="","",YEAR(A404)*100+MONTH(A404))</f>
        <v>202605</v>
      </c>
    </row>
    <row r="405" customFormat="false" ht="15" hidden="false" customHeight="false" outlineLevel="0" collapsed="false">
      <c r="A405" s="32" t="n">
        <v>46147</v>
      </c>
      <c r="B405" s="33" t="str">
        <f aca="false">IF(A405="","",TEXT(A405,"yyyy-mm"))</f>
        <v>2026-05</v>
      </c>
      <c r="C405" s="37" t="s">
        <v>84</v>
      </c>
      <c r="D405" s="35" t="n">
        <v>89530</v>
      </c>
      <c r="E405" s="34" t="s">
        <v>85</v>
      </c>
      <c r="F405" s="33" t="str">
        <f aca="false">IF(E405="","",IFERROR(INDEX(카테고리!$B$2:$B$200,MATCH(E405,카테고리!$A$2:$A$200,0)),"미분류"))</f>
        <v>변동비</v>
      </c>
      <c r="G405" s="33" t="str">
        <f aca="false">IF(E405="","",IFERROR(INDEX(카테고리!$C$2:$C$200,MATCH(E405,카테고리!$A$2:$A$200,0)),"N"))</f>
        <v>Y</v>
      </c>
      <c r="H405" s="34" t="s">
        <v>81</v>
      </c>
      <c r="I405" s="34" t="s">
        <v>82</v>
      </c>
      <c r="J405" s="34" t="s">
        <v>75</v>
      </c>
      <c r="K405" s="37"/>
      <c r="L405" s="36" t="n">
        <f aca="false">IF(A405="","",YEAR(A405)*100+MONTH(A405))</f>
        <v>202605</v>
      </c>
    </row>
    <row r="406" customFormat="false" ht="15" hidden="false" customHeight="false" outlineLevel="0" collapsed="false">
      <c r="A406" s="32" t="n">
        <v>46147</v>
      </c>
      <c r="B406" s="33" t="str">
        <f aca="false">IF(A406="","",TEXT(A406,"yyyy-mm"))</f>
        <v>2026-05</v>
      </c>
      <c r="C406" s="34" t="s">
        <v>96</v>
      </c>
      <c r="D406" s="35" t="n">
        <v>300000</v>
      </c>
      <c r="E406" s="34" t="s">
        <v>97</v>
      </c>
      <c r="F406" s="33" t="str">
        <f aca="false">IF(E406="","",IFERROR(INDEX(카테고리!$B$2:$B$200,MATCH(E406,카테고리!$A$2:$A$200,0)),"미분류"))</f>
        <v>자본이동</v>
      </c>
      <c r="G406" s="33" t="str">
        <f aca="false">IF(E406="","",IFERROR(INDEX(카테고리!$C$2:$C$200,MATCH(E406,카테고리!$A$2:$A$200,0)),"N"))</f>
        <v>N</v>
      </c>
      <c r="H406" s="34" t="s">
        <v>78</v>
      </c>
      <c r="I406" s="34" t="s">
        <v>98</v>
      </c>
      <c r="J406" s="34" t="s">
        <v>75</v>
      </c>
      <c r="K406" s="37"/>
      <c r="L406" s="36" t="n">
        <f aca="false">IF(A406="","",YEAR(A406)*100+MONTH(A406))</f>
        <v>202605</v>
      </c>
    </row>
    <row r="407" customFormat="false" ht="15" hidden="false" customHeight="false" outlineLevel="0" collapsed="false">
      <c r="A407" s="32" t="n">
        <v>46147</v>
      </c>
      <c r="B407" s="33" t="str">
        <f aca="false">IF(A407="","",TEXT(A407,"yyyy-mm"))</f>
        <v>2026-05</v>
      </c>
      <c r="C407" s="34" t="s">
        <v>99</v>
      </c>
      <c r="D407" s="35" t="n">
        <v>72900</v>
      </c>
      <c r="E407" s="34" t="s">
        <v>100</v>
      </c>
      <c r="F407" s="33" t="str">
        <f aca="false">IF(E407="","",IFERROR(INDEX(카테고리!$B$2:$B$200,MATCH(E407,카테고리!$A$2:$A$200,0)),"미분류"))</f>
        <v>고정비</v>
      </c>
      <c r="G407" s="33" t="str">
        <f aca="false">IF(E407="","",IFERROR(INDEX(카테고리!$C$2:$C$200,MATCH(E407,카테고리!$A$2:$A$200,0)),"N"))</f>
        <v>Y</v>
      </c>
      <c r="H407" s="34" t="s">
        <v>78</v>
      </c>
      <c r="I407" s="34" t="s">
        <v>98</v>
      </c>
      <c r="J407" s="34" t="s">
        <v>75</v>
      </c>
      <c r="K407" s="37"/>
      <c r="L407" s="36" t="n">
        <f aca="false">IF(A407="","",YEAR(A407)*100+MONTH(A407))</f>
        <v>202605</v>
      </c>
    </row>
    <row r="408" customFormat="false" ht="15" hidden="false" customHeight="false" outlineLevel="0" collapsed="false">
      <c r="A408" s="32" t="n">
        <v>46147</v>
      </c>
      <c r="B408" s="33" t="str">
        <f aca="false">IF(A408="","",TEXT(A408,"yyyy-mm"))</f>
        <v>2026-05</v>
      </c>
      <c r="C408" s="34" t="s">
        <v>101</v>
      </c>
      <c r="D408" s="35" t="n">
        <v>600000</v>
      </c>
      <c r="E408" s="34" t="s">
        <v>97</v>
      </c>
      <c r="F408" s="33" t="str">
        <f aca="false">IF(E408="","",IFERROR(INDEX(카테고리!$B$2:$B$200,MATCH(E408,카테고리!$A$2:$A$200,0)),"미분류"))</f>
        <v>자본이동</v>
      </c>
      <c r="G408" s="33" t="str">
        <f aca="false">IF(E408="","",IFERROR(INDEX(카테고리!$C$2:$C$200,MATCH(E408,카테고리!$A$2:$A$200,0)),"N"))</f>
        <v>N</v>
      </c>
      <c r="H408" s="34" t="s">
        <v>81</v>
      </c>
      <c r="I408" s="34" t="s">
        <v>98</v>
      </c>
      <c r="J408" s="34" t="s">
        <v>75</v>
      </c>
      <c r="K408" s="37"/>
      <c r="L408" s="36" t="n">
        <f aca="false">IF(A408="","",YEAR(A408)*100+MONTH(A408))</f>
        <v>202605</v>
      </c>
    </row>
    <row r="409" customFormat="false" ht="15" hidden="false" customHeight="false" outlineLevel="0" collapsed="false">
      <c r="A409" s="32" t="n">
        <v>46147</v>
      </c>
      <c r="B409" s="33" t="str">
        <f aca="false">IF(A409="","",TEXT(A409,"yyyy-mm"))</f>
        <v>2026-05</v>
      </c>
      <c r="C409" s="34" t="s">
        <v>102</v>
      </c>
      <c r="D409" s="35" t="n">
        <v>991000</v>
      </c>
      <c r="E409" s="34" t="s">
        <v>100</v>
      </c>
      <c r="F409" s="33" t="str">
        <f aca="false">IF(E409="","",IFERROR(INDEX(카테고리!$B$2:$B$200,MATCH(E409,카테고리!$A$2:$A$200,0)),"미분류"))</f>
        <v>고정비</v>
      </c>
      <c r="G409" s="33" t="str">
        <f aca="false">IF(E409="","",IFERROR(INDEX(카테고리!$C$2:$C$200,MATCH(E409,카테고리!$A$2:$A$200,0)),"N"))</f>
        <v>Y</v>
      </c>
      <c r="H409" s="34" t="s">
        <v>81</v>
      </c>
      <c r="I409" s="34" t="s">
        <v>98</v>
      </c>
      <c r="J409" s="34" t="s">
        <v>75</v>
      </c>
      <c r="K409" s="37"/>
      <c r="L409" s="36" t="n">
        <f aca="false">IF(A409="","",YEAR(A409)*100+MONTH(A409))</f>
        <v>202605</v>
      </c>
    </row>
    <row r="410" customFormat="false" ht="15" hidden="false" customHeight="false" outlineLevel="0" collapsed="false">
      <c r="A410" s="32" t="n">
        <v>46149</v>
      </c>
      <c r="B410" s="33" t="str">
        <f aca="false">IF(A410="","",TEXT(A410,"yyyy-mm"))</f>
        <v>2026-05</v>
      </c>
      <c r="C410" s="34" t="s">
        <v>104</v>
      </c>
      <c r="D410" s="35" t="n">
        <v>17000</v>
      </c>
      <c r="E410" s="34" t="s">
        <v>105</v>
      </c>
      <c r="F410" s="33" t="str">
        <f aca="false">IF(E410="","",IFERROR(INDEX(카테고리!$B$2:$B$200,MATCH(E410,카테고리!$A$2:$A$200,0)),"미분류"))</f>
        <v>고정비</v>
      </c>
      <c r="G410" s="33" t="str">
        <f aca="false">IF(E410="","",IFERROR(INDEX(카테고리!$C$2:$C$200,MATCH(E410,카테고리!$A$2:$A$200,0)),"N"))</f>
        <v>N</v>
      </c>
      <c r="H410" s="34" t="s">
        <v>81</v>
      </c>
      <c r="I410" s="34" t="s">
        <v>82</v>
      </c>
      <c r="J410" s="34" t="s">
        <v>75</v>
      </c>
      <c r="K410" s="37"/>
      <c r="L410" s="36" t="n">
        <f aca="false">IF(A410="","",YEAR(A410)*100+MONTH(A410))</f>
        <v>202605</v>
      </c>
    </row>
    <row r="411" customFormat="false" ht="15" hidden="false" customHeight="false" outlineLevel="0" collapsed="false">
      <c r="A411" s="32" t="n">
        <v>46149</v>
      </c>
      <c r="B411" s="33" t="str">
        <f aca="false">IF(A411="","",TEXT(A411,"yyyy-mm"))</f>
        <v>2026-05</v>
      </c>
      <c r="C411" s="34" t="s">
        <v>106</v>
      </c>
      <c r="D411" s="35" t="n">
        <v>14900</v>
      </c>
      <c r="E411" s="34" t="s">
        <v>105</v>
      </c>
      <c r="F411" s="33" t="str">
        <f aca="false">IF(E411="","",IFERROR(INDEX(카테고리!$B$2:$B$200,MATCH(E411,카테고리!$A$2:$A$200,0)),"미분류"))</f>
        <v>고정비</v>
      </c>
      <c r="G411" s="33" t="str">
        <f aca="false">IF(E411="","",IFERROR(INDEX(카테고리!$C$2:$C$200,MATCH(E411,카테고리!$A$2:$A$200,0)),"N"))</f>
        <v>N</v>
      </c>
      <c r="H411" s="34" t="s">
        <v>78</v>
      </c>
      <c r="I411" s="34" t="s">
        <v>107</v>
      </c>
      <c r="J411" s="34" t="s">
        <v>75</v>
      </c>
      <c r="K411" s="37"/>
      <c r="L411" s="36" t="n">
        <f aca="false">IF(A411="","",YEAR(A411)*100+MONTH(A411))</f>
        <v>202605</v>
      </c>
    </row>
    <row r="412" customFormat="false" ht="15" hidden="false" customHeight="false" outlineLevel="0" collapsed="false">
      <c r="A412" s="32" t="n">
        <v>46149</v>
      </c>
      <c r="B412" s="33" t="str">
        <f aca="false">IF(A412="","",TEXT(A412,"yyyy-mm"))</f>
        <v>2026-05</v>
      </c>
      <c r="C412" s="34" t="s">
        <v>110</v>
      </c>
      <c r="D412" s="35" t="n">
        <v>10400</v>
      </c>
      <c r="E412" s="34" t="s">
        <v>85</v>
      </c>
      <c r="F412" s="33" t="str">
        <f aca="false">IF(E412="","",IFERROR(INDEX(카테고리!$B$2:$B$200,MATCH(E412,카테고리!$A$2:$A$200,0)),"미분류"))</f>
        <v>변동비</v>
      </c>
      <c r="G412" s="33" t="str">
        <f aca="false">IF(E412="","",IFERROR(INDEX(카테고리!$C$2:$C$200,MATCH(E412,카테고리!$A$2:$A$200,0)),"N"))</f>
        <v>Y</v>
      </c>
      <c r="H412" s="34" t="s">
        <v>78</v>
      </c>
      <c r="I412" s="34" t="s">
        <v>107</v>
      </c>
      <c r="J412" s="34" t="s">
        <v>75</v>
      </c>
      <c r="K412" s="37"/>
      <c r="L412" s="36" t="n">
        <f aca="false">IF(A412="","",YEAR(A412)*100+MONTH(A412))</f>
        <v>202605</v>
      </c>
    </row>
    <row r="413" customFormat="false" ht="15" hidden="false" customHeight="false" outlineLevel="0" collapsed="false">
      <c r="A413" s="32" t="n">
        <v>46149</v>
      </c>
      <c r="B413" s="33" t="str">
        <f aca="false">IF(A413="","",TEXT(A413,"yyyy-mm"))</f>
        <v>2026-05</v>
      </c>
      <c r="C413" s="34" t="s">
        <v>108</v>
      </c>
      <c r="D413" s="35" t="n">
        <v>7890</v>
      </c>
      <c r="E413" s="34" t="s">
        <v>105</v>
      </c>
      <c r="F413" s="33" t="str">
        <f aca="false">IF(E413="","",IFERROR(INDEX(카테고리!$B$2:$B$200,MATCH(E413,카테고리!$A$2:$A$200,0)),"미분류"))</f>
        <v>고정비</v>
      </c>
      <c r="G413" s="33" t="str">
        <f aca="false">IF(E413="","",IFERROR(INDEX(카테고리!$C$2:$C$200,MATCH(E413,카테고리!$A$2:$A$200,0)),"N"))</f>
        <v>N</v>
      </c>
      <c r="H413" s="34" t="s">
        <v>73</v>
      </c>
      <c r="I413" s="34" t="s">
        <v>90</v>
      </c>
      <c r="J413" s="34" t="s">
        <v>75</v>
      </c>
      <c r="K413" s="37"/>
      <c r="L413" s="36" t="n">
        <f aca="false">IF(A413="","",YEAR(A413)*100+MONTH(A413))</f>
        <v>202605</v>
      </c>
    </row>
    <row r="414" customFormat="false" ht="15" hidden="false" customHeight="false" outlineLevel="0" collapsed="false">
      <c r="A414" s="32" t="n">
        <v>46150</v>
      </c>
      <c r="B414" s="33" t="str">
        <f aca="false">IF(A414="","",TEXT(A414,"yyyy-mm"))</f>
        <v>2026-05</v>
      </c>
      <c r="C414" s="34" t="s">
        <v>88</v>
      </c>
      <c r="D414" s="35" t="n">
        <v>78910</v>
      </c>
      <c r="E414" s="34" t="s">
        <v>89</v>
      </c>
      <c r="F414" s="33" t="str">
        <f aca="false">IF(E414="","",IFERROR(INDEX(카테고리!$B$2:$B$200,MATCH(E414,카테고리!$A$2:$A$200,0)),"미분류"))</f>
        <v>변동비</v>
      </c>
      <c r="G414" s="33" t="str">
        <f aca="false">IF(E414="","",IFERROR(INDEX(카테고리!$C$2:$C$200,MATCH(E414,카테고리!$A$2:$A$200,0)),"N"))</f>
        <v>N</v>
      </c>
      <c r="H414" s="34" t="s">
        <v>73</v>
      </c>
      <c r="I414" s="34" t="s">
        <v>90</v>
      </c>
      <c r="J414" s="34" t="s">
        <v>75</v>
      </c>
      <c r="K414" s="37"/>
      <c r="L414" s="36" t="n">
        <f aca="false">IF(A414="","",YEAR(A414)*100+MONTH(A414))</f>
        <v>202605</v>
      </c>
    </row>
    <row r="415" customFormat="false" ht="15" hidden="false" customHeight="false" outlineLevel="0" collapsed="false">
      <c r="A415" s="32" t="n">
        <v>46150</v>
      </c>
      <c r="B415" s="33" t="str">
        <f aca="false">IF(A415="","",TEXT(A415,"yyyy-mm"))</f>
        <v>2026-05</v>
      </c>
      <c r="C415" s="34" t="s">
        <v>110</v>
      </c>
      <c r="D415" s="35" t="n">
        <v>20800</v>
      </c>
      <c r="E415" s="34" t="s">
        <v>85</v>
      </c>
      <c r="F415" s="33" t="str">
        <f aca="false">IF(E415="","",IFERROR(INDEX(카테고리!$B$2:$B$200,MATCH(E415,카테고리!$A$2:$A$200,0)),"미분류"))</f>
        <v>변동비</v>
      </c>
      <c r="G415" s="33" t="str">
        <f aca="false">IF(E415="","",IFERROR(INDEX(카테고리!$C$2:$C$200,MATCH(E415,카테고리!$A$2:$A$200,0)),"N"))</f>
        <v>Y</v>
      </c>
      <c r="H415" s="34" t="s">
        <v>78</v>
      </c>
      <c r="I415" s="34" t="s">
        <v>107</v>
      </c>
      <c r="J415" s="34" t="s">
        <v>75</v>
      </c>
      <c r="K415" s="37"/>
      <c r="L415" s="36" t="n">
        <f aca="false">IF(A415="","",YEAR(A415)*100+MONTH(A415))</f>
        <v>202605</v>
      </c>
    </row>
    <row r="416" customFormat="false" ht="15" hidden="false" customHeight="false" outlineLevel="0" collapsed="false">
      <c r="A416" s="32" t="n">
        <v>46152</v>
      </c>
      <c r="B416" s="33" t="str">
        <f aca="false">IF(A416="","",TEXT(A416,"yyyy-mm"))</f>
        <v>2026-05</v>
      </c>
      <c r="C416" s="37" t="s">
        <v>149</v>
      </c>
      <c r="D416" s="35" t="n">
        <v>78000</v>
      </c>
      <c r="E416" s="34" t="s">
        <v>124</v>
      </c>
      <c r="F416" s="33" t="str">
        <f aca="false">IF(E416="","",IFERROR(INDEX(카테고리!$B$2:$B$200,MATCH(E416,카테고리!$A$2:$A$200,0)),"미분류"))</f>
        <v>변동비</v>
      </c>
      <c r="G416" s="33" t="str">
        <f aca="false">IF(E416="","",IFERROR(INDEX(카테고리!$C$2:$C$200,MATCH(E416,카테고리!$A$2:$A$200,0)),"N"))</f>
        <v>N</v>
      </c>
      <c r="H416" s="34" t="s">
        <v>81</v>
      </c>
      <c r="I416" s="34" t="s">
        <v>107</v>
      </c>
      <c r="J416" s="34" t="s">
        <v>75</v>
      </c>
      <c r="K416" s="37"/>
      <c r="L416" s="36" t="n">
        <f aca="false">IF(A416="","",YEAR(A416)*100+MONTH(A416))</f>
        <v>202605</v>
      </c>
    </row>
    <row r="417" customFormat="false" ht="15" hidden="false" customHeight="false" outlineLevel="0" collapsed="false">
      <c r="A417" s="32" t="n">
        <v>46152</v>
      </c>
      <c r="B417" s="33" t="str">
        <f aca="false">IF(A417="","",TEXT(A417,"yyyy-mm"))</f>
        <v>2026-05</v>
      </c>
      <c r="C417" s="37" t="s">
        <v>111</v>
      </c>
      <c r="D417" s="35" t="n">
        <v>68000</v>
      </c>
      <c r="E417" s="34" t="s">
        <v>112</v>
      </c>
      <c r="F417" s="33" t="str">
        <f aca="false">IF(E417="","",IFERROR(INDEX(카테고리!$B$2:$B$200,MATCH(E417,카테고리!$A$2:$A$200,0)),"미분류"))</f>
        <v>고정비</v>
      </c>
      <c r="G417" s="33" t="str">
        <f aca="false">IF(E417="","",IFERROR(INDEX(카테고리!$C$2:$C$200,MATCH(E417,카테고리!$A$2:$A$200,0)),"N"))</f>
        <v>Y</v>
      </c>
      <c r="H417" s="34" t="s">
        <v>81</v>
      </c>
      <c r="I417" s="34" t="s">
        <v>98</v>
      </c>
      <c r="J417" s="34" t="s">
        <v>75</v>
      </c>
      <c r="K417" s="37"/>
      <c r="L417" s="36" t="n">
        <f aca="false">IF(A417="","",YEAR(A417)*100+MONTH(A417))</f>
        <v>202605</v>
      </c>
    </row>
    <row r="418" customFormat="false" ht="15" hidden="false" customHeight="false" outlineLevel="0" collapsed="false">
      <c r="A418" s="32" t="n">
        <v>46152</v>
      </c>
      <c r="B418" s="33" t="str">
        <f aca="false">IF(A418="","",TEXT(A418,"yyyy-mm"))</f>
        <v>2026-05</v>
      </c>
      <c r="C418" s="34" t="s">
        <v>113</v>
      </c>
      <c r="D418" s="35" t="n">
        <v>172000</v>
      </c>
      <c r="E418" s="34" t="s">
        <v>112</v>
      </c>
      <c r="F418" s="33" t="str">
        <f aca="false">IF(E418="","",IFERROR(INDEX(카테고리!$B$2:$B$200,MATCH(E418,카테고리!$A$2:$A$200,0)),"미분류"))</f>
        <v>고정비</v>
      </c>
      <c r="G418" s="33" t="str">
        <f aca="false">IF(E418="","",IFERROR(INDEX(카테고리!$C$2:$C$200,MATCH(E418,카테고리!$A$2:$A$200,0)),"N"))</f>
        <v>Y</v>
      </c>
      <c r="H418" s="34" t="s">
        <v>78</v>
      </c>
      <c r="I418" s="34" t="s">
        <v>98</v>
      </c>
      <c r="J418" s="34" t="s">
        <v>75</v>
      </c>
      <c r="K418" s="37"/>
      <c r="L418" s="36" t="n">
        <f aca="false">IF(A418="","",YEAR(A418)*100+MONTH(A418))</f>
        <v>202605</v>
      </c>
    </row>
    <row r="419" customFormat="false" ht="15" hidden="false" customHeight="false" outlineLevel="0" collapsed="false">
      <c r="A419" s="32" t="n">
        <v>46152</v>
      </c>
      <c r="B419" s="33" t="str">
        <f aca="false">IF(A419="","",TEXT(A419,"yyyy-mm"))</f>
        <v>2026-05</v>
      </c>
      <c r="C419" s="34" t="s">
        <v>114</v>
      </c>
      <c r="D419" s="35" t="n">
        <v>148000</v>
      </c>
      <c r="E419" s="34" t="s">
        <v>112</v>
      </c>
      <c r="F419" s="33" t="str">
        <f aca="false">IF(E419="","",IFERROR(INDEX(카테고리!$B$2:$B$200,MATCH(E419,카테고리!$A$2:$A$200,0)),"미분류"))</f>
        <v>고정비</v>
      </c>
      <c r="G419" s="33" t="str">
        <f aca="false">IF(E419="","",IFERROR(INDEX(카테고리!$C$2:$C$200,MATCH(E419,카테고리!$A$2:$A$200,0)),"N"))</f>
        <v>Y</v>
      </c>
      <c r="H419" s="34" t="s">
        <v>73</v>
      </c>
      <c r="I419" s="34" t="s">
        <v>98</v>
      </c>
      <c r="J419" s="34" t="s">
        <v>75</v>
      </c>
      <c r="K419" s="37"/>
      <c r="L419" s="36" t="n">
        <f aca="false">IF(A419="","",YEAR(A419)*100+MONTH(A419))</f>
        <v>202605</v>
      </c>
    </row>
    <row r="420" customFormat="false" ht="15" hidden="false" customHeight="false" outlineLevel="0" collapsed="false">
      <c r="A420" s="32" t="n">
        <v>46153</v>
      </c>
      <c r="B420" s="33" t="str">
        <f aca="false">IF(A420="","",TEXT(A420,"yyyy-mm"))</f>
        <v>2026-05</v>
      </c>
      <c r="C420" s="34" t="s">
        <v>88</v>
      </c>
      <c r="D420" s="35" t="n">
        <v>21760</v>
      </c>
      <c r="E420" s="34" t="s">
        <v>89</v>
      </c>
      <c r="F420" s="33" t="str">
        <f aca="false">IF(E420="","",IFERROR(INDEX(카테고리!$B$2:$B$200,MATCH(E420,카테고리!$A$2:$A$200,0)),"미분류"))</f>
        <v>변동비</v>
      </c>
      <c r="G420" s="33" t="str">
        <f aca="false">IF(E420="","",IFERROR(INDEX(카테고리!$C$2:$C$200,MATCH(E420,카테고리!$A$2:$A$200,0)),"N"))</f>
        <v>N</v>
      </c>
      <c r="H420" s="34" t="s">
        <v>78</v>
      </c>
      <c r="I420" s="34" t="s">
        <v>107</v>
      </c>
      <c r="J420" s="34" t="s">
        <v>75</v>
      </c>
      <c r="K420" s="37"/>
      <c r="L420" s="36" t="n">
        <f aca="false">IF(A420="","",YEAR(A420)*100+MONTH(A420))</f>
        <v>202605</v>
      </c>
    </row>
    <row r="421" customFormat="false" ht="15" hidden="false" customHeight="false" outlineLevel="0" collapsed="false">
      <c r="A421" s="32" t="n">
        <v>46153</v>
      </c>
      <c r="B421" s="33" t="str">
        <f aca="false">IF(A421="","",TEXT(A421,"yyyy-mm"))</f>
        <v>2026-05</v>
      </c>
      <c r="C421" s="34" t="s">
        <v>95</v>
      </c>
      <c r="D421" s="35" t="n">
        <v>50180</v>
      </c>
      <c r="E421" s="34" t="s">
        <v>89</v>
      </c>
      <c r="F421" s="33" t="str">
        <f aca="false">IF(E421="","",IFERROR(INDEX(카테고리!$B$2:$B$200,MATCH(E421,카테고리!$A$2:$A$200,0)),"미분류"))</f>
        <v>변동비</v>
      </c>
      <c r="G421" s="33" t="str">
        <f aca="false">IF(E421="","",IFERROR(INDEX(카테고리!$C$2:$C$200,MATCH(E421,카테고리!$A$2:$A$200,0)),"N"))</f>
        <v>N</v>
      </c>
      <c r="H421" s="34" t="s">
        <v>81</v>
      </c>
      <c r="I421" s="34" t="s">
        <v>107</v>
      </c>
      <c r="J421" s="34" t="s">
        <v>75</v>
      </c>
      <c r="K421" s="37"/>
      <c r="L421" s="36" t="n">
        <f aca="false">IF(A421="","",YEAR(A421)*100+MONTH(A421))</f>
        <v>202605</v>
      </c>
    </row>
    <row r="422" customFormat="false" ht="15" hidden="false" customHeight="false" outlineLevel="0" collapsed="false">
      <c r="A422" s="32" t="n">
        <v>46154</v>
      </c>
      <c r="B422" s="33" t="str">
        <f aca="false">IF(A422="","",TEXT(A422,"yyyy-mm"))</f>
        <v>2026-05</v>
      </c>
      <c r="C422" s="34" t="s">
        <v>93</v>
      </c>
      <c r="D422" s="35" t="n">
        <v>124830</v>
      </c>
      <c r="E422" s="34" t="s">
        <v>92</v>
      </c>
      <c r="F422" s="33" t="str">
        <f aca="false">IF(E422="","",IFERROR(INDEX(카테고리!$B$2:$B$200,MATCH(E422,카테고리!$A$2:$A$200,0)),"미분류"))</f>
        <v>변동비</v>
      </c>
      <c r="G422" s="33" t="str">
        <f aca="false">IF(E422="","",IFERROR(INDEX(카테고리!$C$2:$C$200,MATCH(E422,카테고리!$A$2:$A$200,0)),"N"))</f>
        <v>Y</v>
      </c>
      <c r="H422" s="34" t="s">
        <v>81</v>
      </c>
      <c r="I422" s="34" t="s">
        <v>82</v>
      </c>
      <c r="J422" s="34" t="s">
        <v>75</v>
      </c>
      <c r="K422" s="37"/>
      <c r="L422" s="36" t="n">
        <f aca="false">IF(A422="","",YEAR(A422)*100+MONTH(A422))</f>
        <v>202605</v>
      </c>
    </row>
    <row r="423" customFormat="false" ht="15" hidden="false" customHeight="false" outlineLevel="0" collapsed="false">
      <c r="A423" s="32" t="n">
        <v>46156</v>
      </c>
      <c r="B423" s="33" t="str">
        <f aca="false">IF(A423="","",TEXT(A423,"yyyy-mm"))</f>
        <v>2026-05</v>
      </c>
      <c r="C423" s="34" t="s">
        <v>93</v>
      </c>
      <c r="D423" s="35" t="n">
        <v>102470</v>
      </c>
      <c r="E423" s="34" t="s">
        <v>92</v>
      </c>
      <c r="F423" s="33" t="str">
        <f aca="false">IF(E423="","",IFERROR(INDEX(카테고리!$B$2:$B$200,MATCH(E423,카테고리!$A$2:$A$200,0)),"미분류"))</f>
        <v>변동비</v>
      </c>
      <c r="G423" s="33" t="str">
        <f aca="false">IF(E423="","",IFERROR(INDEX(카테고리!$C$2:$C$200,MATCH(E423,카테고리!$A$2:$A$200,0)),"N"))</f>
        <v>Y</v>
      </c>
      <c r="H423" s="34" t="s">
        <v>73</v>
      </c>
      <c r="I423" s="34" t="s">
        <v>82</v>
      </c>
      <c r="J423" s="34" t="s">
        <v>75</v>
      </c>
      <c r="K423" s="37"/>
      <c r="L423" s="36" t="n">
        <f aca="false">IF(A423="","",YEAR(A423)*100+MONTH(A423))</f>
        <v>202605</v>
      </c>
    </row>
    <row r="424" customFormat="false" ht="15" hidden="false" customHeight="false" outlineLevel="0" collapsed="false">
      <c r="A424" s="32" t="n">
        <v>46156</v>
      </c>
      <c r="B424" s="33" t="str">
        <f aca="false">IF(A424="","",TEXT(A424,"yyyy-mm"))</f>
        <v>2026-05</v>
      </c>
      <c r="C424" s="34" t="s">
        <v>110</v>
      </c>
      <c r="D424" s="35" t="n">
        <v>17000</v>
      </c>
      <c r="E424" s="34" t="s">
        <v>85</v>
      </c>
      <c r="F424" s="33" t="str">
        <f aca="false">IF(E424="","",IFERROR(INDEX(카테고리!$B$2:$B$200,MATCH(E424,카테고리!$A$2:$A$200,0)),"미분류"))</f>
        <v>변동비</v>
      </c>
      <c r="G424" s="33" t="str">
        <f aca="false">IF(E424="","",IFERROR(INDEX(카테고리!$C$2:$C$200,MATCH(E424,카테고리!$A$2:$A$200,0)),"N"))</f>
        <v>Y</v>
      </c>
      <c r="H424" s="34" t="s">
        <v>78</v>
      </c>
      <c r="I424" s="34" t="s">
        <v>107</v>
      </c>
      <c r="J424" s="34" t="s">
        <v>75</v>
      </c>
      <c r="K424" s="37"/>
      <c r="L424" s="36" t="n">
        <f aca="false">IF(A424="","",YEAR(A424)*100+MONTH(A424))</f>
        <v>202605</v>
      </c>
    </row>
    <row r="425" customFormat="false" ht="15" hidden="false" customHeight="false" outlineLevel="0" collapsed="false">
      <c r="A425" s="32" t="n">
        <v>46157</v>
      </c>
      <c r="B425" s="33" t="str">
        <f aca="false">IF(A425="","",TEXT(A425,"yyyy-mm"))</f>
        <v>2026-05</v>
      </c>
      <c r="C425" s="34" t="s">
        <v>88</v>
      </c>
      <c r="D425" s="35" t="n">
        <v>75090</v>
      </c>
      <c r="E425" s="34" t="s">
        <v>89</v>
      </c>
      <c r="F425" s="33" t="str">
        <f aca="false">IF(E425="","",IFERROR(INDEX(카테고리!$B$2:$B$200,MATCH(E425,카테고리!$A$2:$A$200,0)),"미분류"))</f>
        <v>변동비</v>
      </c>
      <c r="G425" s="33" t="str">
        <f aca="false">IF(E425="","",IFERROR(INDEX(카테고리!$C$2:$C$200,MATCH(E425,카테고리!$A$2:$A$200,0)),"N"))</f>
        <v>N</v>
      </c>
      <c r="H425" s="34" t="s">
        <v>73</v>
      </c>
      <c r="I425" s="34" t="s">
        <v>90</v>
      </c>
      <c r="J425" s="34" t="s">
        <v>75</v>
      </c>
      <c r="K425" s="37"/>
      <c r="L425" s="36" t="n">
        <f aca="false">IF(A425="","",YEAR(A425)*100+MONTH(A425))</f>
        <v>202605</v>
      </c>
    </row>
    <row r="426" customFormat="false" ht="15" hidden="false" customHeight="false" outlineLevel="0" collapsed="false">
      <c r="A426" s="32" t="n">
        <v>46158</v>
      </c>
      <c r="B426" s="33" t="str">
        <f aca="false">IF(A426="","",TEXT(A426,"yyyy-mm"))</f>
        <v>2026-05</v>
      </c>
      <c r="C426" s="34" t="s">
        <v>86</v>
      </c>
      <c r="D426" s="35" t="n">
        <v>48250</v>
      </c>
      <c r="E426" s="34" t="s">
        <v>87</v>
      </c>
      <c r="F426" s="33" t="str">
        <f aca="false">IF(E426="","",IFERROR(INDEX(카테고리!$B$2:$B$200,MATCH(E426,카테고리!$A$2:$A$200,0)),"미분류"))</f>
        <v>변동비</v>
      </c>
      <c r="G426" s="33" t="str">
        <f aca="false">IF(E426="","",IFERROR(INDEX(카테고리!$C$2:$C$200,MATCH(E426,카테고리!$A$2:$A$200,0)),"N"))</f>
        <v>Y</v>
      </c>
      <c r="H426" s="34" t="s">
        <v>81</v>
      </c>
      <c r="I426" s="34" t="s">
        <v>82</v>
      </c>
      <c r="J426" s="34" t="s">
        <v>75</v>
      </c>
      <c r="K426" s="37"/>
      <c r="L426" s="36" t="n">
        <f aca="false">IF(A426="","",YEAR(A426)*100+MONTH(A426))</f>
        <v>202605</v>
      </c>
    </row>
    <row r="427" customFormat="false" ht="15" hidden="false" customHeight="false" outlineLevel="0" collapsed="false">
      <c r="A427" s="32" t="n">
        <v>46160</v>
      </c>
      <c r="B427" s="33" t="str">
        <f aca="false">IF(A427="","",TEXT(A427,"yyyy-mm"))</f>
        <v>2026-05</v>
      </c>
      <c r="C427" s="34" t="s">
        <v>150</v>
      </c>
      <c r="D427" s="35" t="n">
        <v>300000</v>
      </c>
      <c r="E427" s="34" t="s">
        <v>151</v>
      </c>
      <c r="F427" s="33" t="str">
        <f aca="false">IF(E427="","",IFERROR(INDEX(카테고리!$B$2:$B$200,MATCH(E427,카테고리!$A$2:$A$200,0)),"미분류"))</f>
        <v>소득</v>
      </c>
      <c r="G427" s="33" t="str">
        <f aca="false">IF(E427="","",IFERROR(INDEX(카테고리!$C$2:$C$200,MATCH(E427,카테고리!$A$2:$A$200,0)),"N"))</f>
        <v>N</v>
      </c>
      <c r="H427" s="34" t="s">
        <v>73</v>
      </c>
      <c r="I427" s="34" t="s">
        <v>131</v>
      </c>
      <c r="J427" s="34" t="s">
        <v>75</v>
      </c>
      <c r="K427" s="37"/>
      <c r="L427" s="36" t="n">
        <f aca="false">IF(A427="","",YEAR(A427)*100+MONTH(A427))</f>
        <v>202605</v>
      </c>
    </row>
    <row r="428" customFormat="false" ht="15" hidden="false" customHeight="false" outlineLevel="0" collapsed="false">
      <c r="A428" s="32" t="n">
        <v>46160</v>
      </c>
      <c r="B428" s="33" t="str">
        <f aca="false">IF(A428="","",TEXT(A428,"yyyy-mm"))</f>
        <v>2026-05</v>
      </c>
      <c r="C428" s="34" t="s">
        <v>110</v>
      </c>
      <c r="D428" s="35" t="n">
        <v>21420</v>
      </c>
      <c r="E428" s="34" t="s">
        <v>85</v>
      </c>
      <c r="F428" s="33" t="str">
        <f aca="false">IF(E428="","",IFERROR(INDEX(카테고리!$B$2:$B$200,MATCH(E428,카테고리!$A$2:$A$200,0)),"미분류"))</f>
        <v>변동비</v>
      </c>
      <c r="G428" s="33" t="str">
        <f aca="false">IF(E428="","",IFERROR(INDEX(카테고리!$C$2:$C$200,MATCH(E428,카테고리!$A$2:$A$200,0)),"N"))</f>
        <v>Y</v>
      </c>
      <c r="H428" s="34" t="s">
        <v>78</v>
      </c>
      <c r="I428" s="34" t="s">
        <v>107</v>
      </c>
      <c r="J428" s="34" t="s">
        <v>75</v>
      </c>
      <c r="K428" s="37"/>
      <c r="L428" s="36" t="n">
        <f aca="false">IF(A428="","",YEAR(A428)*100+MONTH(A428))</f>
        <v>202605</v>
      </c>
    </row>
    <row r="429" customFormat="false" ht="15" hidden="false" customHeight="false" outlineLevel="0" collapsed="false">
      <c r="A429" s="32" t="n">
        <v>46161</v>
      </c>
      <c r="B429" s="33" t="str">
        <f aca="false">IF(A429="","",TEXT(A429,"yyyy-mm"))</f>
        <v>2026-05</v>
      </c>
      <c r="C429" s="34" t="s">
        <v>152</v>
      </c>
      <c r="D429" s="35" t="n">
        <v>100000</v>
      </c>
      <c r="E429" s="34" t="s">
        <v>153</v>
      </c>
      <c r="F429" s="33" t="str">
        <f aca="false">IF(E429="","",IFERROR(INDEX(카테고리!$B$2:$B$200,MATCH(E429,카테고리!$A$2:$A$200,0)),"미분류"))</f>
        <v>비정기비</v>
      </c>
      <c r="G429" s="33" t="str">
        <f aca="false">IF(E429="","",IFERROR(INDEX(카테고리!$C$2:$C$200,MATCH(E429,카테고리!$A$2:$A$200,0)),"N"))</f>
        <v>N</v>
      </c>
      <c r="H429" s="34" t="s">
        <v>73</v>
      </c>
      <c r="I429" s="34" t="s">
        <v>74</v>
      </c>
      <c r="J429" s="34" t="s">
        <v>75</v>
      </c>
      <c r="K429" s="37"/>
      <c r="L429" s="36" t="n">
        <f aca="false">IF(A429="","",YEAR(A429)*100+MONTH(A429))</f>
        <v>202605</v>
      </c>
    </row>
    <row r="430" customFormat="false" ht="15" hidden="false" customHeight="false" outlineLevel="0" collapsed="false">
      <c r="A430" s="32" t="n">
        <v>46162</v>
      </c>
      <c r="B430" s="33" t="str">
        <f aca="false">IF(A430="","",TEXT(A430,"yyyy-mm"))</f>
        <v>2026-05</v>
      </c>
      <c r="C430" s="34" t="s">
        <v>117</v>
      </c>
      <c r="D430" s="35" t="n">
        <v>284750</v>
      </c>
      <c r="E430" s="34" t="s">
        <v>118</v>
      </c>
      <c r="F430" s="33" t="str">
        <f aca="false">IF(E430="","",IFERROR(INDEX(카테고리!$B$2:$B$200,MATCH(E430,카테고리!$A$2:$A$200,0)),"미분류"))</f>
        <v>고정비</v>
      </c>
      <c r="G430" s="33" t="str">
        <f aca="false">IF(E430="","",IFERROR(INDEX(카테고리!$C$2:$C$200,MATCH(E430,카테고리!$A$2:$A$200,0)),"N"))</f>
        <v>Y</v>
      </c>
      <c r="H430" s="34" t="s">
        <v>81</v>
      </c>
      <c r="I430" s="34" t="s">
        <v>98</v>
      </c>
      <c r="J430" s="34" t="s">
        <v>75</v>
      </c>
      <c r="K430" s="37"/>
      <c r="L430" s="36" t="n">
        <f aca="false">IF(A430="","",YEAR(A430)*100+MONTH(A430))</f>
        <v>202605</v>
      </c>
    </row>
    <row r="431" customFormat="false" ht="15" hidden="false" customHeight="false" outlineLevel="0" collapsed="false">
      <c r="A431" s="32" t="n">
        <v>46163</v>
      </c>
      <c r="B431" s="33" t="str">
        <f aca="false">IF(A431="","",TEXT(A431,"yyyy-mm"))</f>
        <v>2026-05</v>
      </c>
      <c r="C431" s="37" t="s">
        <v>119</v>
      </c>
      <c r="D431" s="35" t="n">
        <v>54000</v>
      </c>
      <c r="E431" s="34" t="s">
        <v>120</v>
      </c>
      <c r="F431" s="33" t="str">
        <f aca="false">IF(E431="","",IFERROR(INDEX(카테고리!$B$2:$B$200,MATCH(E431,카테고리!$A$2:$A$200,0)),"미분류"))</f>
        <v>고정비</v>
      </c>
      <c r="G431" s="33" t="str">
        <f aca="false">IF(E431="","",IFERROR(INDEX(카테고리!$C$2:$C$200,MATCH(E431,카테고리!$A$2:$A$200,0)),"N"))</f>
        <v>Y</v>
      </c>
      <c r="H431" s="34" t="s">
        <v>73</v>
      </c>
      <c r="I431" s="34" t="s">
        <v>90</v>
      </c>
      <c r="J431" s="34" t="s">
        <v>75</v>
      </c>
      <c r="K431" s="37"/>
      <c r="L431" s="36" t="n">
        <f aca="false">IF(A431="","",YEAR(A431)*100+MONTH(A431))</f>
        <v>202605</v>
      </c>
    </row>
    <row r="432" customFormat="false" ht="15" hidden="false" customHeight="false" outlineLevel="0" collapsed="false">
      <c r="A432" s="32" t="n">
        <v>46163</v>
      </c>
      <c r="B432" s="33" t="str">
        <f aca="false">IF(A432="","",TEXT(A432,"yyyy-mm"))</f>
        <v>2026-05</v>
      </c>
      <c r="C432" s="37" t="s">
        <v>121</v>
      </c>
      <c r="D432" s="35" t="n">
        <v>68000</v>
      </c>
      <c r="E432" s="34" t="s">
        <v>120</v>
      </c>
      <c r="F432" s="33" t="str">
        <f aca="false">IF(E432="","",IFERROR(INDEX(카테고리!$B$2:$B$200,MATCH(E432,카테고리!$A$2:$A$200,0)),"미분류"))</f>
        <v>고정비</v>
      </c>
      <c r="G432" s="33" t="str">
        <f aca="false">IF(E432="","",IFERROR(INDEX(카테고리!$C$2:$C$200,MATCH(E432,카테고리!$A$2:$A$200,0)),"N"))</f>
        <v>Y</v>
      </c>
      <c r="H432" s="34" t="s">
        <v>78</v>
      </c>
      <c r="I432" s="34" t="s">
        <v>107</v>
      </c>
      <c r="J432" s="34" t="s">
        <v>75</v>
      </c>
      <c r="K432" s="37"/>
      <c r="L432" s="36" t="n">
        <f aca="false">IF(A432="","",YEAR(A432)*100+MONTH(A432))</f>
        <v>202605</v>
      </c>
    </row>
    <row r="433" customFormat="false" ht="15" hidden="false" customHeight="false" outlineLevel="0" collapsed="false">
      <c r="A433" s="32" t="n">
        <v>46163</v>
      </c>
      <c r="B433" s="33" t="str">
        <f aca="false">IF(A433="","",TEXT(A433,"yyyy-mm"))</f>
        <v>2026-05</v>
      </c>
      <c r="C433" s="34" t="s">
        <v>122</v>
      </c>
      <c r="D433" s="35" t="n">
        <v>33000</v>
      </c>
      <c r="E433" s="34" t="s">
        <v>120</v>
      </c>
      <c r="F433" s="33" t="str">
        <f aca="false">IF(E433="","",IFERROR(INDEX(카테고리!$B$2:$B$200,MATCH(E433,카테고리!$A$2:$A$200,0)),"미분류"))</f>
        <v>고정비</v>
      </c>
      <c r="G433" s="33" t="str">
        <f aca="false">IF(E433="","",IFERROR(INDEX(카테고리!$C$2:$C$200,MATCH(E433,카테고리!$A$2:$A$200,0)),"N"))</f>
        <v>Y</v>
      </c>
      <c r="H433" s="34" t="s">
        <v>81</v>
      </c>
      <c r="I433" s="34" t="s">
        <v>98</v>
      </c>
      <c r="J433" s="34" t="s">
        <v>75</v>
      </c>
      <c r="K433" s="37"/>
      <c r="L433" s="36" t="n">
        <f aca="false">IF(A433="","",YEAR(A433)*100+MONTH(A433))</f>
        <v>202605</v>
      </c>
    </row>
    <row r="434" customFormat="false" ht="15" hidden="false" customHeight="false" outlineLevel="0" collapsed="false">
      <c r="A434" s="32" t="n">
        <v>46163</v>
      </c>
      <c r="B434" s="33" t="str">
        <f aca="false">IF(A434="","",TEXT(A434,"yyyy-mm"))</f>
        <v>2026-05</v>
      </c>
      <c r="C434" s="34" t="s">
        <v>145</v>
      </c>
      <c r="D434" s="35" t="n">
        <v>53400</v>
      </c>
      <c r="E434" s="34" t="s">
        <v>89</v>
      </c>
      <c r="F434" s="33" t="str">
        <f aca="false">IF(E434="","",IFERROR(INDEX(카테고리!$B$2:$B$200,MATCH(E434,카테고리!$A$2:$A$200,0)),"미분류"))</f>
        <v>변동비</v>
      </c>
      <c r="G434" s="33" t="str">
        <f aca="false">IF(E434="","",IFERROR(INDEX(카테고리!$C$2:$C$200,MATCH(E434,카테고리!$A$2:$A$200,0)),"N"))</f>
        <v>N</v>
      </c>
      <c r="H434" s="34" t="s">
        <v>73</v>
      </c>
      <c r="I434" s="34" t="s">
        <v>90</v>
      </c>
      <c r="J434" s="34" t="s">
        <v>75</v>
      </c>
      <c r="K434" s="37"/>
      <c r="L434" s="36" t="n">
        <f aca="false">IF(A434="","",YEAR(A434)*100+MONTH(A434))</f>
        <v>202605</v>
      </c>
    </row>
    <row r="435" customFormat="false" ht="15" hidden="false" customHeight="false" outlineLevel="0" collapsed="false">
      <c r="A435" s="32" t="n">
        <v>46165</v>
      </c>
      <c r="B435" s="33" t="str">
        <f aca="false">IF(A435="","",TEXT(A435,"yyyy-mm"))</f>
        <v>2026-05</v>
      </c>
      <c r="C435" s="34" t="s">
        <v>91</v>
      </c>
      <c r="D435" s="35" t="n">
        <v>86830</v>
      </c>
      <c r="E435" s="34" t="s">
        <v>92</v>
      </c>
      <c r="F435" s="33" t="str">
        <f aca="false">IF(E435="","",IFERROR(INDEX(카테고리!$B$2:$B$200,MATCH(E435,카테고리!$A$2:$A$200,0)),"미분류"))</f>
        <v>변동비</v>
      </c>
      <c r="G435" s="33" t="str">
        <f aca="false">IF(E435="","",IFERROR(INDEX(카테고리!$C$2:$C$200,MATCH(E435,카테고리!$A$2:$A$200,0)),"N"))</f>
        <v>Y</v>
      </c>
      <c r="H435" s="34" t="s">
        <v>81</v>
      </c>
      <c r="I435" s="34" t="s">
        <v>82</v>
      </c>
      <c r="J435" s="34" t="s">
        <v>75</v>
      </c>
      <c r="K435" s="37"/>
      <c r="L435" s="36" t="n">
        <f aca="false">IF(A435="","",YEAR(A435)*100+MONTH(A435))</f>
        <v>202605</v>
      </c>
    </row>
    <row r="436" customFormat="false" ht="15" hidden="false" customHeight="false" outlineLevel="0" collapsed="false">
      <c r="A436" s="32" t="n">
        <v>46165</v>
      </c>
      <c r="B436" s="33" t="str">
        <f aca="false">IF(A436="","",TEXT(A436,"yyyy-mm"))</f>
        <v>2026-05</v>
      </c>
      <c r="C436" s="34" t="s">
        <v>146</v>
      </c>
      <c r="D436" s="35" t="n">
        <v>81000</v>
      </c>
      <c r="E436" s="34" t="s">
        <v>92</v>
      </c>
      <c r="F436" s="33" t="str">
        <f aca="false">IF(E436="","",IFERROR(INDEX(카테고리!$B$2:$B$200,MATCH(E436,카테고리!$A$2:$A$200,0)),"미분류"))</f>
        <v>변동비</v>
      </c>
      <c r="G436" s="33" t="str">
        <f aca="false">IF(E436="","",IFERROR(INDEX(카테고리!$C$2:$C$200,MATCH(E436,카테고리!$A$2:$A$200,0)),"N"))</f>
        <v>Y</v>
      </c>
      <c r="H436" s="34" t="s">
        <v>81</v>
      </c>
      <c r="I436" s="34" t="s">
        <v>82</v>
      </c>
      <c r="J436" s="34" t="s">
        <v>75</v>
      </c>
      <c r="K436" s="37"/>
      <c r="L436" s="36" t="n">
        <f aca="false">IF(A436="","",YEAR(A436)*100+MONTH(A436))</f>
        <v>202605</v>
      </c>
    </row>
    <row r="437" customFormat="false" ht="15" hidden="false" customHeight="false" outlineLevel="0" collapsed="false">
      <c r="A437" s="32" t="n">
        <v>46165</v>
      </c>
      <c r="B437" s="33" t="str">
        <f aca="false">IF(A437="","",TEXT(A437,"yyyy-mm"))</f>
        <v>2026-05</v>
      </c>
      <c r="C437" s="34" t="s">
        <v>146</v>
      </c>
      <c r="D437" s="35" t="n">
        <v>75050</v>
      </c>
      <c r="E437" s="34" t="s">
        <v>92</v>
      </c>
      <c r="F437" s="33" t="str">
        <f aca="false">IF(E437="","",IFERROR(INDEX(카테고리!$B$2:$B$200,MATCH(E437,카테고리!$A$2:$A$200,0)),"미분류"))</f>
        <v>변동비</v>
      </c>
      <c r="G437" s="33" t="str">
        <f aca="false">IF(E437="","",IFERROR(INDEX(카테고리!$C$2:$C$200,MATCH(E437,카테고리!$A$2:$A$200,0)),"N"))</f>
        <v>Y</v>
      </c>
      <c r="H437" s="34" t="s">
        <v>81</v>
      </c>
      <c r="I437" s="34" t="s">
        <v>82</v>
      </c>
      <c r="J437" s="34" t="s">
        <v>75</v>
      </c>
      <c r="K437" s="37"/>
      <c r="L437" s="36" t="n">
        <f aca="false">IF(A437="","",YEAR(A437)*100+MONTH(A437))</f>
        <v>202605</v>
      </c>
    </row>
    <row r="438" customFormat="false" ht="15" hidden="false" customHeight="false" outlineLevel="0" collapsed="false">
      <c r="A438" s="32" t="n">
        <v>46165</v>
      </c>
      <c r="B438" s="33" t="str">
        <f aca="false">IF(A438="","",TEXT(A438,"yyyy-mm"))</f>
        <v>2026-05</v>
      </c>
      <c r="C438" s="34" t="s">
        <v>125</v>
      </c>
      <c r="D438" s="35" t="n">
        <v>124660</v>
      </c>
      <c r="E438" s="34" t="s">
        <v>126</v>
      </c>
      <c r="F438" s="33" t="str">
        <f aca="false">IF(E438="","",IFERROR(INDEX(카테고리!$B$2:$B$200,MATCH(E438,카테고리!$A$2:$A$200,0)),"미분류"))</f>
        <v>변동비</v>
      </c>
      <c r="G438" s="33" t="str">
        <f aca="false">IF(E438="","",IFERROR(INDEX(카테고리!$C$2:$C$200,MATCH(E438,카테고리!$A$2:$A$200,0)),"N"))</f>
        <v>N</v>
      </c>
      <c r="H438" s="34" t="s">
        <v>73</v>
      </c>
      <c r="I438" s="34" t="s">
        <v>90</v>
      </c>
      <c r="J438" s="34" t="s">
        <v>75</v>
      </c>
      <c r="K438" s="37"/>
      <c r="L438" s="36" t="n">
        <f aca="false">IF(A438="","",YEAR(A438)*100+MONTH(A438))</f>
        <v>202605</v>
      </c>
    </row>
    <row r="439" customFormat="false" ht="15" hidden="false" customHeight="false" outlineLevel="0" collapsed="false">
      <c r="A439" s="32" t="n">
        <v>46167</v>
      </c>
      <c r="B439" s="33" t="str">
        <f aca="false">IF(A439="","",TEXT(A439,"yyyy-mm"))</f>
        <v>2026-05</v>
      </c>
      <c r="C439" s="34" t="s">
        <v>129</v>
      </c>
      <c r="D439" s="35" t="n">
        <v>3620000</v>
      </c>
      <c r="E439" s="34" t="s">
        <v>130</v>
      </c>
      <c r="F439" s="33" t="str">
        <f aca="false">IF(E439="","",IFERROR(INDEX(카테고리!$B$2:$B$200,MATCH(E439,카테고리!$A$2:$A$200,0)),"미분류"))</f>
        <v>소득</v>
      </c>
      <c r="G439" s="33" t="str">
        <f aca="false">IF(E439="","",IFERROR(INDEX(카테고리!$C$2:$C$200,MATCH(E439,카테고리!$A$2:$A$200,0)),"N"))</f>
        <v>N</v>
      </c>
      <c r="H439" s="34" t="s">
        <v>73</v>
      </c>
      <c r="I439" s="34" t="s">
        <v>131</v>
      </c>
      <c r="J439" s="34" t="s">
        <v>75</v>
      </c>
      <c r="K439" s="37"/>
      <c r="L439" s="36" t="n">
        <f aca="false">IF(A439="","",YEAR(A439)*100+MONTH(A439))</f>
        <v>202605</v>
      </c>
    </row>
    <row r="440" customFormat="false" ht="15" hidden="false" customHeight="false" outlineLevel="0" collapsed="false">
      <c r="A440" s="32" t="n">
        <v>46167</v>
      </c>
      <c r="B440" s="33" t="str">
        <f aca="false">IF(A440="","",TEXT(A440,"yyyy-mm"))</f>
        <v>2026-05</v>
      </c>
      <c r="C440" s="34" t="s">
        <v>132</v>
      </c>
      <c r="D440" s="35" t="n">
        <v>4850000</v>
      </c>
      <c r="E440" s="34" t="s">
        <v>130</v>
      </c>
      <c r="F440" s="33" t="str">
        <f aca="false">IF(E440="","",IFERROR(INDEX(카테고리!$B$2:$B$200,MATCH(E440,카테고리!$A$2:$A$200,0)),"미분류"))</f>
        <v>소득</v>
      </c>
      <c r="G440" s="33" t="str">
        <f aca="false">IF(E440="","",IFERROR(INDEX(카테고리!$C$2:$C$200,MATCH(E440,카테고리!$A$2:$A$200,0)),"N"))</f>
        <v>N</v>
      </c>
      <c r="H440" s="34" t="s">
        <v>78</v>
      </c>
      <c r="I440" s="34" t="s">
        <v>131</v>
      </c>
      <c r="J440" s="34" t="s">
        <v>75</v>
      </c>
      <c r="K440" s="37"/>
      <c r="L440" s="36" t="n">
        <f aca="false">IF(A440="","",YEAR(A440)*100+MONTH(A440))</f>
        <v>202605</v>
      </c>
    </row>
    <row r="441" customFormat="false" ht="15" hidden="false" customHeight="false" outlineLevel="0" collapsed="false">
      <c r="A441" s="32" t="n">
        <v>46168</v>
      </c>
      <c r="B441" s="33" t="str">
        <f aca="false">IF(A441="","",TEXT(A441,"yyyy-mm"))</f>
        <v>2026-05</v>
      </c>
      <c r="C441" s="37" t="s">
        <v>84</v>
      </c>
      <c r="D441" s="35" t="n">
        <v>79050</v>
      </c>
      <c r="E441" s="34" t="s">
        <v>85</v>
      </c>
      <c r="F441" s="33" t="str">
        <f aca="false">IF(E441="","",IFERROR(INDEX(카테고리!$B$2:$B$200,MATCH(E441,카테고리!$A$2:$A$200,0)),"미분류"))</f>
        <v>변동비</v>
      </c>
      <c r="G441" s="33" t="str">
        <f aca="false">IF(E441="","",IFERROR(INDEX(카테고리!$C$2:$C$200,MATCH(E441,카테고리!$A$2:$A$200,0)),"N"))</f>
        <v>Y</v>
      </c>
      <c r="H441" s="34" t="s">
        <v>81</v>
      </c>
      <c r="I441" s="34" t="s">
        <v>82</v>
      </c>
      <c r="J441" s="34" t="s">
        <v>75</v>
      </c>
      <c r="K441" s="37"/>
      <c r="L441" s="36" t="n">
        <f aca="false">IF(A441="","",YEAR(A441)*100+MONTH(A441))</f>
        <v>202605</v>
      </c>
    </row>
    <row r="442" customFormat="false" ht="15" hidden="false" customHeight="false" outlineLevel="0" collapsed="false">
      <c r="A442" s="32" t="n">
        <v>46168</v>
      </c>
      <c r="B442" s="33" t="str">
        <f aca="false">IF(A442="","",TEXT(A442,"yyyy-mm"))</f>
        <v>2026-05</v>
      </c>
      <c r="C442" s="37" t="s">
        <v>133</v>
      </c>
      <c r="D442" s="35" t="n">
        <v>200000</v>
      </c>
      <c r="E442" s="34" t="s">
        <v>134</v>
      </c>
      <c r="F442" s="33" t="str">
        <f aca="false">IF(E442="","",IFERROR(INDEX(카테고리!$B$2:$B$200,MATCH(E442,카테고리!$A$2:$A$200,0)),"미분류"))</f>
        <v>자본이동</v>
      </c>
      <c r="G442" s="33" t="str">
        <f aca="false">IF(E442="","",IFERROR(INDEX(카테고리!$C$2:$C$200,MATCH(E442,카테고리!$A$2:$A$200,0)),"N"))</f>
        <v>N</v>
      </c>
      <c r="H442" s="34" t="s">
        <v>73</v>
      </c>
      <c r="I442" s="34" t="s">
        <v>98</v>
      </c>
      <c r="J442" s="34" t="s">
        <v>75</v>
      </c>
      <c r="K442" s="37"/>
      <c r="L442" s="36" t="n">
        <f aca="false">IF(A442="","",YEAR(A442)*100+MONTH(A442))</f>
        <v>202605</v>
      </c>
    </row>
    <row r="443" customFormat="false" ht="15" hidden="false" customHeight="false" outlineLevel="0" collapsed="false">
      <c r="A443" s="32" t="n">
        <v>46168</v>
      </c>
      <c r="B443" s="33" t="str">
        <f aca="false">IF(A443="","",TEXT(A443,"yyyy-mm"))</f>
        <v>2026-05</v>
      </c>
      <c r="C443" s="34" t="s">
        <v>135</v>
      </c>
      <c r="D443" s="35" t="n">
        <v>650000</v>
      </c>
      <c r="E443" s="34" t="s">
        <v>136</v>
      </c>
      <c r="F443" s="33" t="str">
        <f aca="false">IF(E443="","",IFERROR(INDEX(카테고리!$B$2:$B$200,MATCH(E443,카테고리!$A$2:$A$200,0)),"미분류"))</f>
        <v>자본이동</v>
      </c>
      <c r="G443" s="33" t="str">
        <f aca="false">IF(E443="","",IFERROR(INDEX(카테고리!$C$2:$C$200,MATCH(E443,카테고리!$A$2:$A$200,0)),"N"))</f>
        <v>N</v>
      </c>
      <c r="H443" s="34" t="s">
        <v>73</v>
      </c>
      <c r="I443" s="34" t="s">
        <v>74</v>
      </c>
      <c r="J443" s="34" t="s">
        <v>75</v>
      </c>
      <c r="K443" s="37"/>
      <c r="L443" s="36" t="n">
        <f aca="false">IF(A443="","",YEAR(A443)*100+MONTH(A443))</f>
        <v>202605</v>
      </c>
    </row>
    <row r="444" customFormat="false" ht="15" hidden="false" customHeight="false" outlineLevel="0" collapsed="false">
      <c r="A444" s="32" t="n">
        <v>46168</v>
      </c>
      <c r="B444" s="33" t="str">
        <f aca="false">IF(A444="","",TEXT(A444,"yyyy-mm"))</f>
        <v>2026-05</v>
      </c>
      <c r="C444" s="34" t="s">
        <v>137</v>
      </c>
      <c r="D444" s="35" t="n">
        <v>300000</v>
      </c>
      <c r="E444" s="34" t="s">
        <v>134</v>
      </c>
      <c r="F444" s="33" t="str">
        <f aca="false">IF(E444="","",IFERROR(INDEX(카테고리!$B$2:$B$200,MATCH(E444,카테고리!$A$2:$A$200,0)),"미분류"))</f>
        <v>자본이동</v>
      </c>
      <c r="G444" s="33" t="str">
        <f aca="false">IF(E444="","",IFERROR(INDEX(카테고리!$C$2:$C$200,MATCH(E444,카테고리!$A$2:$A$200,0)),"N"))</f>
        <v>N</v>
      </c>
      <c r="H444" s="34" t="s">
        <v>78</v>
      </c>
      <c r="I444" s="34" t="s">
        <v>98</v>
      </c>
      <c r="J444" s="34" t="s">
        <v>75</v>
      </c>
      <c r="K444" s="37"/>
      <c r="L444" s="36" t="n">
        <f aca="false">IF(A444="","",YEAR(A444)*100+MONTH(A444))</f>
        <v>202605</v>
      </c>
    </row>
    <row r="445" customFormat="false" ht="15" hidden="false" customHeight="false" outlineLevel="0" collapsed="false">
      <c r="A445" s="32" t="n">
        <v>46168</v>
      </c>
      <c r="B445" s="33" t="str">
        <f aca="false">IF(A445="","",TEXT(A445,"yyyy-mm"))</f>
        <v>2026-05</v>
      </c>
      <c r="C445" s="34" t="s">
        <v>138</v>
      </c>
      <c r="D445" s="35" t="n">
        <v>300000</v>
      </c>
      <c r="E445" s="34" t="s">
        <v>139</v>
      </c>
      <c r="F445" s="33" t="str">
        <f aca="false">IF(E445="","",IFERROR(INDEX(카테고리!$B$2:$B$200,MATCH(E445,카테고리!$A$2:$A$200,0)),"미분류"))</f>
        <v>자본이동</v>
      </c>
      <c r="G445" s="33" t="str">
        <f aca="false">IF(E445="","",IFERROR(INDEX(카테고리!$C$2:$C$200,MATCH(E445,카테고리!$A$2:$A$200,0)),"N"))</f>
        <v>N</v>
      </c>
      <c r="H445" s="34" t="s">
        <v>81</v>
      </c>
      <c r="I445" s="34" t="s">
        <v>98</v>
      </c>
      <c r="J445" s="34" t="s">
        <v>75</v>
      </c>
      <c r="K445" s="37"/>
      <c r="L445" s="36" t="n">
        <f aca="false">IF(A445="","",YEAR(A445)*100+MONTH(A445))</f>
        <v>202605</v>
      </c>
    </row>
    <row r="446" customFormat="false" ht="15" hidden="false" customHeight="false" outlineLevel="0" collapsed="false">
      <c r="A446" s="32" t="n">
        <v>46168</v>
      </c>
      <c r="B446" s="33" t="str">
        <f aca="false">IF(A446="","",TEXT(A446,"yyyy-mm"))</f>
        <v>2026-05</v>
      </c>
      <c r="C446" s="34" t="s">
        <v>140</v>
      </c>
      <c r="D446" s="35" t="n">
        <v>100000</v>
      </c>
      <c r="E446" s="34" t="s">
        <v>139</v>
      </c>
      <c r="F446" s="33" t="str">
        <f aca="false">IF(E446="","",IFERROR(INDEX(카테고리!$B$2:$B$200,MATCH(E446,카테고리!$A$2:$A$200,0)),"미분류"))</f>
        <v>자본이동</v>
      </c>
      <c r="G446" s="33" t="str">
        <f aca="false">IF(E446="","",IFERROR(INDEX(카테고리!$C$2:$C$200,MATCH(E446,카테고리!$A$2:$A$200,0)),"N"))</f>
        <v>N</v>
      </c>
      <c r="H446" s="34" t="s">
        <v>78</v>
      </c>
      <c r="I446" s="34" t="s">
        <v>98</v>
      </c>
      <c r="J446" s="34" t="s">
        <v>75</v>
      </c>
      <c r="K446" s="37"/>
      <c r="L446" s="36" t="n">
        <f aca="false">IF(A446="","",YEAR(A446)*100+MONTH(A446))</f>
        <v>202605</v>
      </c>
    </row>
    <row r="447" customFormat="false" ht="15" hidden="false" customHeight="false" outlineLevel="0" collapsed="false">
      <c r="A447" s="32" t="n">
        <v>46168</v>
      </c>
      <c r="B447" s="33" t="str">
        <f aca="false">IF(A447="","",TEXT(A447,"yyyy-mm"))</f>
        <v>2026-05</v>
      </c>
      <c r="C447" s="34" t="s">
        <v>109</v>
      </c>
      <c r="D447" s="35" t="n">
        <v>47300</v>
      </c>
      <c r="E447" s="34" t="s">
        <v>87</v>
      </c>
      <c r="F447" s="33" t="str">
        <f aca="false">IF(E447="","",IFERROR(INDEX(카테고리!$B$2:$B$200,MATCH(E447,카테고리!$A$2:$A$200,0)),"미분류"))</f>
        <v>변동비</v>
      </c>
      <c r="G447" s="33" t="str">
        <f aca="false">IF(E447="","",IFERROR(INDEX(카테고리!$C$2:$C$200,MATCH(E447,카테고리!$A$2:$A$200,0)),"N"))</f>
        <v>Y</v>
      </c>
      <c r="H447" s="34" t="s">
        <v>81</v>
      </c>
      <c r="I447" s="34" t="s">
        <v>82</v>
      </c>
      <c r="J447" s="34" t="s">
        <v>75</v>
      </c>
      <c r="K447" s="37"/>
      <c r="L447" s="36" t="n">
        <f aca="false">IF(A447="","",YEAR(A447)*100+MONTH(A447))</f>
        <v>202605</v>
      </c>
    </row>
    <row r="448" customFormat="false" ht="15" hidden="false" customHeight="false" outlineLevel="0" collapsed="false">
      <c r="A448" s="32" t="n">
        <v>46168</v>
      </c>
      <c r="B448" s="33" t="str">
        <f aca="false">IF(A448="","",TEXT(A448,"yyyy-mm"))</f>
        <v>2026-05</v>
      </c>
      <c r="C448" s="34" t="s">
        <v>141</v>
      </c>
      <c r="D448" s="35" t="n">
        <v>850000</v>
      </c>
      <c r="E448" s="34" t="s">
        <v>136</v>
      </c>
      <c r="F448" s="33" t="str">
        <f aca="false">IF(E448="","",IFERROR(INDEX(카테고리!$B$2:$B$200,MATCH(E448,카테고리!$A$2:$A$200,0)),"미분류"))</f>
        <v>자본이동</v>
      </c>
      <c r="G448" s="33" t="str">
        <f aca="false">IF(E448="","",IFERROR(INDEX(카테고리!$C$2:$C$200,MATCH(E448,카테고리!$A$2:$A$200,0)),"N"))</f>
        <v>N</v>
      </c>
      <c r="H448" s="34" t="s">
        <v>78</v>
      </c>
      <c r="I448" s="34" t="s">
        <v>74</v>
      </c>
      <c r="J448" s="34" t="s">
        <v>75</v>
      </c>
      <c r="K448" s="37"/>
      <c r="L448" s="36" t="n">
        <f aca="false">IF(A448="","",YEAR(A448)*100+MONTH(A448))</f>
        <v>202605</v>
      </c>
    </row>
    <row r="449" customFormat="false" ht="15" hidden="false" customHeight="false" outlineLevel="0" collapsed="false">
      <c r="A449" s="32" t="n">
        <v>46168</v>
      </c>
      <c r="B449" s="33" t="str">
        <f aca="false">IF(A449="","",TEXT(A449,"yyyy-mm"))</f>
        <v>2026-05</v>
      </c>
      <c r="C449" s="34" t="s">
        <v>142</v>
      </c>
      <c r="D449" s="35" t="n">
        <v>200000</v>
      </c>
      <c r="E449" s="34" t="s">
        <v>136</v>
      </c>
      <c r="F449" s="33" t="str">
        <f aca="false">IF(E449="","",IFERROR(INDEX(카테고리!$B$2:$B$200,MATCH(E449,카테고리!$A$2:$A$200,0)),"미분류"))</f>
        <v>자본이동</v>
      </c>
      <c r="G449" s="33" t="str">
        <f aca="false">IF(E449="","",IFERROR(INDEX(카테고리!$C$2:$C$200,MATCH(E449,카테고리!$A$2:$A$200,0)),"N"))</f>
        <v>N</v>
      </c>
      <c r="H449" s="34" t="s">
        <v>81</v>
      </c>
      <c r="I449" s="34" t="s">
        <v>74</v>
      </c>
      <c r="J449" s="34" t="s">
        <v>75</v>
      </c>
      <c r="K449" s="37"/>
      <c r="L449" s="36" t="n">
        <f aca="false">IF(A449="","",YEAR(A449)*100+MONTH(A449))</f>
        <v>202605</v>
      </c>
    </row>
    <row r="450" customFormat="false" ht="15" hidden="false" customHeight="false" outlineLevel="0" collapsed="false">
      <c r="A450" s="32" t="n">
        <v>46170</v>
      </c>
      <c r="B450" s="33" t="str">
        <f aca="false">IF(A450="","",TEXT(A450,"yyyy-mm"))</f>
        <v>2026-05</v>
      </c>
      <c r="C450" s="34" t="s">
        <v>148</v>
      </c>
      <c r="D450" s="35" t="n">
        <v>70870</v>
      </c>
      <c r="E450" s="34" t="s">
        <v>92</v>
      </c>
      <c r="F450" s="33" t="str">
        <f aca="false">IF(E450="","",IFERROR(INDEX(카테고리!$B$2:$B$200,MATCH(E450,카테고리!$A$2:$A$200,0)),"미분류"))</f>
        <v>변동비</v>
      </c>
      <c r="G450" s="33" t="str">
        <f aca="false">IF(E450="","",IFERROR(INDEX(카테고리!$C$2:$C$200,MATCH(E450,카테고리!$A$2:$A$200,0)),"N"))</f>
        <v>Y</v>
      </c>
      <c r="H450" s="34" t="s">
        <v>73</v>
      </c>
      <c r="I450" s="34" t="s">
        <v>82</v>
      </c>
      <c r="J450" s="34" t="s">
        <v>75</v>
      </c>
      <c r="K450" s="37"/>
      <c r="L450" s="36" t="n">
        <f aca="false">IF(A450="","",YEAR(A450)*100+MONTH(A450))</f>
        <v>202605</v>
      </c>
    </row>
    <row r="451" customFormat="false" ht="15" hidden="false" customHeight="false" outlineLevel="0" collapsed="false">
      <c r="A451" s="32" t="n">
        <v>46170</v>
      </c>
      <c r="B451" s="33" t="str">
        <f aca="false">IF(A451="","",TEXT(A451,"yyyy-mm"))</f>
        <v>2026-05</v>
      </c>
      <c r="C451" s="34" t="s">
        <v>143</v>
      </c>
      <c r="D451" s="35" t="n">
        <v>24500</v>
      </c>
      <c r="E451" s="34" t="s">
        <v>144</v>
      </c>
      <c r="F451" s="33" t="str">
        <f aca="false">IF(E451="","",IFERROR(INDEX(카테고리!$B$2:$B$200,MATCH(E451,카테고리!$A$2:$A$200,0)),"미분류"))</f>
        <v>소득</v>
      </c>
      <c r="G451" s="33" t="str">
        <f aca="false">IF(E451="","",IFERROR(INDEX(카테고리!$C$2:$C$200,MATCH(E451,카테고리!$A$2:$A$200,0)),"N"))</f>
        <v>N</v>
      </c>
      <c r="H451" s="34" t="s">
        <v>81</v>
      </c>
      <c r="I451" s="34" t="s">
        <v>131</v>
      </c>
      <c r="J451" s="34" t="s">
        <v>75</v>
      </c>
      <c r="K451" s="37"/>
      <c r="L451" s="36" t="n">
        <f aca="false">IF(A451="","",YEAR(A451)*100+MONTH(A451))</f>
        <v>202605</v>
      </c>
    </row>
    <row r="452" customFormat="false" ht="15" hidden="false" customHeight="false" outlineLevel="0" collapsed="false">
      <c r="A452" s="32" t="n">
        <v>46174</v>
      </c>
      <c r="B452" s="33" t="str">
        <f aca="false">IF(A452="","",TEXT(A452,"yyyy-mm"))</f>
        <v>2026-06</v>
      </c>
      <c r="C452" s="34" t="s">
        <v>71</v>
      </c>
      <c r="D452" s="35" t="n">
        <v>300000</v>
      </c>
      <c r="E452" s="34" t="s">
        <v>72</v>
      </c>
      <c r="F452" s="33" t="str">
        <f aca="false">IF(E452="","",IFERROR(INDEX(카테고리!$B$2:$B$200,MATCH(E452,카테고리!$A$2:$A$200,0)),"미분류"))</f>
        <v>변동비</v>
      </c>
      <c r="G452" s="33" t="str">
        <f aca="false">IF(E452="","",IFERROR(INDEX(카테고리!$C$2:$C$200,MATCH(E452,카테고리!$A$2:$A$200,0)),"N"))</f>
        <v>N</v>
      </c>
      <c r="H452" s="34" t="s">
        <v>73</v>
      </c>
      <c r="I452" s="34" t="s">
        <v>74</v>
      </c>
      <c r="J452" s="34" t="s">
        <v>75</v>
      </c>
      <c r="K452" s="37"/>
      <c r="L452" s="36" t="n">
        <f aca="false">IF(A452="","",YEAR(A452)*100+MONTH(A452))</f>
        <v>202606</v>
      </c>
    </row>
    <row r="453" customFormat="false" ht="15" hidden="false" customHeight="false" outlineLevel="0" collapsed="false">
      <c r="A453" s="32" t="n">
        <v>46174</v>
      </c>
      <c r="B453" s="33" t="str">
        <f aca="false">IF(A453="","",TEXT(A453,"yyyy-mm"))</f>
        <v>2026-06</v>
      </c>
      <c r="C453" s="34" t="s">
        <v>77</v>
      </c>
      <c r="D453" s="35" t="n">
        <v>300000</v>
      </c>
      <c r="E453" s="34" t="s">
        <v>72</v>
      </c>
      <c r="F453" s="33" t="str">
        <f aca="false">IF(E453="","",IFERROR(INDEX(카테고리!$B$2:$B$200,MATCH(E453,카테고리!$A$2:$A$200,0)),"미분류"))</f>
        <v>변동비</v>
      </c>
      <c r="G453" s="33" t="str">
        <f aca="false">IF(E453="","",IFERROR(INDEX(카테고리!$C$2:$C$200,MATCH(E453,카테고리!$A$2:$A$200,0)),"N"))</f>
        <v>N</v>
      </c>
      <c r="H453" s="34" t="s">
        <v>78</v>
      </c>
      <c r="I453" s="34" t="s">
        <v>74</v>
      </c>
      <c r="J453" s="34" t="s">
        <v>75</v>
      </c>
      <c r="K453" s="37"/>
      <c r="L453" s="36" t="n">
        <f aca="false">IF(A453="","",YEAR(A453)*100+MONTH(A453))</f>
        <v>202606</v>
      </c>
    </row>
    <row r="454" customFormat="false" ht="15" hidden="false" customHeight="false" outlineLevel="0" collapsed="false">
      <c r="A454" s="32" t="n">
        <v>46174</v>
      </c>
      <c r="B454" s="33" t="str">
        <f aca="false">IF(A454="","",TEXT(A454,"yyyy-mm"))</f>
        <v>2026-06</v>
      </c>
      <c r="C454" s="34" t="s">
        <v>79</v>
      </c>
      <c r="D454" s="35" t="n">
        <v>140000</v>
      </c>
      <c r="E454" s="34" t="s">
        <v>80</v>
      </c>
      <c r="F454" s="33" t="str">
        <f aca="false">IF(E454="","",IFERROR(INDEX(카테고리!$B$2:$B$200,MATCH(E454,카테고리!$A$2:$A$200,0)),"미분류"))</f>
        <v>고정비</v>
      </c>
      <c r="G454" s="33" t="str">
        <f aca="false">IF(E454="","",IFERROR(INDEX(카테고리!$C$2:$C$200,MATCH(E454,카테고리!$A$2:$A$200,0)),"N"))</f>
        <v>Y</v>
      </c>
      <c r="H454" s="34" t="s">
        <v>81</v>
      </c>
      <c r="I454" s="34" t="s">
        <v>82</v>
      </c>
      <c r="J454" s="34" t="s">
        <v>75</v>
      </c>
      <c r="K454" s="37"/>
      <c r="L454" s="36" t="n">
        <f aca="false">IF(A454="","",YEAR(A454)*100+MONTH(A454))</f>
        <v>202606</v>
      </c>
    </row>
    <row r="455" customFormat="false" ht="15" hidden="false" customHeight="false" outlineLevel="0" collapsed="false">
      <c r="A455" s="32" t="n">
        <v>46174</v>
      </c>
      <c r="B455" s="33" t="str">
        <f aca="false">IF(A455="","",TEXT(A455,"yyyy-mm"))</f>
        <v>2026-06</v>
      </c>
      <c r="C455" s="34" t="s">
        <v>83</v>
      </c>
      <c r="D455" s="35" t="n">
        <v>380000</v>
      </c>
      <c r="E455" s="34" t="s">
        <v>80</v>
      </c>
      <c r="F455" s="33" t="str">
        <f aca="false">IF(E455="","",IFERROR(INDEX(카테고리!$B$2:$B$200,MATCH(E455,카테고리!$A$2:$A$200,0)),"미분류"))</f>
        <v>고정비</v>
      </c>
      <c r="G455" s="33" t="str">
        <f aca="false">IF(E455="","",IFERROR(INDEX(카테고리!$C$2:$C$200,MATCH(E455,카테고리!$A$2:$A$200,0)),"N"))</f>
        <v>Y</v>
      </c>
      <c r="H455" s="34" t="s">
        <v>81</v>
      </c>
      <c r="I455" s="34" t="s">
        <v>82</v>
      </c>
      <c r="J455" s="34" t="s">
        <v>75</v>
      </c>
      <c r="K455" s="37"/>
      <c r="L455" s="36" t="n">
        <f aca="false">IF(A455="","",YEAR(A455)*100+MONTH(A455))</f>
        <v>202606</v>
      </c>
    </row>
    <row r="456" customFormat="false" ht="15" hidden="false" customHeight="false" outlineLevel="0" collapsed="false">
      <c r="A456" s="32" t="n">
        <v>46175</v>
      </c>
      <c r="B456" s="33" t="str">
        <f aca="false">IF(A456="","",TEXT(A456,"yyyy-mm"))</f>
        <v>2026-06</v>
      </c>
      <c r="C456" s="37" t="s">
        <v>149</v>
      </c>
      <c r="D456" s="35" t="n">
        <v>62760</v>
      </c>
      <c r="E456" s="34" t="s">
        <v>124</v>
      </c>
      <c r="F456" s="33" t="str">
        <f aca="false">IF(E456="","",IFERROR(INDEX(카테고리!$B$2:$B$200,MATCH(E456,카테고리!$A$2:$A$200,0)),"미분류"))</f>
        <v>변동비</v>
      </c>
      <c r="G456" s="33" t="str">
        <f aca="false">IF(E456="","",IFERROR(INDEX(카테고리!$C$2:$C$200,MATCH(E456,카테고리!$A$2:$A$200,0)),"N"))</f>
        <v>N</v>
      </c>
      <c r="H456" s="34" t="s">
        <v>81</v>
      </c>
      <c r="I456" s="34" t="s">
        <v>90</v>
      </c>
      <c r="J456" s="34" t="s">
        <v>75</v>
      </c>
      <c r="K456" s="37"/>
      <c r="L456" s="36" t="n">
        <f aca="false">IF(A456="","",YEAR(A456)*100+MONTH(A456))</f>
        <v>202606</v>
      </c>
    </row>
    <row r="457" customFormat="false" ht="15" hidden="false" customHeight="false" outlineLevel="0" collapsed="false">
      <c r="A457" s="32" t="n">
        <v>46175</v>
      </c>
      <c r="B457" s="33" t="str">
        <f aca="false">IF(A457="","",TEXT(A457,"yyyy-mm"))</f>
        <v>2026-06</v>
      </c>
      <c r="C457" s="34" t="s">
        <v>127</v>
      </c>
      <c r="D457" s="35" t="n">
        <v>56290</v>
      </c>
      <c r="E457" s="34" t="s">
        <v>89</v>
      </c>
      <c r="F457" s="33" t="str">
        <f aca="false">IF(E457="","",IFERROR(INDEX(카테고리!$B$2:$B$200,MATCH(E457,카테고리!$A$2:$A$200,0)),"미분류"))</f>
        <v>변동비</v>
      </c>
      <c r="G457" s="33" t="str">
        <f aca="false">IF(E457="","",IFERROR(INDEX(카테고리!$C$2:$C$200,MATCH(E457,카테고리!$A$2:$A$200,0)),"N"))</f>
        <v>N</v>
      </c>
      <c r="H457" s="34" t="s">
        <v>73</v>
      </c>
      <c r="I457" s="34" t="s">
        <v>82</v>
      </c>
      <c r="J457" s="34" t="s">
        <v>75</v>
      </c>
      <c r="K457" s="37"/>
      <c r="L457" s="36" t="n">
        <f aca="false">IF(A457="","",YEAR(A457)*100+MONTH(A457))</f>
        <v>202606</v>
      </c>
    </row>
    <row r="458" customFormat="false" ht="15" hidden="false" customHeight="false" outlineLevel="0" collapsed="false">
      <c r="A458" s="32" t="n">
        <v>46176</v>
      </c>
      <c r="B458" s="33" t="str">
        <f aca="false">IF(A458="","",TEXT(A458,"yyyy-mm"))</f>
        <v>2026-06</v>
      </c>
      <c r="C458" s="34" t="s">
        <v>94</v>
      </c>
      <c r="D458" s="35" t="n">
        <v>50000</v>
      </c>
      <c r="E458" s="34" t="s">
        <v>85</v>
      </c>
      <c r="F458" s="33" t="str">
        <f aca="false">IF(E458="","",IFERROR(INDEX(카테고리!$B$2:$B$200,MATCH(E458,카테고리!$A$2:$A$200,0)),"미분류"))</f>
        <v>변동비</v>
      </c>
      <c r="G458" s="33" t="str">
        <f aca="false">IF(E458="","",IFERROR(INDEX(카테고리!$C$2:$C$200,MATCH(E458,카테고리!$A$2:$A$200,0)),"N"))</f>
        <v>Y</v>
      </c>
      <c r="H458" s="34" t="s">
        <v>73</v>
      </c>
      <c r="I458" s="34" t="s">
        <v>90</v>
      </c>
      <c r="J458" s="34" t="s">
        <v>75</v>
      </c>
      <c r="K458" s="37"/>
      <c r="L458" s="36" t="n">
        <f aca="false">IF(A458="","",YEAR(A458)*100+MONTH(A458))</f>
        <v>202606</v>
      </c>
    </row>
    <row r="459" customFormat="false" ht="15" hidden="false" customHeight="false" outlineLevel="0" collapsed="false">
      <c r="A459" s="32" t="n">
        <v>46177</v>
      </c>
      <c r="B459" s="33" t="str">
        <f aca="false">IF(A459="","",TEXT(A459,"yyyy-mm"))</f>
        <v>2026-06</v>
      </c>
      <c r="C459" s="34" t="s">
        <v>88</v>
      </c>
      <c r="D459" s="35" t="n">
        <v>19610</v>
      </c>
      <c r="E459" s="34" t="s">
        <v>89</v>
      </c>
      <c r="F459" s="33" t="str">
        <f aca="false">IF(E459="","",IFERROR(INDEX(카테고리!$B$2:$B$200,MATCH(E459,카테고리!$A$2:$A$200,0)),"미분류"))</f>
        <v>변동비</v>
      </c>
      <c r="G459" s="33" t="str">
        <f aca="false">IF(E459="","",IFERROR(INDEX(카테고리!$C$2:$C$200,MATCH(E459,카테고리!$A$2:$A$200,0)),"N"))</f>
        <v>N</v>
      </c>
      <c r="H459" s="34" t="s">
        <v>73</v>
      </c>
      <c r="I459" s="34" t="s">
        <v>107</v>
      </c>
      <c r="J459" s="34" t="s">
        <v>75</v>
      </c>
      <c r="K459" s="37"/>
      <c r="L459" s="36" t="n">
        <f aca="false">IF(A459="","",YEAR(A459)*100+MONTH(A459))</f>
        <v>202606</v>
      </c>
    </row>
    <row r="460" customFormat="false" ht="15" hidden="false" customHeight="false" outlineLevel="0" collapsed="false">
      <c r="A460" s="32" t="n">
        <v>46177</v>
      </c>
      <c r="B460" s="33" t="str">
        <f aca="false">IF(A460="","",TEXT(A460,"yyyy-mm"))</f>
        <v>2026-06</v>
      </c>
      <c r="C460" s="34" t="s">
        <v>148</v>
      </c>
      <c r="D460" s="35" t="n">
        <v>80440</v>
      </c>
      <c r="E460" s="34" t="s">
        <v>92</v>
      </c>
      <c r="F460" s="33" t="str">
        <f aca="false">IF(E460="","",IFERROR(INDEX(카테고리!$B$2:$B$200,MATCH(E460,카테고리!$A$2:$A$200,0)),"미분류"))</f>
        <v>변동비</v>
      </c>
      <c r="G460" s="33" t="str">
        <f aca="false">IF(E460="","",IFERROR(INDEX(카테고리!$C$2:$C$200,MATCH(E460,카테고리!$A$2:$A$200,0)),"N"))</f>
        <v>Y</v>
      </c>
      <c r="H460" s="34" t="s">
        <v>81</v>
      </c>
      <c r="I460" s="34" t="s">
        <v>82</v>
      </c>
      <c r="J460" s="34" t="s">
        <v>75</v>
      </c>
      <c r="K460" s="37"/>
      <c r="L460" s="36" t="n">
        <f aca="false">IF(A460="","",YEAR(A460)*100+MONTH(A460))</f>
        <v>202606</v>
      </c>
    </row>
    <row r="461" customFormat="false" ht="15" hidden="false" customHeight="false" outlineLevel="0" collapsed="false">
      <c r="A461" s="32" t="n">
        <v>46177</v>
      </c>
      <c r="B461" s="33" t="str">
        <f aca="false">IF(A461="","",TEXT(A461,"yyyy-mm"))</f>
        <v>2026-06</v>
      </c>
      <c r="C461" s="34" t="s">
        <v>103</v>
      </c>
      <c r="D461" s="35" t="n">
        <v>80240</v>
      </c>
      <c r="E461" s="34" t="s">
        <v>92</v>
      </c>
      <c r="F461" s="33" t="str">
        <f aca="false">IF(E461="","",IFERROR(INDEX(카테고리!$B$2:$B$200,MATCH(E461,카테고리!$A$2:$A$200,0)),"미분류"))</f>
        <v>변동비</v>
      </c>
      <c r="G461" s="33" t="str">
        <f aca="false">IF(E461="","",IFERROR(INDEX(카테고리!$C$2:$C$200,MATCH(E461,카테고리!$A$2:$A$200,0)),"N"))</f>
        <v>Y</v>
      </c>
      <c r="H461" s="34" t="s">
        <v>81</v>
      </c>
      <c r="I461" s="34" t="s">
        <v>82</v>
      </c>
      <c r="J461" s="34" t="s">
        <v>75</v>
      </c>
      <c r="K461" s="37"/>
      <c r="L461" s="36" t="n">
        <f aca="false">IF(A461="","",YEAR(A461)*100+MONTH(A461))</f>
        <v>202606</v>
      </c>
    </row>
    <row r="462" customFormat="false" ht="15" hidden="false" customHeight="false" outlineLevel="0" collapsed="false">
      <c r="A462" s="32" t="n">
        <v>46178</v>
      </c>
      <c r="B462" s="33" t="str">
        <f aca="false">IF(A462="","",TEXT(A462,"yyyy-mm"))</f>
        <v>2026-06</v>
      </c>
      <c r="C462" s="34" t="s">
        <v>127</v>
      </c>
      <c r="D462" s="35" t="n">
        <v>37560</v>
      </c>
      <c r="E462" s="34" t="s">
        <v>89</v>
      </c>
      <c r="F462" s="33" t="str">
        <f aca="false">IF(E462="","",IFERROR(INDEX(카테고리!$B$2:$B$200,MATCH(E462,카테고리!$A$2:$A$200,0)),"미분류"))</f>
        <v>변동비</v>
      </c>
      <c r="G462" s="33" t="str">
        <f aca="false">IF(E462="","",IFERROR(INDEX(카테고리!$C$2:$C$200,MATCH(E462,카테고리!$A$2:$A$200,0)),"N"))</f>
        <v>N</v>
      </c>
      <c r="H462" s="34" t="s">
        <v>73</v>
      </c>
      <c r="I462" s="34" t="s">
        <v>107</v>
      </c>
      <c r="J462" s="34" t="s">
        <v>75</v>
      </c>
      <c r="K462" s="37"/>
      <c r="L462" s="36" t="n">
        <f aca="false">IF(A462="","",YEAR(A462)*100+MONTH(A462))</f>
        <v>202606</v>
      </c>
    </row>
    <row r="463" customFormat="false" ht="15" hidden="false" customHeight="false" outlineLevel="0" collapsed="false">
      <c r="A463" s="32" t="n">
        <v>46178</v>
      </c>
      <c r="B463" s="33" t="str">
        <f aca="false">IF(A463="","",TEXT(A463,"yyyy-mm"))</f>
        <v>2026-06</v>
      </c>
      <c r="C463" s="34" t="s">
        <v>96</v>
      </c>
      <c r="D463" s="35" t="n">
        <v>300000</v>
      </c>
      <c r="E463" s="34" t="s">
        <v>97</v>
      </c>
      <c r="F463" s="33" t="str">
        <f aca="false">IF(E463="","",IFERROR(INDEX(카테고리!$B$2:$B$200,MATCH(E463,카테고리!$A$2:$A$200,0)),"미분류"))</f>
        <v>자본이동</v>
      </c>
      <c r="G463" s="33" t="str">
        <f aca="false">IF(E463="","",IFERROR(INDEX(카테고리!$C$2:$C$200,MATCH(E463,카테고리!$A$2:$A$200,0)),"N"))</f>
        <v>N</v>
      </c>
      <c r="H463" s="34" t="s">
        <v>78</v>
      </c>
      <c r="I463" s="34" t="s">
        <v>98</v>
      </c>
      <c r="J463" s="34" t="s">
        <v>75</v>
      </c>
      <c r="K463" s="37"/>
      <c r="L463" s="36" t="n">
        <f aca="false">IF(A463="","",YEAR(A463)*100+MONTH(A463))</f>
        <v>202606</v>
      </c>
    </row>
    <row r="464" customFormat="false" ht="15" hidden="false" customHeight="false" outlineLevel="0" collapsed="false">
      <c r="A464" s="32" t="n">
        <v>46178</v>
      </c>
      <c r="B464" s="33" t="str">
        <f aca="false">IF(A464="","",TEXT(A464,"yyyy-mm"))</f>
        <v>2026-06</v>
      </c>
      <c r="C464" s="34" t="s">
        <v>99</v>
      </c>
      <c r="D464" s="35" t="n">
        <v>71600</v>
      </c>
      <c r="E464" s="34" t="s">
        <v>100</v>
      </c>
      <c r="F464" s="33" t="str">
        <f aca="false">IF(E464="","",IFERROR(INDEX(카테고리!$B$2:$B$200,MATCH(E464,카테고리!$A$2:$A$200,0)),"미분류"))</f>
        <v>고정비</v>
      </c>
      <c r="G464" s="33" t="str">
        <f aca="false">IF(E464="","",IFERROR(INDEX(카테고리!$C$2:$C$200,MATCH(E464,카테고리!$A$2:$A$200,0)),"N"))</f>
        <v>Y</v>
      </c>
      <c r="H464" s="34" t="s">
        <v>78</v>
      </c>
      <c r="I464" s="34" t="s">
        <v>98</v>
      </c>
      <c r="J464" s="34" t="s">
        <v>75</v>
      </c>
      <c r="K464" s="37"/>
      <c r="L464" s="36" t="n">
        <f aca="false">IF(A464="","",YEAR(A464)*100+MONTH(A464))</f>
        <v>202606</v>
      </c>
    </row>
    <row r="465" customFormat="false" ht="15" hidden="false" customHeight="false" outlineLevel="0" collapsed="false">
      <c r="A465" s="32" t="n">
        <v>46178</v>
      </c>
      <c r="B465" s="33" t="str">
        <f aca="false">IF(A465="","",TEXT(A465,"yyyy-mm"))</f>
        <v>2026-06</v>
      </c>
      <c r="C465" s="34" t="s">
        <v>101</v>
      </c>
      <c r="D465" s="35" t="n">
        <v>600000</v>
      </c>
      <c r="E465" s="34" t="s">
        <v>97</v>
      </c>
      <c r="F465" s="33" t="str">
        <f aca="false">IF(E465="","",IFERROR(INDEX(카테고리!$B$2:$B$200,MATCH(E465,카테고리!$A$2:$A$200,0)),"미분류"))</f>
        <v>자본이동</v>
      </c>
      <c r="G465" s="33" t="str">
        <f aca="false">IF(E465="","",IFERROR(INDEX(카테고리!$C$2:$C$200,MATCH(E465,카테고리!$A$2:$A$200,0)),"N"))</f>
        <v>N</v>
      </c>
      <c r="H465" s="34" t="s">
        <v>81</v>
      </c>
      <c r="I465" s="34" t="s">
        <v>98</v>
      </c>
      <c r="J465" s="34" t="s">
        <v>75</v>
      </c>
      <c r="K465" s="37"/>
      <c r="L465" s="36" t="n">
        <f aca="false">IF(A465="","",YEAR(A465)*100+MONTH(A465))</f>
        <v>202606</v>
      </c>
    </row>
    <row r="466" customFormat="false" ht="15" hidden="false" customHeight="false" outlineLevel="0" collapsed="false">
      <c r="A466" s="32" t="n">
        <v>46178</v>
      </c>
      <c r="B466" s="33" t="str">
        <f aca="false">IF(A466="","",TEXT(A466,"yyyy-mm"))</f>
        <v>2026-06</v>
      </c>
      <c r="C466" s="34" t="s">
        <v>102</v>
      </c>
      <c r="D466" s="35" t="n">
        <v>989000</v>
      </c>
      <c r="E466" s="34" t="s">
        <v>100</v>
      </c>
      <c r="F466" s="33" t="str">
        <f aca="false">IF(E466="","",IFERROR(INDEX(카테고리!$B$2:$B$200,MATCH(E466,카테고리!$A$2:$A$200,0)),"미분류"))</f>
        <v>고정비</v>
      </c>
      <c r="G466" s="33" t="str">
        <f aca="false">IF(E466="","",IFERROR(INDEX(카테고리!$C$2:$C$200,MATCH(E466,카테고리!$A$2:$A$200,0)),"N"))</f>
        <v>Y</v>
      </c>
      <c r="H466" s="34" t="s">
        <v>81</v>
      </c>
      <c r="I466" s="34" t="s">
        <v>98</v>
      </c>
      <c r="J466" s="34" t="s">
        <v>75</v>
      </c>
      <c r="K466" s="37"/>
      <c r="L466" s="36" t="n">
        <f aca="false">IF(A466="","",YEAR(A466)*100+MONTH(A466))</f>
        <v>202606</v>
      </c>
    </row>
    <row r="467" customFormat="false" ht="15" hidden="false" customHeight="false" outlineLevel="0" collapsed="false">
      <c r="A467" s="32" t="n">
        <v>46180</v>
      </c>
      <c r="B467" s="33" t="str">
        <f aca="false">IF(A467="","",TEXT(A467,"yyyy-mm"))</f>
        <v>2026-06</v>
      </c>
      <c r="C467" s="34" t="s">
        <v>104</v>
      </c>
      <c r="D467" s="35" t="n">
        <v>17000</v>
      </c>
      <c r="E467" s="34" t="s">
        <v>105</v>
      </c>
      <c r="F467" s="33" t="str">
        <f aca="false">IF(E467="","",IFERROR(INDEX(카테고리!$B$2:$B$200,MATCH(E467,카테고리!$A$2:$A$200,0)),"미분류"))</f>
        <v>고정비</v>
      </c>
      <c r="G467" s="33" t="str">
        <f aca="false">IF(E467="","",IFERROR(INDEX(카테고리!$C$2:$C$200,MATCH(E467,카테고리!$A$2:$A$200,0)),"N"))</f>
        <v>N</v>
      </c>
      <c r="H467" s="34" t="s">
        <v>81</v>
      </c>
      <c r="I467" s="34" t="s">
        <v>82</v>
      </c>
      <c r="J467" s="34" t="s">
        <v>75</v>
      </c>
      <c r="K467" s="37"/>
      <c r="L467" s="36" t="n">
        <f aca="false">IF(A467="","",YEAR(A467)*100+MONTH(A467))</f>
        <v>202606</v>
      </c>
    </row>
    <row r="468" customFormat="false" ht="15" hidden="false" customHeight="false" outlineLevel="0" collapsed="false">
      <c r="A468" s="32" t="n">
        <v>46180</v>
      </c>
      <c r="B468" s="33" t="str">
        <f aca="false">IF(A468="","",TEXT(A468,"yyyy-mm"))</f>
        <v>2026-06</v>
      </c>
      <c r="C468" s="34" t="s">
        <v>106</v>
      </c>
      <c r="D468" s="35" t="n">
        <v>14900</v>
      </c>
      <c r="E468" s="34" t="s">
        <v>105</v>
      </c>
      <c r="F468" s="33" t="str">
        <f aca="false">IF(E468="","",IFERROR(INDEX(카테고리!$B$2:$B$200,MATCH(E468,카테고리!$A$2:$A$200,0)),"미분류"))</f>
        <v>고정비</v>
      </c>
      <c r="G468" s="33" t="str">
        <f aca="false">IF(E468="","",IFERROR(INDEX(카테고리!$C$2:$C$200,MATCH(E468,카테고리!$A$2:$A$200,0)),"N"))</f>
        <v>N</v>
      </c>
      <c r="H468" s="34" t="s">
        <v>78</v>
      </c>
      <c r="I468" s="34" t="s">
        <v>107</v>
      </c>
      <c r="J468" s="34" t="s">
        <v>75</v>
      </c>
      <c r="K468" s="37"/>
      <c r="L468" s="36" t="n">
        <f aca="false">IF(A468="","",YEAR(A468)*100+MONTH(A468))</f>
        <v>202606</v>
      </c>
    </row>
    <row r="469" customFormat="false" ht="15" hidden="false" customHeight="false" outlineLevel="0" collapsed="false">
      <c r="A469" s="32" t="n">
        <v>46180</v>
      </c>
      <c r="B469" s="33" t="str">
        <f aca="false">IF(A469="","",TEXT(A469,"yyyy-mm"))</f>
        <v>2026-06</v>
      </c>
      <c r="C469" s="34" t="s">
        <v>108</v>
      </c>
      <c r="D469" s="35" t="n">
        <v>7890</v>
      </c>
      <c r="E469" s="34" t="s">
        <v>105</v>
      </c>
      <c r="F469" s="33" t="str">
        <f aca="false">IF(E469="","",IFERROR(INDEX(카테고리!$B$2:$B$200,MATCH(E469,카테고리!$A$2:$A$200,0)),"미분류"))</f>
        <v>고정비</v>
      </c>
      <c r="G469" s="33" t="str">
        <f aca="false">IF(E469="","",IFERROR(INDEX(카테고리!$C$2:$C$200,MATCH(E469,카테고리!$A$2:$A$200,0)),"N"))</f>
        <v>N</v>
      </c>
      <c r="H469" s="34" t="s">
        <v>73</v>
      </c>
      <c r="I469" s="34" t="s">
        <v>90</v>
      </c>
      <c r="J469" s="34" t="s">
        <v>75</v>
      </c>
      <c r="K469" s="37"/>
      <c r="L469" s="36" t="n">
        <f aca="false">IF(A469="","",YEAR(A469)*100+MONTH(A469))</f>
        <v>202606</v>
      </c>
    </row>
    <row r="470" customFormat="false" ht="15" hidden="false" customHeight="false" outlineLevel="0" collapsed="false">
      <c r="A470" s="32" t="n">
        <v>46180</v>
      </c>
      <c r="B470" s="33" t="str">
        <f aca="false">IF(A470="","",TEXT(A470,"yyyy-mm"))</f>
        <v>2026-06</v>
      </c>
      <c r="C470" s="34" t="s">
        <v>103</v>
      </c>
      <c r="D470" s="35" t="n">
        <v>83360</v>
      </c>
      <c r="E470" s="34" t="s">
        <v>92</v>
      </c>
      <c r="F470" s="33" t="str">
        <f aca="false">IF(E470="","",IFERROR(INDEX(카테고리!$B$2:$B$200,MATCH(E470,카테고리!$A$2:$A$200,0)),"미분류"))</f>
        <v>변동비</v>
      </c>
      <c r="G470" s="33" t="str">
        <f aca="false">IF(E470="","",IFERROR(INDEX(카테고리!$C$2:$C$200,MATCH(E470,카테고리!$A$2:$A$200,0)),"N"))</f>
        <v>Y</v>
      </c>
      <c r="H470" s="34" t="s">
        <v>73</v>
      </c>
      <c r="I470" s="34" t="s">
        <v>82</v>
      </c>
      <c r="J470" s="34" t="s">
        <v>75</v>
      </c>
      <c r="K470" s="37"/>
      <c r="L470" s="36" t="n">
        <f aca="false">IF(A470="","",YEAR(A470)*100+MONTH(A470))</f>
        <v>202606</v>
      </c>
    </row>
    <row r="471" customFormat="false" ht="15" hidden="false" customHeight="false" outlineLevel="0" collapsed="false">
      <c r="A471" s="32" t="n">
        <v>46181</v>
      </c>
      <c r="B471" s="33" t="str">
        <f aca="false">IF(A471="","",TEXT(A471,"yyyy-mm"))</f>
        <v>2026-06</v>
      </c>
      <c r="C471" s="34" t="s">
        <v>86</v>
      </c>
      <c r="D471" s="35" t="n">
        <v>61570</v>
      </c>
      <c r="E471" s="34" t="s">
        <v>87</v>
      </c>
      <c r="F471" s="33" t="str">
        <f aca="false">IF(E471="","",IFERROR(INDEX(카테고리!$B$2:$B$200,MATCH(E471,카테고리!$A$2:$A$200,0)),"미분류"))</f>
        <v>변동비</v>
      </c>
      <c r="G471" s="33" t="str">
        <f aca="false">IF(E471="","",IFERROR(INDEX(카테고리!$C$2:$C$200,MATCH(E471,카테고리!$A$2:$A$200,0)),"N"))</f>
        <v>Y</v>
      </c>
      <c r="H471" s="34" t="s">
        <v>81</v>
      </c>
      <c r="I471" s="34" t="s">
        <v>82</v>
      </c>
      <c r="J471" s="34" t="s">
        <v>75</v>
      </c>
      <c r="K471" s="37"/>
      <c r="L471" s="36" t="n">
        <f aca="false">IF(A471="","",YEAR(A471)*100+MONTH(A471))</f>
        <v>202606</v>
      </c>
    </row>
    <row r="472" customFormat="false" ht="15" hidden="false" customHeight="false" outlineLevel="0" collapsed="false">
      <c r="A472" s="32" t="n">
        <v>46181</v>
      </c>
      <c r="B472" s="33" t="str">
        <f aca="false">IF(A472="","",TEXT(A472,"yyyy-mm"))</f>
        <v>2026-06</v>
      </c>
      <c r="C472" s="34" t="s">
        <v>154</v>
      </c>
      <c r="D472" s="35" t="n">
        <v>112350</v>
      </c>
      <c r="E472" s="34" t="s">
        <v>126</v>
      </c>
      <c r="F472" s="33" t="str">
        <f aca="false">IF(E472="","",IFERROR(INDEX(카테고리!$B$2:$B$200,MATCH(E472,카테고리!$A$2:$A$200,0)),"미분류"))</f>
        <v>변동비</v>
      </c>
      <c r="G472" s="33" t="str">
        <f aca="false">IF(E472="","",IFERROR(INDEX(카테고리!$C$2:$C$200,MATCH(E472,카테고리!$A$2:$A$200,0)),"N"))</f>
        <v>N</v>
      </c>
      <c r="H472" s="34" t="s">
        <v>78</v>
      </c>
      <c r="I472" s="34" t="s">
        <v>107</v>
      </c>
      <c r="J472" s="34" t="s">
        <v>75</v>
      </c>
      <c r="K472" s="37"/>
      <c r="L472" s="36" t="n">
        <f aca="false">IF(A472="","",YEAR(A472)*100+MONTH(A472))</f>
        <v>202606</v>
      </c>
    </row>
    <row r="473" customFormat="false" ht="15" hidden="false" customHeight="false" outlineLevel="0" collapsed="false">
      <c r="A473" s="32" t="n">
        <v>46182</v>
      </c>
      <c r="B473" s="33" t="str">
        <f aca="false">IF(A473="","",TEXT(A473,"yyyy-mm"))</f>
        <v>2026-06</v>
      </c>
      <c r="C473" s="34" t="s">
        <v>146</v>
      </c>
      <c r="D473" s="35" t="n">
        <v>95190</v>
      </c>
      <c r="E473" s="34" t="s">
        <v>92</v>
      </c>
      <c r="F473" s="33" t="str">
        <f aca="false">IF(E473="","",IFERROR(INDEX(카테고리!$B$2:$B$200,MATCH(E473,카테고리!$A$2:$A$200,0)),"미분류"))</f>
        <v>변동비</v>
      </c>
      <c r="G473" s="33" t="str">
        <f aca="false">IF(E473="","",IFERROR(INDEX(카테고리!$C$2:$C$200,MATCH(E473,카테고리!$A$2:$A$200,0)),"N"))</f>
        <v>Y</v>
      </c>
      <c r="H473" s="34" t="s">
        <v>81</v>
      </c>
      <c r="I473" s="34" t="s">
        <v>82</v>
      </c>
      <c r="J473" s="34" t="s">
        <v>75</v>
      </c>
      <c r="K473" s="37"/>
      <c r="L473" s="36" t="n">
        <f aca="false">IF(A473="","",YEAR(A473)*100+MONTH(A473))</f>
        <v>202606</v>
      </c>
    </row>
    <row r="474" customFormat="false" ht="15" hidden="false" customHeight="false" outlineLevel="0" collapsed="false">
      <c r="A474" s="32" t="n">
        <v>46182</v>
      </c>
      <c r="B474" s="33" t="str">
        <f aca="false">IF(A474="","",TEXT(A474,"yyyy-mm"))</f>
        <v>2026-06</v>
      </c>
      <c r="C474" s="34" t="s">
        <v>146</v>
      </c>
      <c r="D474" s="35" t="n">
        <v>123760</v>
      </c>
      <c r="E474" s="34" t="s">
        <v>92</v>
      </c>
      <c r="F474" s="33" t="str">
        <f aca="false">IF(E474="","",IFERROR(INDEX(카테고리!$B$2:$B$200,MATCH(E474,카테고리!$A$2:$A$200,0)),"미분류"))</f>
        <v>변동비</v>
      </c>
      <c r="G474" s="33" t="str">
        <f aca="false">IF(E474="","",IFERROR(INDEX(카테고리!$C$2:$C$200,MATCH(E474,카테고리!$A$2:$A$200,0)),"N"))</f>
        <v>Y</v>
      </c>
      <c r="H474" s="34" t="s">
        <v>73</v>
      </c>
      <c r="I474" s="34" t="s">
        <v>82</v>
      </c>
      <c r="J474" s="34" t="s">
        <v>75</v>
      </c>
      <c r="K474" s="37"/>
      <c r="L474" s="36" t="n">
        <f aca="false">IF(A474="","",YEAR(A474)*100+MONTH(A474))</f>
        <v>202606</v>
      </c>
    </row>
    <row r="475" customFormat="false" ht="15" hidden="false" customHeight="false" outlineLevel="0" collapsed="false">
      <c r="A475" s="32" t="n">
        <v>46182</v>
      </c>
      <c r="B475" s="33" t="str">
        <f aca="false">IF(A475="","",TEXT(A475,"yyyy-mm"))</f>
        <v>2026-06</v>
      </c>
      <c r="C475" s="34" t="s">
        <v>127</v>
      </c>
      <c r="D475" s="35" t="n">
        <v>80620</v>
      </c>
      <c r="E475" s="34" t="s">
        <v>89</v>
      </c>
      <c r="F475" s="33" t="str">
        <f aca="false">IF(E475="","",IFERROR(INDEX(카테고리!$B$2:$B$200,MATCH(E475,카테고리!$A$2:$A$200,0)),"미분류"))</f>
        <v>변동비</v>
      </c>
      <c r="G475" s="33" t="str">
        <f aca="false">IF(E475="","",IFERROR(INDEX(카테고리!$C$2:$C$200,MATCH(E475,카테고리!$A$2:$A$200,0)),"N"))</f>
        <v>N</v>
      </c>
      <c r="H475" s="34" t="s">
        <v>81</v>
      </c>
      <c r="I475" s="34" t="s">
        <v>82</v>
      </c>
      <c r="J475" s="34" t="s">
        <v>75</v>
      </c>
      <c r="K475" s="37"/>
      <c r="L475" s="36" t="n">
        <f aca="false">IF(A475="","",YEAR(A475)*100+MONTH(A475))</f>
        <v>202606</v>
      </c>
    </row>
    <row r="476" customFormat="false" ht="15" hidden="false" customHeight="false" outlineLevel="0" collapsed="false">
      <c r="A476" s="32" t="n">
        <v>46183</v>
      </c>
      <c r="B476" s="33" t="str">
        <f aca="false">IF(A476="","",TEXT(A476,"yyyy-mm"))</f>
        <v>2026-06</v>
      </c>
      <c r="C476" s="37" t="s">
        <v>84</v>
      </c>
      <c r="D476" s="35" t="n">
        <v>77400</v>
      </c>
      <c r="E476" s="34" t="s">
        <v>85</v>
      </c>
      <c r="F476" s="33" t="str">
        <f aca="false">IF(E476="","",IFERROR(INDEX(카테고리!$B$2:$B$200,MATCH(E476,카테고리!$A$2:$A$200,0)),"미분류"))</f>
        <v>변동비</v>
      </c>
      <c r="G476" s="33" t="str">
        <f aca="false">IF(E476="","",IFERROR(INDEX(카테고리!$C$2:$C$200,MATCH(E476,카테고리!$A$2:$A$200,0)),"N"))</f>
        <v>Y</v>
      </c>
      <c r="H476" s="34" t="s">
        <v>81</v>
      </c>
      <c r="I476" s="34" t="s">
        <v>82</v>
      </c>
      <c r="J476" s="34" t="s">
        <v>75</v>
      </c>
      <c r="K476" s="37"/>
      <c r="L476" s="36" t="n">
        <f aca="false">IF(A476="","",YEAR(A476)*100+MONTH(A476))</f>
        <v>202606</v>
      </c>
    </row>
    <row r="477" customFormat="false" ht="15" hidden="false" customHeight="false" outlineLevel="0" collapsed="false">
      <c r="A477" s="32" t="n">
        <v>46183</v>
      </c>
      <c r="B477" s="33" t="str">
        <f aca="false">IF(A477="","",TEXT(A477,"yyyy-mm"))</f>
        <v>2026-06</v>
      </c>
      <c r="C477" s="37" t="s">
        <v>111</v>
      </c>
      <c r="D477" s="35" t="n">
        <v>68000</v>
      </c>
      <c r="E477" s="34" t="s">
        <v>112</v>
      </c>
      <c r="F477" s="33" t="str">
        <f aca="false">IF(E477="","",IFERROR(INDEX(카테고리!$B$2:$B$200,MATCH(E477,카테고리!$A$2:$A$200,0)),"미분류"))</f>
        <v>고정비</v>
      </c>
      <c r="G477" s="33" t="str">
        <f aca="false">IF(E477="","",IFERROR(INDEX(카테고리!$C$2:$C$200,MATCH(E477,카테고리!$A$2:$A$200,0)),"N"))</f>
        <v>Y</v>
      </c>
      <c r="H477" s="34" t="s">
        <v>81</v>
      </c>
      <c r="I477" s="34" t="s">
        <v>98</v>
      </c>
      <c r="J477" s="34" t="s">
        <v>75</v>
      </c>
      <c r="K477" s="37"/>
      <c r="L477" s="36" t="n">
        <f aca="false">IF(A477="","",YEAR(A477)*100+MONTH(A477))</f>
        <v>202606</v>
      </c>
    </row>
    <row r="478" customFormat="false" ht="15" hidden="false" customHeight="false" outlineLevel="0" collapsed="false">
      <c r="A478" s="32" t="n">
        <v>46183</v>
      </c>
      <c r="B478" s="33" t="str">
        <f aca="false">IF(A478="","",TEXT(A478,"yyyy-mm"))</f>
        <v>2026-06</v>
      </c>
      <c r="C478" s="34" t="s">
        <v>113</v>
      </c>
      <c r="D478" s="35" t="n">
        <v>172000</v>
      </c>
      <c r="E478" s="34" t="s">
        <v>112</v>
      </c>
      <c r="F478" s="33" t="str">
        <f aca="false">IF(E478="","",IFERROR(INDEX(카테고리!$B$2:$B$200,MATCH(E478,카테고리!$A$2:$A$200,0)),"미분류"))</f>
        <v>고정비</v>
      </c>
      <c r="G478" s="33" t="str">
        <f aca="false">IF(E478="","",IFERROR(INDEX(카테고리!$C$2:$C$200,MATCH(E478,카테고리!$A$2:$A$200,0)),"N"))</f>
        <v>Y</v>
      </c>
      <c r="H478" s="34" t="s">
        <v>78</v>
      </c>
      <c r="I478" s="34" t="s">
        <v>98</v>
      </c>
      <c r="J478" s="34" t="s">
        <v>75</v>
      </c>
      <c r="K478" s="37"/>
      <c r="L478" s="36" t="n">
        <f aca="false">IF(A478="","",YEAR(A478)*100+MONTH(A478))</f>
        <v>202606</v>
      </c>
    </row>
    <row r="479" customFormat="false" ht="15" hidden="false" customHeight="false" outlineLevel="0" collapsed="false">
      <c r="A479" s="32" t="n">
        <v>46183</v>
      </c>
      <c r="B479" s="33" t="str">
        <f aca="false">IF(A479="","",TEXT(A479,"yyyy-mm"))</f>
        <v>2026-06</v>
      </c>
      <c r="C479" s="34" t="s">
        <v>114</v>
      </c>
      <c r="D479" s="35" t="n">
        <v>148000</v>
      </c>
      <c r="E479" s="34" t="s">
        <v>112</v>
      </c>
      <c r="F479" s="33" t="str">
        <f aca="false">IF(E479="","",IFERROR(INDEX(카테고리!$B$2:$B$200,MATCH(E479,카테고리!$A$2:$A$200,0)),"미분류"))</f>
        <v>고정비</v>
      </c>
      <c r="G479" s="33" t="str">
        <f aca="false">IF(E479="","",IFERROR(INDEX(카테고리!$C$2:$C$200,MATCH(E479,카테고리!$A$2:$A$200,0)),"N"))</f>
        <v>Y</v>
      </c>
      <c r="H479" s="34" t="s">
        <v>73</v>
      </c>
      <c r="I479" s="34" t="s">
        <v>98</v>
      </c>
      <c r="J479" s="34" t="s">
        <v>75</v>
      </c>
      <c r="K479" s="37"/>
      <c r="L479" s="36" t="n">
        <f aca="false">IF(A479="","",YEAR(A479)*100+MONTH(A479))</f>
        <v>202606</v>
      </c>
    </row>
    <row r="480" customFormat="false" ht="15" hidden="false" customHeight="false" outlineLevel="0" collapsed="false">
      <c r="A480" s="32" t="n">
        <v>46184</v>
      </c>
      <c r="B480" s="33" t="str">
        <f aca="false">IF(A480="","",TEXT(A480,"yyyy-mm"))</f>
        <v>2026-06</v>
      </c>
      <c r="C480" s="34" t="s">
        <v>91</v>
      </c>
      <c r="D480" s="35" t="n">
        <v>101110</v>
      </c>
      <c r="E480" s="34" t="s">
        <v>92</v>
      </c>
      <c r="F480" s="33" t="str">
        <f aca="false">IF(E480="","",IFERROR(INDEX(카테고리!$B$2:$B$200,MATCH(E480,카테고리!$A$2:$A$200,0)),"미분류"))</f>
        <v>변동비</v>
      </c>
      <c r="G480" s="33" t="str">
        <f aca="false">IF(E480="","",IFERROR(INDEX(카테고리!$C$2:$C$200,MATCH(E480,카테고리!$A$2:$A$200,0)),"N"))</f>
        <v>Y</v>
      </c>
      <c r="H480" s="34" t="s">
        <v>73</v>
      </c>
      <c r="I480" s="34" t="s">
        <v>82</v>
      </c>
      <c r="J480" s="34" t="s">
        <v>75</v>
      </c>
      <c r="K480" s="37"/>
      <c r="L480" s="36" t="n">
        <f aca="false">IF(A480="","",YEAR(A480)*100+MONTH(A480))</f>
        <v>202606</v>
      </c>
    </row>
    <row r="481" customFormat="false" ht="15" hidden="false" customHeight="false" outlineLevel="0" collapsed="false">
      <c r="A481" s="32" t="n">
        <v>46185</v>
      </c>
      <c r="B481" s="33" t="str">
        <f aca="false">IF(A481="","",TEXT(A481,"yyyy-mm"))</f>
        <v>2026-06</v>
      </c>
      <c r="C481" s="34" t="s">
        <v>103</v>
      </c>
      <c r="D481" s="35" t="n">
        <v>78520</v>
      </c>
      <c r="E481" s="34" t="s">
        <v>92</v>
      </c>
      <c r="F481" s="33" t="str">
        <f aca="false">IF(E481="","",IFERROR(INDEX(카테고리!$B$2:$B$200,MATCH(E481,카테고리!$A$2:$A$200,0)),"미분류"))</f>
        <v>변동비</v>
      </c>
      <c r="G481" s="33" t="str">
        <f aca="false">IF(E481="","",IFERROR(INDEX(카테고리!$C$2:$C$200,MATCH(E481,카테고리!$A$2:$A$200,0)),"N"))</f>
        <v>Y</v>
      </c>
      <c r="H481" s="34" t="s">
        <v>81</v>
      </c>
      <c r="I481" s="34" t="s">
        <v>82</v>
      </c>
      <c r="J481" s="34" t="s">
        <v>75</v>
      </c>
      <c r="K481" s="37"/>
      <c r="L481" s="36" t="n">
        <f aca="false">IF(A481="","",YEAR(A481)*100+MONTH(A481))</f>
        <v>202606</v>
      </c>
    </row>
    <row r="482" customFormat="false" ht="15" hidden="false" customHeight="false" outlineLevel="0" collapsed="false">
      <c r="A482" s="32" t="n">
        <v>46187</v>
      </c>
      <c r="B482" s="33" t="str">
        <f aca="false">IF(A482="","",TEXT(A482,"yyyy-mm"))</f>
        <v>2026-06</v>
      </c>
      <c r="C482" s="34" t="s">
        <v>110</v>
      </c>
      <c r="D482" s="35" t="n">
        <v>14000</v>
      </c>
      <c r="E482" s="34" t="s">
        <v>85</v>
      </c>
      <c r="F482" s="33" t="str">
        <f aca="false">IF(E482="","",IFERROR(INDEX(카테고리!$B$2:$B$200,MATCH(E482,카테고리!$A$2:$A$200,0)),"미분류"))</f>
        <v>변동비</v>
      </c>
      <c r="G482" s="33" t="str">
        <f aca="false">IF(E482="","",IFERROR(INDEX(카테고리!$C$2:$C$200,MATCH(E482,카테고리!$A$2:$A$200,0)),"N"))</f>
        <v>Y</v>
      </c>
      <c r="H482" s="34" t="s">
        <v>78</v>
      </c>
      <c r="I482" s="34" t="s">
        <v>107</v>
      </c>
      <c r="J482" s="34" t="s">
        <v>75</v>
      </c>
      <c r="K482" s="37"/>
      <c r="L482" s="36" t="n">
        <f aca="false">IF(A482="","",YEAR(A482)*100+MONTH(A482))</f>
        <v>202606</v>
      </c>
    </row>
    <row r="483" customFormat="false" ht="15" hidden="false" customHeight="false" outlineLevel="0" collapsed="false">
      <c r="A483" s="32" t="n">
        <v>46188</v>
      </c>
      <c r="B483" s="33" t="str">
        <f aca="false">IF(A483="","",TEXT(A483,"yyyy-mm"))</f>
        <v>2026-06</v>
      </c>
      <c r="C483" s="34" t="s">
        <v>147</v>
      </c>
      <c r="D483" s="35" t="n">
        <v>102830</v>
      </c>
      <c r="E483" s="34" t="s">
        <v>124</v>
      </c>
      <c r="F483" s="33" t="str">
        <f aca="false">IF(E483="","",IFERROR(INDEX(카테고리!$B$2:$B$200,MATCH(E483,카테고리!$A$2:$A$200,0)),"미분류"))</f>
        <v>변동비</v>
      </c>
      <c r="G483" s="33" t="str">
        <f aca="false">IF(E483="","",IFERROR(INDEX(카테고리!$C$2:$C$200,MATCH(E483,카테고리!$A$2:$A$200,0)),"N"))</f>
        <v>N</v>
      </c>
      <c r="H483" s="34" t="s">
        <v>73</v>
      </c>
      <c r="I483" s="34" t="s">
        <v>90</v>
      </c>
      <c r="J483" s="34" t="s">
        <v>75</v>
      </c>
      <c r="K483" s="37"/>
      <c r="L483" s="36" t="n">
        <f aca="false">IF(A483="","",YEAR(A483)*100+MONTH(A483))</f>
        <v>202606</v>
      </c>
    </row>
    <row r="484" customFormat="false" ht="15" hidden="false" customHeight="false" outlineLevel="0" collapsed="false">
      <c r="A484" s="32" t="n">
        <v>46188</v>
      </c>
      <c r="B484" s="33" t="str">
        <f aca="false">IF(A484="","",TEXT(A484,"yyyy-mm"))</f>
        <v>2026-06</v>
      </c>
      <c r="C484" s="34" t="s">
        <v>110</v>
      </c>
      <c r="D484" s="35" t="n">
        <v>23880</v>
      </c>
      <c r="E484" s="34" t="s">
        <v>85</v>
      </c>
      <c r="F484" s="33" t="str">
        <f aca="false">IF(E484="","",IFERROR(INDEX(카테고리!$B$2:$B$200,MATCH(E484,카테고리!$A$2:$A$200,0)),"미분류"))</f>
        <v>변동비</v>
      </c>
      <c r="G484" s="33" t="str">
        <f aca="false">IF(E484="","",IFERROR(INDEX(카테고리!$C$2:$C$200,MATCH(E484,카테고리!$A$2:$A$200,0)),"N"))</f>
        <v>Y</v>
      </c>
      <c r="H484" s="34" t="s">
        <v>78</v>
      </c>
      <c r="I484" s="34" t="s">
        <v>107</v>
      </c>
      <c r="J484" s="34" t="s">
        <v>75</v>
      </c>
      <c r="K484" s="37"/>
      <c r="L484" s="36" t="n">
        <f aca="false">IF(A484="","",YEAR(A484)*100+MONTH(A484))</f>
        <v>202606</v>
      </c>
    </row>
    <row r="485" customFormat="false" ht="15" hidden="false" customHeight="false" outlineLevel="0" collapsed="false">
      <c r="A485" s="32" t="n">
        <v>46188</v>
      </c>
      <c r="B485" s="33" t="str">
        <f aca="false">IF(A485="","",TEXT(A485,"yyyy-mm"))</f>
        <v>2026-06</v>
      </c>
      <c r="C485" s="34" t="s">
        <v>110</v>
      </c>
      <c r="D485" s="35" t="n">
        <v>13870</v>
      </c>
      <c r="E485" s="34" t="s">
        <v>85</v>
      </c>
      <c r="F485" s="33" t="str">
        <f aca="false">IF(E485="","",IFERROR(INDEX(카테고리!$B$2:$B$200,MATCH(E485,카테고리!$A$2:$A$200,0)),"미분류"))</f>
        <v>변동비</v>
      </c>
      <c r="G485" s="33" t="str">
        <f aca="false">IF(E485="","",IFERROR(INDEX(카테고리!$C$2:$C$200,MATCH(E485,카테고리!$A$2:$A$200,0)),"N"))</f>
        <v>Y</v>
      </c>
      <c r="H485" s="34" t="s">
        <v>78</v>
      </c>
      <c r="I485" s="34" t="s">
        <v>107</v>
      </c>
      <c r="J485" s="34" t="s">
        <v>75</v>
      </c>
      <c r="K485" s="37"/>
      <c r="L485" s="36" t="n">
        <f aca="false">IF(A485="","",YEAR(A485)*100+MONTH(A485))</f>
        <v>202606</v>
      </c>
    </row>
    <row r="486" customFormat="false" ht="15" hidden="false" customHeight="false" outlineLevel="0" collapsed="false">
      <c r="A486" s="32" t="n">
        <v>46188</v>
      </c>
      <c r="B486" s="33" t="str">
        <f aca="false">IF(A486="","",TEXT(A486,"yyyy-mm"))</f>
        <v>2026-06</v>
      </c>
      <c r="C486" s="34" t="s">
        <v>155</v>
      </c>
      <c r="D486" s="35" t="n">
        <v>138000</v>
      </c>
      <c r="E486" s="34" t="s">
        <v>144</v>
      </c>
      <c r="F486" s="33" t="str">
        <f aca="false">IF(E486="","",IFERROR(INDEX(카테고리!$B$2:$B$200,MATCH(E486,카테고리!$A$2:$A$200,0)),"미분류"))</f>
        <v>소득</v>
      </c>
      <c r="G486" s="33" t="str">
        <f aca="false">IF(E486="","",IFERROR(INDEX(카테고리!$C$2:$C$200,MATCH(E486,카테고리!$A$2:$A$200,0)),"N"))</f>
        <v>N</v>
      </c>
      <c r="H486" s="34" t="s">
        <v>78</v>
      </c>
      <c r="I486" s="34" t="s">
        <v>131</v>
      </c>
      <c r="J486" s="34" t="s">
        <v>75</v>
      </c>
      <c r="K486" s="37"/>
      <c r="L486" s="36" t="n">
        <f aca="false">IF(A486="","",YEAR(A486)*100+MONTH(A486))</f>
        <v>202606</v>
      </c>
    </row>
    <row r="487" customFormat="false" ht="15" hidden="false" customHeight="false" outlineLevel="0" collapsed="false">
      <c r="A487" s="32" t="n">
        <v>46189</v>
      </c>
      <c r="B487" s="33" t="str">
        <f aca="false">IF(A487="","",TEXT(A487,"yyyy-mm"))</f>
        <v>2026-06</v>
      </c>
      <c r="C487" s="34" t="s">
        <v>88</v>
      </c>
      <c r="D487" s="35" t="n">
        <v>75730</v>
      </c>
      <c r="E487" s="34" t="s">
        <v>89</v>
      </c>
      <c r="F487" s="33" t="str">
        <f aca="false">IF(E487="","",IFERROR(INDEX(카테고리!$B$2:$B$200,MATCH(E487,카테고리!$A$2:$A$200,0)),"미분류"))</f>
        <v>변동비</v>
      </c>
      <c r="G487" s="33" t="str">
        <f aca="false">IF(E487="","",IFERROR(INDEX(카테고리!$C$2:$C$200,MATCH(E487,카테고리!$A$2:$A$200,0)),"N"))</f>
        <v>N</v>
      </c>
      <c r="H487" s="34" t="s">
        <v>78</v>
      </c>
      <c r="I487" s="34" t="s">
        <v>82</v>
      </c>
      <c r="J487" s="34" t="s">
        <v>75</v>
      </c>
      <c r="K487" s="37"/>
      <c r="L487" s="36" t="n">
        <f aca="false">IF(A487="","",YEAR(A487)*100+MONTH(A487))</f>
        <v>202606</v>
      </c>
    </row>
    <row r="488" customFormat="false" ht="15" hidden="false" customHeight="false" outlineLevel="0" collapsed="false">
      <c r="A488" s="32" t="n">
        <v>46189</v>
      </c>
      <c r="B488" s="33" t="str">
        <f aca="false">IF(A488="","",TEXT(A488,"yyyy-mm"))</f>
        <v>2026-06</v>
      </c>
      <c r="C488" s="34" t="s">
        <v>88</v>
      </c>
      <c r="D488" s="35" t="n">
        <v>27710</v>
      </c>
      <c r="E488" s="34" t="s">
        <v>89</v>
      </c>
      <c r="F488" s="33" t="str">
        <f aca="false">IF(E488="","",IFERROR(INDEX(카테고리!$B$2:$B$200,MATCH(E488,카테고리!$A$2:$A$200,0)),"미분류"))</f>
        <v>변동비</v>
      </c>
      <c r="G488" s="33" t="str">
        <f aca="false">IF(E488="","",IFERROR(INDEX(카테고리!$C$2:$C$200,MATCH(E488,카테고리!$A$2:$A$200,0)),"N"))</f>
        <v>N</v>
      </c>
      <c r="H488" s="34" t="s">
        <v>73</v>
      </c>
      <c r="I488" s="34" t="s">
        <v>90</v>
      </c>
      <c r="J488" s="34" t="s">
        <v>75</v>
      </c>
      <c r="K488" s="37"/>
      <c r="L488" s="36" t="n">
        <f aca="false">IF(A488="","",YEAR(A488)*100+MONTH(A488))</f>
        <v>202606</v>
      </c>
    </row>
    <row r="489" customFormat="false" ht="15" hidden="false" customHeight="false" outlineLevel="0" collapsed="false">
      <c r="A489" s="32" t="n">
        <v>46193</v>
      </c>
      <c r="B489" s="33" t="str">
        <f aca="false">IF(A489="","",TEXT(A489,"yyyy-mm"))</f>
        <v>2026-06</v>
      </c>
      <c r="C489" s="34" t="s">
        <v>154</v>
      </c>
      <c r="D489" s="35" t="n">
        <v>119900</v>
      </c>
      <c r="E489" s="34" t="s">
        <v>126</v>
      </c>
      <c r="F489" s="33" t="str">
        <f aca="false">IF(E489="","",IFERROR(INDEX(카테고리!$B$2:$B$200,MATCH(E489,카테고리!$A$2:$A$200,0)),"미분류"))</f>
        <v>변동비</v>
      </c>
      <c r="G489" s="33" t="str">
        <f aca="false">IF(E489="","",IFERROR(INDEX(카테고리!$C$2:$C$200,MATCH(E489,카테고리!$A$2:$A$200,0)),"N"))</f>
        <v>N</v>
      </c>
      <c r="H489" s="34" t="s">
        <v>78</v>
      </c>
      <c r="I489" s="34" t="s">
        <v>107</v>
      </c>
      <c r="J489" s="34" t="s">
        <v>75</v>
      </c>
      <c r="K489" s="37"/>
      <c r="L489" s="36" t="n">
        <f aca="false">IF(A489="","",YEAR(A489)*100+MONTH(A489))</f>
        <v>202606</v>
      </c>
    </row>
    <row r="490" customFormat="false" ht="15" hidden="false" customHeight="false" outlineLevel="0" collapsed="false">
      <c r="A490" s="32" t="n">
        <v>46193</v>
      </c>
      <c r="B490" s="33" t="str">
        <f aca="false">IF(A490="","",TEXT(A490,"yyyy-mm"))</f>
        <v>2026-06</v>
      </c>
      <c r="C490" s="34" t="s">
        <v>117</v>
      </c>
      <c r="D490" s="35" t="n">
        <v>268940</v>
      </c>
      <c r="E490" s="34" t="s">
        <v>118</v>
      </c>
      <c r="F490" s="33" t="str">
        <f aca="false">IF(E490="","",IFERROR(INDEX(카테고리!$B$2:$B$200,MATCH(E490,카테고리!$A$2:$A$200,0)),"미분류"))</f>
        <v>고정비</v>
      </c>
      <c r="G490" s="33" t="str">
        <f aca="false">IF(E490="","",IFERROR(INDEX(카테고리!$C$2:$C$200,MATCH(E490,카테고리!$A$2:$A$200,0)),"N"))</f>
        <v>Y</v>
      </c>
      <c r="H490" s="34" t="s">
        <v>81</v>
      </c>
      <c r="I490" s="34" t="s">
        <v>98</v>
      </c>
      <c r="J490" s="34" t="s">
        <v>75</v>
      </c>
      <c r="K490" s="37"/>
      <c r="L490" s="36" t="n">
        <f aca="false">IF(A490="","",YEAR(A490)*100+MONTH(A490))</f>
        <v>202606</v>
      </c>
    </row>
    <row r="491" customFormat="false" ht="15" hidden="false" customHeight="false" outlineLevel="0" collapsed="false">
      <c r="A491" s="32" t="n">
        <v>46194</v>
      </c>
      <c r="B491" s="33" t="str">
        <f aca="false">IF(A491="","",TEXT(A491,"yyyy-mm"))</f>
        <v>2026-06</v>
      </c>
      <c r="C491" s="37" t="s">
        <v>119</v>
      </c>
      <c r="D491" s="35" t="n">
        <v>54000</v>
      </c>
      <c r="E491" s="34" t="s">
        <v>120</v>
      </c>
      <c r="F491" s="33" t="str">
        <f aca="false">IF(E491="","",IFERROR(INDEX(카테고리!$B$2:$B$200,MATCH(E491,카테고리!$A$2:$A$200,0)),"미분류"))</f>
        <v>고정비</v>
      </c>
      <c r="G491" s="33" t="str">
        <f aca="false">IF(E491="","",IFERROR(INDEX(카테고리!$C$2:$C$200,MATCH(E491,카테고리!$A$2:$A$200,0)),"N"))</f>
        <v>Y</v>
      </c>
      <c r="H491" s="34" t="s">
        <v>73</v>
      </c>
      <c r="I491" s="34" t="s">
        <v>90</v>
      </c>
      <c r="J491" s="34" t="s">
        <v>75</v>
      </c>
      <c r="K491" s="37"/>
      <c r="L491" s="36" t="n">
        <f aca="false">IF(A491="","",YEAR(A491)*100+MONTH(A491))</f>
        <v>202606</v>
      </c>
    </row>
    <row r="492" customFormat="false" ht="15" hidden="false" customHeight="false" outlineLevel="0" collapsed="false">
      <c r="A492" s="32" t="n">
        <v>46194</v>
      </c>
      <c r="B492" s="33" t="str">
        <f aca="false">IF(A492="","",TEXT(A492,"yyyy-mm"))</f>
        <v>2026-06</v>
      </c>
      <c r="C492" s="37" t="s">
        <v>121</v>
      </c>
      <c r="D492" s="35" t="n">
        <v>68000</v>
      </c>
      <c r="E492" s="34" t="s">
        <v>120</v>
      </c>
      <c r="F492" s="33" t="str">
        <f aca="false">IF(E492="","",IFERROR(INDEX(카테고리!$B$2:$B$200,MATCH(E492,카테고리!$A$2:$A$200,0)),"미분류"))</f>
        <v>고정비</v>
      </c>
      <c r="G492" s="33" t="str">
        <f aca="false">IF(E492="","",IFERROR(INDEX(카테고리!$C$2:$C$200,MATCH(E492,카테고리!$A$2:$A$200,0)),"N"))</f>
        <v>Y</v>
      </c>
      <c r="H492" s="34" t="s">
        <v>78</v>
      </c>
      <c r="I492" s="34" t="s">
        <v>107</v>
      </c>
      <c r="J492" s="34" t="s">
        <v>75</v>
      </c>
      <c r="K492" s="37"/>
      <c r="L492" s="36" t="n">
        <f aca="false">IF(A492="","",YEAR(A492)*100+MONTH(A492))</f>
        <v>202606</v>
      </c>
    </row>
    <row r="493" customFormat="false" ht="15" hidden="false" customHeight="false" outlineLevel="0" collapsed="false">
      <c r="A493" s="32" t="n">
        <v>46194</v>
      </c>
      <c r="B493" s="33" t="str">
        <f aca="false">IF(A493="","",TEXT(A493,"yyyy-mm"))</f>
        <v>2026-06</v>
      </c>
      <c r="C493" s="34" t="s">
        <v>154</v>
      </c>
      <c r="D493" s="35" t="n">
        <v>74690</v>
      </c>
      <c r="E493" s="34" t="s">
        <v>126</v>
      </c>
      <c r="F493" s="33" t="str">
        <f aca="false">IF(E493="","",IFERROR(INDEX(카테고리!$B$2:$B$200,MATCH(E493,카테고리!$A$2:$A$200,0)),"미분류"))</f>
        <v>변동비</v>
      </c>
      <c r="G493" s="33" t="str">
        <f aca="false">IF(E493="","",IFERROR(INDEX(카테고리!$C$2:$C$200,MATCH(E493,카테고리!$A$2:$A$200,0)),"N"))</f>
        <v>N</v>
      </c>
      <c r="H493" s="34" t="s">
        <v>78</v>
      </c>
      <c r="I493" s="34" t="s">
        <v>107</v>
      </c>
      <c r="J493" s="34" t="s">
        <v>75</v>
      </c>
      <c r="K493" s="37"/>
      <c r="L493" s="36" t="n">
        <f aca="false">IF(A493="","",YEAR(A493)*100+MONTH(A493))</f>
        <v>202606</v>
      </c>
    </row>
    <row r="494" customFormat="false" ht="15" hidden="false" customHeight="false" outlineLevel="0" collapsed="false">
      <c r="A494" s="32" t="n">
        <v>46194</v>
      </c>
      <c r="B494" s="33" t="str">
        <f aca="false">IF(A494="","",TEXT(A494,"yyyy-mm"))</f>
        <v>2026-06</v>
      </c>
      <c r="C494" s="34" t="s">
        <v>122</v>
      </c>
      <c r="D494" s="35" t="n">
        <v>33000</v>
      </c>
      <c r="E494" s="34" t="s">
        <v>120</v>
      </c>
      <c r="F494" s="33" t="str">
        <f aca="false">IF(E494="","",IFERROR(INDEX(카테고리!$B$2:$B$200,MATCH(E494,카테고리!$A$2:$A$200,0)),"미분류"))</f>
        <v>고정비</v>
      </c>
      <c r="G494" s="33" t="str">
        <f aca="false">IF(E494="","",IFERROR(INDEX(카테고리!$C$2:$C$200,MATCH(E494,카테고리!$A$2:$A$200,0)),"N"))</f>
        <v>Y</v>
      </c>
      <c r="H494" s="34" t="s">
        <v>81</v>
      </c>
      <c r="I494" s="34" t="s">
        <v>98</v>
      </c>
      <c r="J494" s="34" t="s">
        <v>75</v>
      </c>
      <c r="K494" s="37"/>
      <c r="L494" s="36" t="n">
        <f aca="false">IF(A494="","",YEAR(A494)*100+MONTH(A494))</f>
        <v>202606</v>
      </c>
    </row>
    <row r="495" customFormat="false" ht="15" hidden="false" customHeight="false" outlineLevel="0" collapsed="false">
      <c r="A495" s="32" t="n">
        <v>46196</v>
      </c>
      <c r="B495" s="33" t="str">
        <f aca="false">IF(A495="","",TEXT(A495,"yyyy-mm"))</f>
        <v>2026-06</v>
      </c>
      <c r="C495" s="34" t="s">
        <v>93</v>
      </c>
      <c r="D495" s="35" t="n">
        <v>125010</v>
      </c>
      <c r="E495" s="34" t="s">
        <v>92</v>
      </c>
      <c r="F495" s="33" t="str">
        <f aca="false">IF(E495="","",IFERROR(INDEX(카테고리!$B$2:$B$200,MATCH(E495,카테고리!$A$2:$A$200,0)),"미분류"))</f>
        <v>변동비</v>
      </c>
      <c r="G495" s="33" t="str">
        <f aca="false">IF(E495="","",IFERROR(INDEX(카테고리!$C$2:$C$200,MATCH(E495,카테고리!$A$2:$A$200,0)),"N"))</f>
        <v>Y</v>
      </c>
      <c r="H495" s="34" t="s">
        <v>81</v>
      </c>
      <c r="I495" s="34" t="s">
        <v>82</v>
      </c>
      <c r="J495" s="34" t="s">
        <v>75</v>
      </c>
      <c r="K495" s="37"/>
      <c r="L495" s="36" t="n">
        <f aca="false">IF(A495="","",YEAR(A495)*100+MONTH(A495))</f>
        <v>202606</v>
      </c>
    </row>
    <row r="496" customFormat="false" ht="15" hidden="false" customHeight="false" outlineLevel="0" collapsed="false">
      <c r="A496" s="32" t="n">
        <v>46197</v>
      </c>
      <c r="B496" s="33" t="str">
        <f aca="false">IF(A496="","",TEXT(A496,"yyyy-mm"))</f>
        <v>2026-06</v>
      </c>
      <c r="C496" s="34" t="s">
        <v>93</v>
      </c>
      <c r="D496" s="35" t="n">
        <v>125240</v>
      </c>
      <c r="E496" s="34" t="s">
        <v>92</v>
      </c>
      <c r="F496" s="33" t="str">
        <f aca="false">IF(E496="","",IFERROR(INDEX(카테고리!$B$2:$B$200,MATCH(E496,카테고리!$A$2:$A$200,0)),"미분류"))</f>
        <v>변동비</v>
      </c>
      <c r="G496" s="33" t="str">
        <f aca="false">IF(E496="","",IFERROR(INDEX(카테고리!$C$2:$C$200,MATCH(E496,카테고리!$A$2:$A$200,0)),"N"))</f>
        <v>Y</v>
      </c>
      <c r="H496" s="34" t="s">
        <v>73</v>
      </c>
      <c r="I496" s="34" t="s">
        <v>82</v>
      </c>
      <c r="J496" s="34" t="s">
        <v>75</v>
      </c>
      <c r="K496" s="37"/>
      <c r="L496" s="36" t="n">
        <f aca="false">IF(A496="","",YEAR(A496)*100+MONTH(A496))</f>
        <v>202606</v>
      </c>
    </row>
    <row r="497" customFormat="false" ht="15" hidden="false" customHeight="false" outlineLevel="0" collapsed="false">
      <c r="A497" s="32" t="n">
        <v>46198</v>
      </c>
      <c r="B497" s="33" t="str">
        <f aca="false">IF(A497="","",TEXT(A497,"yyyy-mm"))</f>
        <v>2026-06</v>
      </c>
      <c r="C497" s="34" t="s">
        <v>129</v>
      </c>
      <c r="D497" s="35" t="n">
        <v>3620000</v>
      </c>
      <c r="E497" s="34" t="s">
        <v>130</v>
      </c>
      <c r="F497" s="33" t="str">
        <f aca="false">IF(E497="","",IFERROR(INDEX(카테고리!$B$2:$B$200,MATCH(E497,카테고리!$A$2:$A$200,0)),"미분류"))</f>
        <v>소득</v>
      </c>
      <c r="G497" s="33" t="str">
        <f aca="false">IF(E497="","",IFERROR(INDEX(카테고리!$C$2:$C$200,MATCH(E497,카테고리!$A$2:$A$200,0)),"N"))</f>
        <v>N</v>
      </c>
      <c r="H497" s="34" t="s">
        <v>73</v>
      </c>
      <c r="I497" s="34" t="s">
        <v>131</v>
      </c>
      <c r="J497" s="34" t="s">
        <v>75</v>
      </c>
      <c r="K497" s="37"/>
      <c r="L497" s="36" t="n">
        <f aca="false">IF(A497="","",YEAR(A497)*100+MONTH(A497))</f>
        <v>202606</v>
      </c>
    </row>
    <row r="498" customFormat="false" ht="15" hidden="false" customHeight="false" outlineLevel="0" collapsed="false">
      <c r="A498" s="32" t="n">
        <v>46198</v>
      </c>
      <c r="B498" s="33" t="str">
        <f aca="false">IF(A498="","",TEXT(A498,"yyyy-mm"))</f>
        <v>2026-06</v>
      </c>
      <c r="C498" s="34" t="s">
        <v>109</v>
      </c>
      <c r="D498" s="35" t="n">
        <v>64740</v>
      </c>
      <c r="E498" s="34" t="s">
        <v>87</v>
      </c>
      <c r="F498" s="33" t="str">
        <f aca="false">IF(E498="","",IFERROR(INDEX(카테고리!$B$2:$B$200,MATCH(E498,카테고리!$A$2:$A$200,0)),"미분류"))</f>
        <v>변동비</v>
      </c>
      <c r="G498" s="33" t="str">
        <f aca="false">IF(E498="","",IFERROR(INDEX(카테고리!$C$2:$C$200,MATCH(E498,카테고리!$A$2:$A$200,0)),"N"))</f>
        <v>Y</v>
      </c>
      <c r="H498" s="34" t="s">
        <v>81</v>
      </c>
      <c r="I498" s="34" t="s">
        <v>82</v>
      </c>
      <c r="J498" s="34" t="s">
        <v>75</v>
      </c>
      <c r="K498" s="37"/>
      <c r="L498" s="36" t="n">
        <f aca="false">IF(A498="","",YEAR(A498)*100+MONTH(A498))</f>
        <v>202606</v>
      </c>
    </row>
    <row r="499" customFormat="false" ht="15" hidden="false" customHeight="false" outlineLevel="0" collapsed="false">
      <c r="A499" s="32" t="n">
        <v>46198</v>
      </c>
      <c r="B499" s="33" t="str">
        <f aca="false">IF(A499="","",TEXT(A499,"yyyy-mm"))</f>
        <v>2026-06</v>
      </c>
      <c r="C499" s="34" t="s">
        <v>132</v>
      </c>
      <c r="D499" s="35" t="n">
        <v>4850000</v>
      </c>
      <c r="E499" s="34" t="s">
        <v>130</v>
      </c>
      <c r="F499" s="33" t="str">
        <f aca="false">IF(E499="","",IFERROR(INDEX(카테고리!$B$2:$B$200,MATCH(E499,카테고리!$A$2:$A$200,0)),"미분류"))</f>
        <v>소득</v>
      </c>
      <c r="G499" s="33" t="str">
        <f aca="false">IF(E499="","",IFERROR(INDEX(카테고리!$C$2:$C$200,MATCH(E499,카테고리!$A$2:$A$200,0)),"N"))</f>
        <v>N</v>
      </c>
      <c r="H499" s="34" t="s">
        <v>78</v>
      </c>
      <c r="I499" s="34" t="s">
        <v>131</v>
      </c>
      <c r="J499" s="34" t="s">
        <v>75</v>
      </c>
      <c r="K499" s="37"/>
      <c r="L499" s="36" t="n">
        <f aca="false">IF(A499="","",YEAR(A499)*100+MONTH(A499))</f>
        <v>202606</v>
      </c>
    </row>
    <row r="500" customFormat="false" ht="15" hidden="false" customHeight="false" outlineLevel="0" collapsed="false">
      <c r="A500" s="32" t="n">
        <v>46199</v>
      </c>
      <c r="B500" s="33" t="str">
        <f aca="false">IF(A500="","",TEXT(A500,"yyyy-mm"))</f>
        <v>2026-06</v>
      </c>
      <c r="C500" s="37" t="s">
        <v>133</v>
      </c>
      <c r="D500" s="35" t="n">
        <v>200000</v>
      </c>
      <c r="E500" s="34" t="s">
        <v>134</v>
      </c>
      <c r="F500" s="33" t="str">
        <f aca="false">IF(E500="","",IFERROR(INDEX(카테고리!$B$2:$B$200,MATCH(E500,카테고리!$A$2:$A$200,0)),"미분류"))</f>
        <v>자본이동</v>
      </c>
      <c r="G500" s="33" t="str">
        <f aca="false">IF(E500="","",IFERROR(INDEX(카테고리!$C$2:$C$200,MATCH(E500,카테고리!$A$2:$A$200,0)),"N"))</f>
        <v>N</v>
      </c>
      <c r="H500" s="34" t="s">
        <v>73</v>
      </c>
      <c r="I500" s="34" t="s">
        <v>98</v>
      </c>
      <c r="J500" s="34" t="s">
        <v>75</v>
      </c>
      <c r="K500" s="37"/>
      <c r="L500" s="36" t="n">
        <f aca="false">IF(A500="","",YEAR(A500)*100+MONTH(A500))</f>
        <v>202606</v>
      </c>
    </row>
    <row r="501" customFormat="false" ht="15" hidden="false" customHeight="false" outlineLevel="0" collapsed="false">
      <c r="A501" s="32" t="n">
        <v>46199</v>
      </c>
      <c r="B501" s="33" t="str">
        <f aca="false">IF(A501="","",TEXT(A501,"yyyy-mm"))</f>
        <v>2026-06</v>
      </c>
      <c r="C501" s="34" t="s">
        <v>135</v>
      </c>
      <c r="D501" s="35" t="n">
        <v>650000</v>
      </c>
      <c r="E501" s="34" t="s">
        <v>136</v>
      </c>
      <c r="F501" s="33" t="str">
        <f aca="false">IF(E501="","",IFERROR(INDEX(카테고리!$B$2:$B$200,MATCH(E501,카테고리!$A$2:$A$200,0)),"미분류"))</f>
        <v>자본이동</v>
      </c>
      <c r="G501" s="33" t="str">
        <f aca="false">IF(E501="","",IFERROR(INDEX(카테고리!$C$2:$C$200,MATCH(E501,카테고리!$A$2:$A$200,0)),"N"))</f>
        <v>N</v>
      </c>
      <c r="H501" s="34" t="s">
        <v>73</v>
      </c>
      <c r="I501" s="34" t="s">
        <v>74</v>
      </c>
      <c r="J501" s="34" t="s">
        <v>75</v>
      </c>
      <c r="K501" s="37"/>
      <c r="L501" s="36" t="n">
        <f aca="false">IF(A501="","",YEAR(A501)*100+MONTH(A501))</f>
        <v>202606</v>
      </c>
    </row>
    <row r="502" customFormat="false" ht="15" hidden="false" customHeight="false" outlineLevel="0" collapsed="false">
      <c r="A502" s="32" t="n">
        <v>46199</v>
      </c>
      <c r="B502" s="33" t="str">
        <f aca="false">IF(A502="","",TEXT(A502,"yyyy-mm"))</f>
        <v>2026-06</v>
      </c>
      <c r="C502" s="34" t="s">
        <v>137</v>
      </c>
      <c r="D502" s="35" t="n">
        <v>300000</v>
      </c>
      <c r="E502" s="34" t="s">
        <v>134</v>
      </c>
      <c r="F502" s="33" t="str">
        <f aca="false">IF(E502="","",IFERROR(INDEX(카테고리!$B$2:$B$200,MATCH(E502,카테고리!$A$2:$A$200,0)),"미분류"))</f>
        <v>자본이동</v>
      </c>
      <c r="G502" s="33" t="str">
        <f aca="false">IF(E502="","",IFERROR(INDEX(카테고리!$C$2:$C$200,MATCH(E502,카테고리!$A$2:$A$200,0)),"N"))</f>
        <v>N</v>
      </c>
      <c r="H502" s="34" t="s">
        <v>78</v>
      </c>
      <c r="I502" s="34" t="s">
        <v>98</v>
      </c>
      <c r="J502" s="34" t="s">
        <v>75</v>
      </c>
      <c r="K502" s="37"/>
      <c r="L502" s="36" t="n">
        <f aca="false">IF(A502="","",YEAR(A502)*100+MONTH(A502))</f>
        <v>202606</v>
      </c>
    </row>
    <row r="503" customFormat="false" ht="15" hidden="false" customHeight="false" outlineLevel="0" collapsed="false">
      <c r="A503" s="32" t="n">
        <v>46199</v>
      </c>
      <c r="B503" s="33" t="str">
        <f aca="false">IF(A503="","",TEXT(A503,"yyyy-mm"))</f>
        <v>2026-06</v>
      </c>
      <c r="C503" s="34" t="s">
        <v>138</v>
      </c>
      <c r="D503" s="35" t="n">
        <v>300000</v>
      </c>
      <c r="E503" s="34" t="s">
        <v>139</v>
      </c>
      <c r="F503" s="33" t="str">
        <f aca="false">IF(E503="","",IFERROR(INDEX(카테고리!$B$2:$B$200,MATCH(E503,카테고리!$A$2:$A$200,0)),"미분류"))</f>
        <v>자본이동</v>
      </c>
      <c r="G503" s="33" t="str">
        <f aca="false">IF(E503="","",IFERROR(INDEX(카테고리!$C$2:$C$200,MATCH(E503,카테고리!$A$2:$A$200,0)),"N"))</f>
        <v>N</v>
      </c>
      <c r="H503" s="34" t="s">
        <v>81</v>
      </c>
      <c r="I503" s="34" t="s">
        <v>98</v>
      </c>
      <c r="J503" s="34" t="s">
        <v>75</v>
      </c>
      <c r="K503" s="37"/>
      <c r="L503" s="36" t="n">
        <f aca="false">IF(A503="","",YEAR(A503)*100+MONTH(A503))</f>
        <v>202606</v>
      </c>
    </row>
    <row r="504" customFormat="false" ht="15" hidden="false" customHeight="false" outlineLevel="0" collapsed="false">
      <c r="A504" s="32" t="n">
        <v>46199</v>
      </c>
      <c r="B504" s="33" t="str">
        <f aca="false">IF(A504="","",TEXT(A504,"yyyy-mm"))</f>
        <v>2026-06</v>
      </c>
      <c r="C504" s="34" t="s">
        <v>140</v>
      </c>
      <c r="D504" s="35" t="n">
        <v>100000</v>
      </c>
      <c r="E504" s="34" t="s">
        <v>139</v>
      </c>
      <c r="F504" s="33" t="str">
        <f aca="false">IF(E504="","",IFERROR(INDEX(카테고리!$B$2:$B$200,MATCH(E504,카테고리!$A$2:$A$200,0)),"미분류"))</f>
        <v>자본이동</v>
      </c>
      <c r="G504" s="33" t="str">
        <f aca="false">IF(E504="","",IFERROR(INDEX(카테고리!$C$2:$C$200,MATCH(E504,카테고리!$A$2:$A$200,0)),"N"))</f>
        <v>N</v>
      </c>
      <c r="H504" s="34" t="s">
        <v>78</v>
      </c>
      <c r="I504" s="34" t="s">
        <v>98</v>
      </c>
      <c r="J504" s="34" t="s">
        <v>75</v>
      </c>
      <c r="K504" s="37"/>
      <c r="L504" s="36" t="n">
        <f aca="false">IF(A504="","",YEAR(A504)*100+MONTH(A504))</f>
        <v>202606</v>
      </c>
    </row>
    <row r="505" customFormat="false" ht="15" hidden="false" customHeight="false" outlineLevel="0" collapsed="false">
      <c r="A505" s="32" t="n">
        <v>46199</v>
      </c>
      <c r="B505" s="33" t="str">
        <f aca="false">IF(A505="","",TEXT(A505,"yyyy-mm"))</f>
        <v>2026-06</v>
      </c>
      <c r="C505" s="34" t="s">
        <v>141</v>
      </c>
      <c r="D505" s="35" t="n">
        <v>850000</v>
      </c>
      <c r="E505" s="34" t="s">
        <v>136</v>
      </c>
      <c r="F505" s="33" t="str">
        <f aca="false">IF(E505="","",IFERROR(INDEX(카테고리!$B$2:$B$200,MATCH(E505,카테고리!$A$2:$A$200,0)),"미분류"))</f>
        <v>자본이동</v>
      </c>
      <c r="G505" s="33" t="str">
        <f aca="false">IF(E505="","",IFERROR(INDEX(카테고리!$C$2:$C$200,MATCH(E505,카테고리!$A$2:$A$200,0)),"N"))</f>
        <v>N</v>
      </c>
      <c r="H505" s="34" t="s">
        <v>78</v>
      </c>
      <c r="I505" s="34" t="s">
        <v>74</v>
      </c>
      <c r="J505" s="34" t="s">
        <v>75</v>
      </c>
      <c r="K505" s="37"/>
      <c r="L505" s="36" t="n">
        <f aca="false">IF(A505="","",YEAR(A505)*100+MONTH(A505))</f>
        <v>202606</v>
      </c>
    </row>
    <row r="506" customFormat="false" ht="15" hidden="false" customHeight="false" outlineLevel="0" collapsed="false">
      <c r="A506" s="32" t="n">
        <v>46199</v>
      </c>
      <c r="B506" s="33" t="str">
        <f aca="false">IF(A506="","",TEXT(A506,"yyyy-mm"))</f>
        <v>2026-06</v>
      </c>
      <c r="C506" s="34" t="s">
        <v>142</v>
      </c>
      <c r="D506" s="35" t="n">
        <v>200000</v>
      </c>
      <c r="E506" s="34" t="s">
        <v>136</v>
      </c>
      <c r="F506" s="33" t="str">
        <f aca="false">IF(E506="","",IFERROR(INDEX(카테고리!$B$2:$B$200,MATCH(E506,카테고리!$A$2:$A$200,0)),"미분류"))</f>
        <v>자본이동</v>
      </c>
      <c r="G506" s="33" t="str">
        <f aca="false">IF(E506="","",IFERROR(INDEX(카테고리!$C$2:$C$200,MATCH(E506,카테고리!$A$2:$A$200,0)),"N"))</f>
        <v>N</v>
      </c>
      <c r="H506" s="34" t="s">
        <v>81</v>
      </c>
      <c r="I506" s="34" t="s">
        <v>74</v>
      </c>
      <c r="J506" s="34" t="s">
        <v>75</v>
      </c>
      <c r="K506" s="37"/>
      <c r="L506" s="36" t="n">
        <f aca="false">IF(A506="","",YEAR(A506)*100+MONTH(A506))</f>
        <v>202606</v>
      </c>
    </row>
    <row r="507" customFormat="false" ht="15" hidden="false" customHeight="false" outlineLevel="0" collapsed="false">
      <c r="A507" s="32" t="n">
        <v>46200</v>
      </c>
      <c r="B507" s="33" t="str">
        <f aca="false">IF(A507="","",TEXT(A507,"yyyy-mm"))</f>
        <v>2026-06</v>
      </c>
      <c r="C507" s="37" t="s">
        <v>84</v>
      </c>
      <c r="D507" s="35" t="n">
        <v>87120</v>
      </c>
      <c r="E507" s="34" t="s">
        <v>85</v>
      </c>
      <c r="F507" s="33" t="str">
        <f aca="false">IF(E507="","",IFERROR(INDEX(카테고리!$B$2:$B$200,MATCH(E507,카테고리!$A$2:$A$200,0)),"미분류"))</f>
        <v>변동비</v>
      </c>
      <c r="G507" s="33" t="str">
        <f aca="false">IF(E507="","",IFERROR(INDEX(카테고리!$C$2:$C$200,MATCH(E507,카테고리!$A$2:$A$200,0)),"N"))</f>
        <v>Y</v>
      </c>
      <c r="H507" s="34" t="s">
        <v>81</v>
      </c>
      <c r="I507" s="34" t="s">
        <v>82</v>
      </c>
      <c r="J507" s="34" t="s">
        <v>75</v>
      </c>
      <c r="K507" s="37"/>
      <c r="L507" s="36" t="n">
        <f aca="false">IF(A507="","",YEAR(A507)*100+MONTH(A507))</f>
        <v>202606</v>
      </c>
    </row>
    <row r="508" customFormat="false" ht="15" hidden="false" customHeight="false" outlineLevel="0" collapsed="false">
      <c r="A508" s="32" t="n">
        <v>46201</v>
      </c>
      <c r="B508" s="33" t="str">
        <f aca="false">IF(A508="","",TEXT(A508,"yyyy-mm"))</f>
        <v>2026-06</v>
      </c>
      <c r="C508" s="34" t="s">
        <v>110</v>
      </c>
      <c r="D508" s="35" t="n">
        <v>18640</v>
      </c>
      <c r="E508" s="34" t="s">
        <v>85</v>
      </c>
      <c r="F508" s="33" t="str">
        <f aca="false">IF(E508="","",IFERROR(INDEX(카테고리!$B$2:$B$200,MATCH(E508,카테고리!$A$2:$A$200,0)),"미분류"))</f>
        <v>변동비</v>
      </c>
      <c r="G508" s="33" t="str">
        <f aca="false">IF(E508="","",IFERROR(INDEX(카테고리!$C$2:$C$200,MATCH(E508,카테고리!$A$2:$A$200,0)),"N"))</f>
        <v>Y</v>
      </c>
      <c r="H508" s="34" t="s">
        <v>78</v>
      </c>
      <c r="I508" s="34" t="s">
        <v>107</v>
      </c>
      <c r="J508" s="34" t="s">
        <v>75</v>
      </c>
      <c r="K508" s="37"/>
      <c r="L508" s="36" t="n">
        <f aca="false">IF(A508="","",YEAR(A508)*100+MONTH(A508))</f>
        <v>202606</v>
      </c>
    </row>
    <row r="509" customFormat="false" ht="15" hidden="false" customHeight="false" outlineLevel="0" collapsed="false">
      <c r="A509" s="32" t="n">
        <v>46201</v>
      </c>
      <c r="B509" s="33" t="str">
        <f aca="false">IF(A509="","",TEXT(A509,"yyyy-mm"))</f>
        <v>2026-06</v>
      </c>
      <c r="C509" s="34" t="s">
        <v>143</v>
      </c>
      <c r="D509" s="35" t="n">
        <v>26000</v>
      </c>
      <c r="E509" s="34" t="s">
        <v>144</v>
      </c>
      <c r="F509" s="33" t="str">
        <f aca="false">IF(E509="","",IFERROR(INDEX(카테고리!$B$2:$B$200,MATCH(E509,카테고리!$A$2:$A$200,0)),"미분류"))</f>
        <v>소득</v>
      </c>
      <c r="G509" s="33" t="str">
        <f aca="false">IF(E509="","",IFERROR(INDEX(카테고리!$C$2:$C$200,MATCH(E509,카테고리!$A$2:$A$200,0)),"N"))</f>
        <v>N</v>
      </c>
      <c r="H509" s="34" t="s">
        <v>81</v>
      </c>
      <c r="I509" s="34" t="s">
        <v>131</v>
      </c>
      <c r="J509" s="34" t="s">
        <v>75</v>
      </c>
      <c r="K509" s="37"/>
      <c r="L509" s="36" t="n">
        <f aca="false">IF(A509="","",YEAR(A509)*100+MONTH(A509))</f>
        <v>202606</v>
      </c>
    </row>
    <row r="510" customFormat="false" ht="15" hidden="false" customHeight="false" outlineLevel="0" collapsed="false">
      <c r="A510" s="32" t="n">
        <v>46203</v>
      </c>
      <c r="B510" s="33" t="str">
        <f aca="false">IF(A510="","",TEXT(A510,"yyyy-mm"))</f>
        <v>2026-06</v>
      </c>
      <c r="C510" s="34" t="s">
        <v>159</v>
      </c>
      <c r="D510" s="35" t="n">
        <v>262000</v>
      </c>
      <c r="E510" s="34" t="s">
        <v>160</v>
      </c>
      <c r="F510" s="33" t="str">
        <f aca="false">IF(E510="","",IFERROR(INDEX(카테고리!$B$2:$B$200,MATCH(E510,카테고리!$A$2:$A$200,0)),"미분류"))</f>
        <v>비정기비</v>
      </c>
      <c r="G510" s="33" t="str">
        <f aca="false">IF(E510="","",IFERROR(INDEX(카테고리!$C$2:$C$200,MATCH(E510,카테고리!$A$2:$A$200,0)),"N"))</f>
        <v>Y</v>
      </c>
      <c r="H510" s="34" t="s">
        <v>81</v>
      </c>
      <c r="I510" s="34" t="s">
        <v>74</v>
      </c>
      <c r="J510" s="34" t="s">
        <v>75</v>
      </c>
      <c r="K510" s="37"/>
      <c r="L510" s="36" t="n">
        <f aca="false">IF(A510="","",YEAR(A510)*100+MONTH(A510))</f>
        <v>202606</v>
      </c>
    </row>
    <row r="511" customFormat="false" ht="15" hidden="false" customHeight="false" outlineLevel="0" collapsed="false">
      <c r="A511" s="32" t="n">
        <v>46204</v>
      </c>
      <c r="B511" s="33" t="str">
        <f aca="false">IF(A511="","",TEXT(A511,"yyyy-mm"))</f>
        <v>2026-07</v>
      </c>
      <c r="C511" s="34" t="s">
        <v>71</v>
      </c>
      <c r="D511" s="35" t="n">
        <v>300000</v>
      </c>
      <c r="E511" s="34" t="s">
        <v>72</v>
      </c>
      <c r="F511" s="33" t="str">
        <f aca="false">IF(E511="","",IFERROR(INDEX(카테고리!$B$2:$B$200,MATCH(E511,카테고리!$A$2:$A$200,0)),"미분류"))</f>
        <v>변동비</v>
      </c>
      <c r="G511" s="33" t="str">
        <f aca="false">IF(E511="","",IFERROR(INDEX(카테고리!$C$2:$C$200,MATCH(E511,카테고리!$A$2:$A$200,0)),"N"))</f>
        <v>N</v>
      </c>
      <c r="H511" s="34" t="s">
        <v>73</v>
      </c>
      <c r="I511" s="34" t="s">
        <v>74</v>
      </c>
      <c r="J511" s="34" t="s">
        <v>75</v>
      </c>
      <c r="K511" s="37"/>
      <c r="L511" s="36" t="n">
        <f aca="false">IF(A511="","",YEAR(A511)*100+MONTH(A511))</f>
        <v>202607</v>
      </c>
    </row>
    <row r="512" customFormat="false" ht="15" hidden="false" customHeight="false" outlineLevel="0" collapsed="false">
      <c r="A512" s="32" t="n">
        <v>46204</v>
      </c>
      <c r="B512" s="33" t="str">
        <f aca="false">IF(A512="","",TEXT(A512,"yyyy-mm"))</f>
        <v>2026-07</v>
      </c>
      <c r="C512" s="34" t="s">
        <v>77</v>
      </c>
      <c r="D512" s="35" t="n">
        <v>300000</v>
      </c>
      <c r="E512" s="34" t="s">
        <v>72</v>
      </c>
      <c r="F512" s="33" t="str">
        <f aca="false">IF(E512="","",IFERROR(INDEX(카테고리!$B$2:$B$200,MATCH(E512,카테고리!$A$2:$A$200,0)),"미분류"))</f>
        <v>변동비</v>
      </c>
      <c r="G512" s="33" t="str">
        <f aca="false">IF(E512="","",IFERROR(INDEX(카테고리!$C$2:$C$200,MATCH(E512,카테고리!$A$2:$A$200,0)),"N"))</f>
        <v>N</v>
      </c>
      <c r="H512" s="34" t="s">
        <v>78</v>
      </c>
      <c r="I512" s="34" t="s">
        <v>74</v>
      </c>
      <c r="J512" s="34" t="s">
        <v>75</v>
      </c>
      <c r="K512" s="37"/>
      <c r="L512" s="36" t="n">
        <f aca="false">IF(A512="","",YEAR(A512)*100+MONTH(A512))</f>
        <v>202607</v>
      </c>
    </row>
    <row r="513" customFormat="false" ht="15" hidden="false" customHeight="false" outlineLevel="0" collapsed="false">
      <c r="A513" s="32" t="n">
        <v>46204</v>
      </c>
      <c r="B513" s="33" t="str">
        <f aca="false">IF(A513="","",TEXT(A513,"yyyy-mm"))</f>
        <v>2026-07</v>
      </c>
      <c r="C513" s="34" t="s">
        <v>79</v>
      </c>
      <c r="D513" s="35" t="n">
        <v>140000</v>
      </c>
      <c r="E513" s="34" t="s">
        <v>80</v>
      </c>
      <c r="F513" s="33" t="str">
        <f aca="false">IF(E513="","",IFERROR(INDEX(카테고리!$B$2:$B$200,MATCH(E513,카테고리!$A$2:$A$200,0)),"미분류"))</f>
        <v>고정비</v>
      </c>
      <c r="G513" s="33" t="str">
        <f aca="false">IF(E513="","",IFERROR(INDEX(카테고리!$C$2:$C$200,MATCH(E513,카테고리!$A$2:$A$200,0)),"N"))</f>
        <v>Y</v>
      </c>
      <c r="H513" s="34" t="s">
        <v>81</v>
      </c>
      <c r="I513" s="34" t="s">
        <v>82</v>
      </c>
      <c r="J513" s="34" t="s">
        <v>75</v>
      </c>
      <c r="K513" s="37"/>
      <c r="L513" s="36" t="n">
        <f aca="false">IF(A513="","",YEAR(A513)*100+MONTH(A513))</f>
        <v>202607</v>
      </c>
    </row>
    <row r="514" customFormat="false" ht="15" hidden="false" customHeight="false" outlineLevel="0" collapsed="false">
      <c r="A514" s="32" t="n">
        <v>46204</v>
      </c>
      <c r="B514" s="33" t="str">
        <f aca="false">IF(A514="","",TEXT(A514,"yyyy-mm"))</f>
        <v>2026-07</v>
      </c>
      <c r="C514" s="34" t="s">
        <v>83</v>
      </c>
      <c r="D514" s="35" t="n">
        <v>380000</v>
      </c>
      <c r="E514" s="34" t="s">
        <v>80</v>
      </c>
      <c r="F514" s="33" t="str">
        <f aca="false">IF(E514="","",IFERROR(INDEX(카테고리!$B$2:$B$200,MATCH(E514,카테고리!$A$2:$A$200,0)),"미분류"))</f>
        <v>고정비</v>
      </c>
      <c r="G514" s="33" t="str">
        <f aca="false">IF(E514="","",IFERROR(INDEX(카테고리!$C$2:$C$200,MATCH(E514,카테고리!$A$2:$A$200,0)),"N"))</f>
        <v>Y</v>
      </c>
      <c r="H514" s="34" t="s">
        <v>81</v>
      </c>
      <c r="I514" s="34" t="s">
        <v>82</v>
      </c>
      <c r="J514" s="34" t="s">
        <v>75</v>
      </c>
      <c r="K514" s="37"/>
      <c r="L514" s="36" t="n">
        <f aca="false">IF(A514="","",YEAR(A514)*100+MONTH(A514))</f>
        <v>202607</v>
      </c>
    </row>
    <row r="515" customFormat="false" ht="15" hidden="false" customHeight="false" outlineLevel="0" collapsed="false">
      <c r="A515" s="32" t="n">
        <v>46205</v>
      </c>
      <c r="B515" s="33" t="str">
        <f aca="false">IF(A515="","",TEXT(A515,"yyyy-mm"))</f>
        <v>2026-07</v>
      </c>
      <c r="C515" s="34" t="s">
        <v>145</v>
      </c>
      <c r="D515" s="35" t="n">
        <v>40960</v>
      </c>
      <c r="E515" s="34" t="s">
        <v>89</v>
      </c>
      <c r="F515" s="33" t="str">
        <f aca="false">IF(E515="","",IFERROR(INDEX(카테고리!$B$2:$B$200,MATCH(E515,카테고리!$A$2:$A$200,0)),"미분류"))</f>
        <v>변동비</v>
      </c>
      <c r="G515" s="33" t="str">
        <f aca="false">IF(E515="","",IFERROR(INDEX(카테고리!$C$2:$C$200,MATCH(E515,카테고리!$A$2:$A$200,0)),"N"))</f>
        <v>N</v>
      </c>
      <c r="H515" s="34" t="s">
        <v>78</v>
      </c>
      <c r="I515" s="34" t="s">
        <v>90</v>
      </c>
      <c r="J515" s="34" t="s">
        <v>75</v>
      </c>
      <c r="K515" s="37"/>
      <c r="L515" s="36" t="n">
        <f aca="false">IF(A515="","",YEAR(A515)*100+MONTH(A515))</f>
        <v>202607</v>
      </c>
    </row>
    <row r="516" customFormat="false" ht="15" hidden="false" customHeight="false" outlineLevel="0" collapsed="false">
      <c r="A516" s="32" t="n">
        <v>46206</v>
      </c>
      <c r="B516" s="33" t="str">
        <f aca="false">IF(A516="","",TEXT(A516,"yyyy-mm"))</f>
        <v>2026-07</v>
      </c>
      <c r="C516" s="34" t="s">
        <v>88</v>
      </c>
      <c r="D516" s="35" t="n">
        <v>23220</v>
      </c>
      <c r="E516" s="34" t="s">
        <v>89</v>
      </c>
      <c r="F516" s="33" t="str">
        <f aca="false">IF(E516="","",IFERROR(INDEX(카테고리!$B$2:$B$200,MATCH(E516,카테고리!$A$2:$A$200,0)),"미분류"))</f>
        <v>변동비</v>
      </c>
      <c r="G516" s="33" t="str">
        <f aca="false">IF(E516="","",IFERROR(INDEX(카테고리!$C$2:$C$200,MATCH(E516,카테고리!$A$2:$A$200,0)),"N"))</f>
        <v>N</v>
      </c>
      <c r="H516" s="34" t="s">
        <v>78</v>
      </c>
      <c r="I516" s="34" t="s">
        <v>90</v>
      </c>
      <c r="J516" s="34" t="s">
        <v>75</v>
      </c>
      <c r="K516" s="37"/>
      <c r="L516" s="36" t="n">
        <f aca="false">IF(A516="","",YEAR(A516)*100+MONTH(A516))</f>
        <v>202607</v>
      </c>
    </row>
    <row r="517" customFormat="false" ht="15" hidden="false" customHeight="false" outlineLevel="0" collapsed="false">
      <c r="A517" s="32" t="n">
        <v>46206</v>
      </c>
      <c r="B517" s="33" t="str">
        <f aca="false">IF(A517="","",TEXT(A517,"yyyy-mm"))</f>
        <v>2026-07</v>
      </c>
      <c r="C517" s="34" t="s">
        <v>88</v>
      </c>
      <c r="D517" s="35" t="n">
        <v>79600</v>
      </c>
      <c r="E517" s="34" t="s">
        <v>89</v>
      </c>
      <c r="F517" s="33" t="str">
        <f aca="false">IF(E517="","",IFERROR(INDEX(카테고리!$B$2:$B$200,MATCH(E517,카테고리!$A$2:$A$200,0)),"미분류"))</f>
        <v>변동비</v>
      </c>
      <c r="G517" s="33" t="str">
        <f aca="false">IF(E517="","",IFERROR(INDEX(카테고리!$C$2:$C$200,MATCH(E517,카테고리!$A$2:$A$200,0)),"N"))</f>
        <v>N</v>
      </c>
      <c r="H517" s="34" t="s">
        <v>78</v>
      </c>
      <c r="I517" s="34" t="s">
        <v>107</v>
      </c>
      <c r="J517" s="34" t="s">
        <v>75</v>
      </c>
      <c r="K517" s="37"/>
      <c r="L517" s="36" t="n">
        <f aca="false">IF(A517="","",YEAR(A517)*100+MONTH(A517))</f>
        <v>202607</v>
      </c>
    </row>
    <row r="518" customFormat="false" ht="15" hidden="false" customHeight="false" outlineLevel="0" collapsed="false">
      <c r="A518" s="32" t="n">
        <v>46206</v>
      </c>
      <c r="B518" s="33" t="str">
        <f aca="false">IF(A518="","",TEXT(A518,"yyyy-mm"))</f>
        <v>2026-07</v>
      </c>
      <c r="C518" s="34" t="s">
        <v>94</v>
      </c>
      <c r="D518" s="35" t="n">
        <v>50000</v>
      </c>
      <c r="E518" s="34" t="s">
        <v>85</v>
      </c>
      <c r="F518" s="33" t="str">
        <f aca="false">IF(E518="","",IFERROR(INDEX(카테고리!$B$2:$B$200,MATCH(E518,카테고리!$A$2:$A$200,0)),"미분류"))</f>
        <v>변동비</v>
      </c>
      <c r="G518" s="33" t="str">
        <f aca="false">IF(E518="","",IFERROR(INDEX(카테고리!$C$2:$C$200,MATCH(E518,카테고리!$A$2:$A$200,0)),"N"))</f>
        <v>Y</v>
      </c>
      <c r="H518" s="34" t="s">
        <v>73</v>
      </c>
      <c r="I518" s="34" t="s">
        <v>90</v>
      </c>
      <c r="J518" s="34" t="s">
        <v>75</v>
      </c>
      <c r="K518" s="37"/>
      <c r="L518" s="36" t="n">
        <f aca="false">IF(A518="","",YEAR(A518)*100+MONTH(A518))</f>
        <v>202607</v>
      </c>
    </row>
    <row r="519" customFormat="false" ht="15" hidden="false" customHeight="false" outlineLevel="0" collapsed="false">
      <c r="A519" s="32" t="n">
        <v>46208</v>
      </c>
      <c r="B519" s="33" t="str">
        <f aca="false">IF(A519="","",TEXT(A519,"yyyy-mm"))</f>
        <v>2026-07</v>
      </c>
      <c r="C519" s="34" t="s">
        <v>96</v>
      </c>
      <c r="D519" s="35" t="n">
        <v>300000</v>
      </c>
      <c r="E519" s="34" t="s">
        <v>97</v>
      </c>
      <c r="F519" s="33" t="str">
        <f aca="false">IF(E519="","",IFERROR(INDEX(카테고리!$B$2:$B$200,MATCH(E519,카테고리!$A$2:$A$200,0)),"미분류"))</f>
        <v>자본이동</v>
      </c>
      <c r="G519" s="33" t="str">
        <f aca="false">IF(E519="","",IFERROR(INDEX(카테고리!$C$2:$C$200,MATCH(E519,카테고리!$A$2:$A$200,0)),"N"))</f>
        <v>N</v>
      </c>
      <c r="H519" s="34" t="s">
        <v>78</v>
      </c>
      <c r="I519" s="34" t="s">
        <v>98</v>
      </c>
      <c r="J519" s="34" t="s">
        <v>75</v>
      </c>
      <c r="K519" s="37"/>
      <c r="L519" s="36" t="n">
        <f aca="false">IF(A519="","",YEAR(A519)*100+MONTH(A519))</f>
        <v>202607</v>
      </c>
    </row>
    <row r="520" customFormat="false" ht="15" hidden="false" customHeight="false" outlineLevel="0" collapsed="false">
      <c r="A520" s="32" t="n">
        <v>46208</v>
      </c>
      <c r="B520" s="33" t="str">
        <f aca="false">IF(A520="","",TEXT(A520,"yyyy-mm"))</f>
        <v>2026-07</v>
      </c>
      <c r="C520" s="34" t="s">
        <v>99</v>
      </c>
      <c r="D520" s="35" t="n">
        <v>70300</v>
      </c>
      <c r="E520" s="34" t="s">
        <v>100</v>
      </c>
      <c r="F520" s="33" t="str">
        <f aca="false">IF(E520="","",IFERROR(INDEX(카테고리!$B$2:$B$200,MATCH(E520,카테고리!$A$2:$A$200,0)),"미분류"))</f>
        <v>고정비</v>
      </c>
      <c r="G520" s="33" t="str">
        <f aca="false">IF(E520="","",IFERROR(INDEX(카테고리!$C$2:$C$200,MATCH(E520,카테고리!$A$2:$A$200,0)),"N"))</f>
        <v>Y</v>
      </c>
      <c r="H520" s="34" t="s">
        <v>78</v>
      </c>
      <c r="I520" s="34" t="s">
        <v>98</v>
      </c>
      <c r="J520" s="34" t="s">
        <v>75</v>
      </c>
      <c r="K520" s="37"/>
      <c r="L520" s="36" t="n">
        <f aca="false">IF(A520="","",YEAR(A520)*100+MONTH(A520))</f>
        <v>202607</v>
      </c>
    </row>
    <row r="521" customFormat="false" ht="15" hidden="false" customHeight="false" outlineLevel="0" collapsed="false">
      <c r="A521" s="32" t="n">
        <v>46208</v>
      </c>
      <c r="B521" s="33" t="str">
        <f aca="false">IF(A521="","",TEXT(A521,"yyyy-mm"))</f>
        <v>2026-07</v>
      </c>
      <c r="C521" s="34" t="s">
        <v>101</v>
      </c>
      <c r="D521" s="35" t="n">
        <v>600000</v>
      </c>
      <c r="E521" s="34" t="s">
        <v>97</v>
      </c>
      <c r="F521" s="33" t="str">
        <f aca="false">IF(E521="","",IFERROR(INDEX(카테고리!$B$2:$B$200,MATCH(E521,카테고리!$A$2:$A$200,0)),"미분류"))</f>
        <v>자본이동</v>
      </c>
      <c r="G521" s="33" t="str">
        <f aca="false">IF(E521="","",IFERROR(INDEX(카테고리!$C$2:$C$200,MATCH(E521,카테고리!$A$2:$A$200,0)),"N"))</f>
        <v>N</v>
      </c>
      <c r="H521" s="34" t="s">
        <v>81</v>
      </c>
      <c r="I521" s="34" t="s">
        <v>98</v>
      </c>
      <c r="J521" s="34" t="s">
        <v>75</v>
      </c>
      <c r="K521" s="37"/>
      <c r="L521" s="36" t="n">
        <f aca="false">IF(A521="","",YEAR(A521)*100+MONTH(A521))</f>
        <v>202607</v>
      </c>
    </row>
    <row r="522" customFormat="false" ht="15" hidden="false" customHeight="false" outlineLevel="0" collapsed="false">
      <c r="A522" s="32" t="n">
        <v>46208</v>
      </c>
      <c r="B522" s="33" t="str">
        <f aca="false">IF(A522="","",TEXT(A522,"yyyy-mm"))</f>
        <v>2026-07</v>
      </c>
      <c r="C522" s="34" t="s">
        <v>102</v>
      </c>
      <c r="D522" s="35" t="n">
        <v>987000</v>
      </c>
      <c r="E522" s="34" t="s">
        <v>100</v>
      </c>
      <c r="F522" s="33" t="str">
        <f aca="false">IF(E522="","",IFERROR(INDEX(카테고리!$B$2:$B$200,MATCH(E522,카테고리!$A$2:$A$200,0)),"미분류"))</f>
        <v>고정비</v>
      </c>
      <c r="G522" s="33" t="str">
        <f aca="false">IF(E522="","",IFERROR(INDEX(카테고리!$C$2:$C$200,MATCH(E522,카테고리!$A$2:$A$200,0)),"N"))</f>
        <v>Y</v>
      </c>
      <c r="H522" s="34" t="s">
        <v>81</v>
      </c>
      <c r="I522" s="34" t="s">
        <v>98</v>
      </c>
      <c r="J522" s="34" t="s">
        <v>75</v>
      </c>
      <c r="K522" s="37"/>
      <c r="L522" s="36" t="n">
        <f aca="false">IF(A522="","",YEAR(A522)*100+MONTH(A522))</f>
        <v>202607</v>
      </c>
    </row>
    <row r="523" customFormat="false" ht="15" hidden="false" customHeight="false" outlineLevel="0" collapsed="false">
      <c r="A523" s="32" t="n">
        <v>46209</v>
      </c>
      <c r="B523" s="33" t="str">
        <f aca="false">IF(A523="","",TEXT(A523,"yyyy-mm"))</f>
        <v>2026-07</v>
      </c>
      <c r="C523" s="34" t="s">
        <v>93</v>
      </c>
      <c r="D523" s="35" t="n">
        <v>95320</v>
      </c>
      <c r="E523" s="34" t="s">
        <v>92</v>
      </c>
      <c r="F523" s="33" t="str">
        <f aca="false">IF(E523="","",IFERROR(INDEX(카테고리!$B$2:$B$200,MATCH(E523,카테고리!$A$2:$A$200,0)),"미분류"))</f>
        <v>변동비</v>
      </c>
      <c r="G523" s="33" t="str">
        <f aca="false">IF(E523="","",IFERROR(INDEX(카테고리!$C$2:$C$200,MATCH(E523,카테고리!$A$2:$A$200,0)),"N"))</f>
        <v>Y</v>
      </c>
      <c r="H523" s="34" t="s">
        <v>73</v>
      </c>
      <c r="I523" s="34" t="s">
        <v>82</v>
      </c>
      <c r="J523" s="34" t="s">
        <v>75</v>
      </c>
      <c r="K523" s="37"/>
      <c r="L523" s="36" t="n">
        <f aca="false">IF(A523="","",YEAR(A523)*100+MONTH(A523))</f>
        <v>202607</v>
      </c>
    </row>
    <row r="524" customFormat="false" ht="15" hidden="false" customHeight="false" outlineLevel="0" collapsed="false">
      <c r="A524" s="32" t="n">
        <v>46209</v>
      </c>
      <c r="B524" s="33" t="str">
        <f aca="false">IF(A524="","",TEXT(A524,"yyyy-mm"))</f>
        <v>2026-07</v>
      </c>
      <c r="C524" s="34" t="s">
        <v>109</v>
      </c>
      <c r="D524" s="35" t="n">
        <v>51980</v>
      </c>
      <c r="E524" s="34" t="s">
        <v>87</v>
      </c>
      <c r="F524" s="33" t="str">
        <f aca="false">IF(E524="","",IFERROR(INDEX(카테고리!$B$2:$B$200,MATCH(E524,카테고리!$A$2:$A$200,0)),"미분류"))</f>
        <v>변동비</v>
      </c>
      <c r="G524" s="33" t="str">
        <f aca="false">IF(E524="","",IFERROR(INDEX(카테고리!$C$2:$C$200,MATCH(E524,카테고리!$A$2:$A$200,0)),"N"))</f>
        <v>Y</v>
      </c>
      <c r="H524" s="34" t="s">
        <v>81</v>
      </c>
      <c r="I524" s="34" t="s">
        <v>82</v>
      </c>
      <c r="J524" s="34" t="s">
        <v>75</v>
      </c>
      <c r="K524" s="37"/>
      <c r="L524" s="36" t="n">
        <f aca="false">IF(A524="","",YEAR(A524)*100+MONTH(A524))</f>
        <v>202607</v>
      </c>
    </row>
    <row r="525" customFormat="false" ht="15" hidden="false" customHeight="false" outlineLevel="0" collapsed="false">
      <c r="A525" s="32" t="n">
        <v>46210</v>
      </c>
      <c r="B525" s="33" t="str">
        <f aca="false">IF(A525="","",TEXT(A525,"yyyy-mm"))</f>
        <v>2026-07</v>
      </c>
      <c r="C525" s="34" t="s">
        <v>104</v>
      </c>
      <c r="D525" s="35" t="n">
        <v>17000</v>
      </c>
      <c r="E525" s="34" t="s">
        <v>105</v>
      </c>
      <c r="F525" s="33" t="str">
        <f aca="false">IF(E525="","",IFERROR(INDEX(카테고리!$B$2:$B$200,MATCH(E525,카테고리!$A$2:$A$200,0)),"미분류"))</f>
        <v>고정비</v>
      </c>
      <c r="G525" s="33" t="str">
        <f aca="false">IF(E525="","",IFERROR(INDEX(카테고리!$C$2:$C$200,MATCH(E525,카테고리!$A$2:$A$200,0)),"N"))</f>
        <v>N</v>
      </c>
      <c r="H525" s="34" t="s">
        <v>81</v>
      </c>
      <c r="I525" s="34" t="s">
        <v>82</v>
      </c>
      <c r="J525" s="34" t="s">
        <v>75</v>
      </c>
      <c r="K525" s="37"/>
      <c r="L525" s="36" t="n">
        <f aca="false">IF(A525="","",YEAR(A525)*100+MONTH(A525))</f>
        <v>202607</v>
      </c>
    </row>
    <row r="526" customFormat="false" ht="15" hidden="false" customHeight="false" outlineLevel="0" collapsed="false">
      <c r="A526" s="32" t="n">
        <v>46210</v>
      </c>
      <c r="B526" s="33" t="str">
        <f aca="false">IF(A526="","",TEXT(A526,"yyyy-mm"))</f>
        <v>2026-07</v>
      </c>
      <c r="C526" s="34" t="s">
        <v>106</v>
      </c>
      <c r="D526" s="35" t="n">
        <v>14900</v>
      </c>
      <c r="E526" s="34" t="s">
        <v>105</v>
      </c>
      <c r="F526" s="33" t="str">
        <f aca="false">IF(E526="","",IFERROR(INDEX(카테고리!$B$2:$B$200,MATCH(E526,카테고리!$A$2:$A$200,0)),"미분류"))</f>
        <v>고정비</v>
      </c>
      <c r="G526" s="33" t="str">
        <f aca="false">IF(E526="","",IFERROR(INDEX(카테고리!$C$2:$C$200,MATCH(E526,카테고리!$A$2:$A$200,0)),"N"))</f>
        <v>N</v>
      </c>
      <c r="H526" s="34" t="s">
        <v>78</v>
      </c>
      <c r="I526" s="34" t="s">
        <v>107</v>
      </c>
      <c r="J526" s="34" t="s">
        <v>75</v>
      </c>
      <c r="K526" s="37"/>
      <c r="L526" s="36" t="n">
        <f aca="false">IF(A526="","",YEAR(A526)*100+MONTH(A526))</f>
        <v>202607</v>
      </c>
    </row>
    <row r="527" customFormat="false" ht="15" hidden="false" customHeight="false" outlineLevel="0" collapsed="false">
      <c r="A527" s="32" t="n">
        <v>46210</v>
      </c>
      <c r="B527" s="33" t="str">
        <f aca="false">IF(A527="","",TEXT(A527,"yyyy-mm"))</f>
        <v>2026-07</v>
      </c>
      <c r="C527" s="34" t="s">
        <v>108</v>
      </c>
      <c r="D527" s="35" t="n">
        <v>7890</v>
      </c>
      <c r="E527" s="34" t="s">
        <v>105</v>
      </c>
      <c r="F527" s="33" t="str">
        <f aca="false">IF(E527="","",IFERROR(INDEX(카테고리!$B$2:$B$200,MATCH(E527,카테고리!$A$2:$A$200,0)),"미분류"))</f>
        <v>고정비</v>
      </c>
      <c r="G527" s="33" t="str">
        <f aca="false">IF(E527="","",IFERROR(INDEX(카테고리!$C$2:$C$200,MATCH(E527,카테고리!$A$2:$A$200,0)),"N"))</f>
        <v>N</v>
      </c>
      <c r="H527" s="34" t="s">
        <v>73</v>
      </c>
      <c r="I527" s="34" t="s">
        <v>90</v>
      </c>
      <c r="J527" s="34" t="s">
        <v>75</v>
      </c>
      <c r="K527" s="37"/>
      <c r="L527" s="36" t="n">
        <f aca="false">IF(A527="","",YEAR(A527)*100+MONTH(A527))</f>
        <v>202607</v>
      </c>
    </row>
    <row r="528" customFormat="false" ht="15" hidden="false" customHeight="false" outlineLevel="0" collapsed="false">
      <c r="A528" s="32" t="n">
        <v>46212</v>
      </c>
      <c r="B528" s="33" t="str">
        <f aca="false">IF(A528="","",TEXT(A528,"yyyy-mm"))</f>
        <v>2026-07</v>
      </c>
      <c r="C528" s="34" t="s">
        <v>88</v>
      </c>
      <c r="D528" s="35" t="n">
        <v>41790</v>
      </c>
      <c r="E528" s="34" t="s">
        <v>89</v>
      </c>
      <c r="F528" s="33" t="str">
        <f aca="false">IF(E528="","",IFERROR(INDEX(카테고리!$B$2:$B$200,MATCH(E528,카테고리!$A$2:$A$200,0)),"미분류"))</f>
        <v>변동비</v>
      </c>
      <c r="G528" s="33" t="str">
        <f aca="false">IF(E528="","",IFERROR(INDEX(카테고리!$C$2:$C$200,MATCH(E528,카테고리!$A$2:$A$200,0)),"N"))</f>
        <v>N</v>
      </c>
      <c r="H528" s="34" t="s">
        <v>73</v>
      </c>
      <c r="I528" s="34" t="s">
        <v>107</v>
      </c>
      <c r="J528" s="34" t="s">
        <v>75</v>
      </c>
      <c r="K528" s="37"/>
      <c r="L528" s="36" t="n">
        <f aca="false">IF(A528="","",YEAR(A528)*100+MONTH(A528))</f>
        <v>202607</v>
      </c>
    </row>
    <row r="529" customFormat="false" ht="15" hidden="false" customHeight="false" outlineLevel="0" collapsed="false">
      <c r="A529" s="32" t="n">
        <v>46212</v>
      </c>
      <c r="B529" s="33" t="str">
        <f aca="false">IF(A529="","",TEXT(A529,"yyyy-mm"))</f>
        <v>2026-07</v>
      </c>
      <c r="C529" s="34" t="s">
        <v>146</v>
      </c>
      <c r="D529" s="35" t="n">
        <v>120600</v>
      </c>
      <c r="E529" s="34" t="s">
        <v>92</v>
      </c>
      <c r="F529" s="33" t="str">
        <f aca="false">IF(E529="","",IFERROR(INDEX(카테고리!$B$2:$B$200,MATCH(E529,카테고리!$A$2:$A$200,0)),"미분류"))</f>
        <v>변동비</v>
      </c>
      <c r="G529" s="33" t="str">
        <f aca="false">IF(E529="","",IFERROR(INDEX(카테고리!$C$2:$C$200,MATCH(E529,카테고리!$A$2:$A$200,0)),"N"))</f>
        <v>Y</v>
      </c>
      <c r="H529" s="34" t="s">
        <v>73</v>
      </c>
      <c r="I529" s="34" t="s">
        <v>82</v>
      </c>
      <c r="J529" s="34" t="s">
        <v>75</v>
      </c>
      <c r="K529" s="37"/>
      <c r="L529" s="36" t="n">
        <f aca="false">IF(A529="","",YEAR(A529)*100+MONTH(A529))</f>
        <v>202607</v>
      </c>
    </row>
    <row r="530" customFormat="false" ht="15" hidden="false" customHeight="false" outlineLevel="0" collapsed="false">
      <c r="A530" s="32" t="n">
        <v>46212</v>
      </c>
      <c r="B530" s="33" t="str">
        <f aca="false">IF(A530="","",TEXT(A530,"yyyy-mm"))</f>
        <v>2026-07</v>
      </c>
      <c r="C530" s="34" t="s">
        <v>128</v>
      </c>
      <c r="D530" s="35" t="n">
        <v>26880</v>
      </c>
      <c r="E530" s="34" t="s">
        <v>116</v>
      </c>
      <c r="F530" s="33" t="str">
        <f aca="false">IF(E530="","",IFERROR(INDEX(카테고리!$B$2:$B$200,MATCH(E530,카테고리!$A$2:$A$200,0)),"미분류"))</f>
        <v>변동비</v>
      </c>
      <c r="G530" s="33" t="str">
        <f aca="false">IF(E530="","",IFERROR(INDEX(카테고리!$C$2:$C$200,MATCH(E530,카테고리!$A$2:$A$200,0)),"N"))</f>
        <v>Y</v>
      </c>
      <c r="H530" s="34" t="s">
        <v>81</v>
      </c>
      <c r="I530" s="34" t="s">
        <v>82</v>
      </c>
      <c r="J530" s="34" t="s">
        <v>75</v>
      </c>
      <c r="K530" s="37"/>
      <c r="L530" s="36" t="n">
        <f aca="false">IF(A530="","",YEAR(A530)*100+MONTH(A530))</f>
        <v>202607</v>
      </c>
    </row>
    <row r="531" customFormat="false" ht="15" hidden="false" customHeight="false" outlineLevel="0" collapsed="false">
      <c r="A531" s="32" t="n">
        <v>46212</v>
      </c>
      <c r="B531" s="33" t="str">
        <f aca="false">IF(A531="","",TEXT(A531,"yyyy-mm"))</f>
        <v>2026-07</v>
      </c>
      <c r="C531" s="34" t="s">
        <v>103</v>
      </c>
      <c r="D531" s="35" t="n">
        <v>80930</v>
      </c>
      <c r="E531" s="34" t="s">
        <v>92</v>
      </c>
      <c r="F531" s="33" t="str">
        <f aca="false">IF(E531="","",IFERROR(INDEX(카테고리!$B$2:$B$200,MATCH(E531,카테고리!$A$2:$A$200,0)),"미분류"))</f>
        <v>변동비</v>
      </c>
      <c r="G531" s="33" t="str">
        <f aca="false">IF(E531="","",IFERROR(INDEX(카테고리!$C$2:$C$200,MATCH(E531,카테고리!$A$2:$A$200,0)),"N"))</f>
        <v>Y</v>
      </c>
      <c r="H531" s="34" t="s">
        <v>81</v>
      </c>
      <c r="I531" s="34" t="s">
        <v>82</v>
      </c>
      <c r="J531" s="34" t="s">
        <v>75</v>
      </c>
      <c r="K531" s="37"/>
      <c r="L531" s="36" t="n">
        <f aca="false">IF(A531="","",YEAR(A531)*100+MONTH(A531))</f>
        <v>202607</v>
      </c>
    </row>
    <row r="532" customFormat="false" ht="15" hidden="false" customHeight="false" outlineLevel="0" collapsed="false">
      <c r="A532" s="32" t="n">
        <v>46212</v>
      </c>
      <c r="B532" s="33" t="str">
        <f aca="false">IF(A532="","",TEXT(A532,"yyyy-mm"))</f>
        <v>2026-07</v>
      </c>
      <c r="C532" s="34" t="s">
        <v>103</v>
      </c>
      <c r="D532" s="35" t="n">
        <v>73640</v>
      </c>
      <c r="E532" s="34" t="s">
        <v>92</v>
      </c>
      <c r="F532" s="33" t="str">
        <f aca="false">IF(E532="","",IFERROR(INDEX(카테고리!$B$2:$B$200,MATCH(E532,카테고리!$A$2:$A$200,0)),"미분류"))</f>
        <v>변동비</v>
      </c>
      <c r="G532" s="33" t="str">
        <f aca="false">IF(E532="","",IFERROR(INDEX(카테고리!$C$2:$C$200,MATCH(E532,카테고리!$A$2:$A$200,0)),"N"))</f>
        <v>Y</v>
      </c>
      <c r="H532" s="34" t="s">
        <v>81</v>
      </c>
      <c r="I532" s="34" t="s">
        <v>82</v>
      </c>
      <c r="J532" s="34" t="s">
        <v>75</v>
      </c>
      <c r="K532" s="37"/>
      <c r="L532" s="36" t="n">
        <f aca="false">IF(A532="","",YEAR(A532)*100+MONTH(A532))</f>
        <v>202607</v>
      </c>
    </row>
    <row r="533" customFormat="false" ht="15" hidden="false" customHeight="false" outlineLevel="0" collapsed="false">
      <c r="A533" s="32" t="n">
        <v>46213</v>
      </c>
      <c r="B533" s="33" t="str">
        <f aca="false">IF(A533="","",TEXT(A533,"yyyy-mm"))</f>
        <v>2026-07</v>
      </c>
      <c r="C533" s="37" t="s">
        <v>111</v>
      </c>
      <c r="D533" s="35" t="n">
        <v>68000</v>
      </c>
      <c r="E533" s="34" t="s">
        <v>112</v>
      </c>
      <c r="F533" s="33" t="str">
        <f aca="false">IF(E533="","",IFERROR(INDEX(카테고리!$B$2:$B$200,MATCH(E533,카테고리!$A$2:$A$200,0)),"미분류"))</f>
        <v>고정비</v>
      </c>
      <c r="G533" s="33" t="str">
        <f aca="false">IF(E533="","",IFERROR(INDEX(카테고리!$C$2:$C$200,MATCH(E533,카테고리!$A$2:$A$200,0)),"N"))</f>
        <v>Y</v>
      </c>
      <c r="H533" s="34" t="s">
        <v>81</v>
      </c>
      <c r="I533" s="34" t="s">
        <v>98</v>
      </c>
      <c r="J533" s="34" t="s">
        <v>75</v>
      </c>
      <c r="K533" s="37"/>
      <c r="L533" s="36" t="n">
        <f aca="false">IF(A533="","",YEAR(A533)*100+MONTH(A533))</f>
        <v>202607</v>
      </c>
    </row>
    <row r="534" customFormat="false" ht="15" hidden="false" customHeight="false" outlineLevel="0" collapsed="false">
      <c r="A534" s="32" t="n">
        <v>46213</v>
      </c>
      <c r="B534" s="33" t="str">
        <f aca="false">IF(A534="","",TEXT(A534,"yyyy-mm"))</f>
        <v>2026-07</v>
      </c>
      <c r="C534" s="34" t="s">
        <v>91</v>
      </c>
      <c r="D534" s="35" t="n">
        <v>112560</v>
      </c>
      <c r="E534" s="34" t="s">
        <v>92</v>
      </c>
      <c r="F534" s="33" t="str">
        <f aca="false">IF(E534="","",IFERROR(INDEX(카테고리!$B$2:$B$200,MATCH(E534,카테고리!$A$2:$A$200,0)),"미분류"))</f>
        <v>변동비</v>
      </c>
      <c r="G534" s="33" t="str">
        <f aca="false">IF(E534="","",IFERROR(INDEX(카테고리!$C$2:$C$200,MATCH(E534,카테고리!$A$2:$A$200,0)),"N"))</f>
        <v>Y</v>
      </c>
      <c r="H534" s="34" t="s">
        <v>81</v>
      </c>
      <c r="I534" s="34" t="s">
        <v>82</v>
      </c>
      <c r="J534" s="34" t="s">
        <v>75</v>
      </c>
      <c r="K534" s="37"/>
      <c r="L534" s="36" t="n">
        <f aca="false">IF(A534="","",YEAR(A534)*100+MONTH(A534))</f>
        <v>202607</v>
      </c>
    </row>
    <row r="535" customFormat="false" ht="15" hidden="false" customHeight="false" outlineLevel="0" collapsed="false">
      <c r="A535" s="32" t="n">
        <v>46213</v>
      </c>
      <c r="B535" s="33" t="str">
        <f aca="false">IF(A535="","",TEXT(A535,"yyyy-mm"))</f>
        <v>2026-07</v>
      </c>
      <c r="C535" s="34" t="s">
        <v>113</v>
      </c>
      <c r="D535" s="35" t="n">
        <v>172000</v>
      </c>
      <c r="E535" s="34" t="s">
        <v>112</v>
      </c>
      <c r="F535" s="33" t="str">
        <f aca="false">IF(E535="","",IFERROR(INDEX(카테고리!$B$2:$B$200,MATCH(E535,카테고리!$A$2:$A$200,0)),"미분류"))</f>
        <v>고정비</v>
      </c>
      <c r="G535" s="33" t="str">
        <f aca="false">IF(E535="","",IFERROR(INDEX(카테고리!$C$2:$C$200,MATCH(E535,카테고리!$A$2:$A$200,0)),"N"))</f>
        <v>Y</v>
      </c>
      <c r="H535" s="34" t="s">
        <v>78</v>
      </c>
      <c r="I535" s="34" t="s">
        <v>98</v>
      </c>
      <c r="J535" s="34" t="s">
        <v>75</v>
      </c>
      <c r="K535" s="37"/>
      <c r="L535" s="36" t="n">
        <f aca="false">IF(A535="","",YEAR(A535)*100+MONTH(A535))</f>
        <v>202607</v>
      </c>
    </row>
    <row r="536" customFormat="false" ht="15" hidden="false" customHeight="false" outlineLevel="0" collapsed="false">
      <c r="A536" s="32" t="n">
        <v>46213</v>
      </c>
      <c r="B536" s="33" t="str">
        <f aca="false">IF(A536="","",TEXT(A536,"yyyy-mm"))</f>
        <v>2026-07</v>
      </c>
      <c r="C536" s="34" t="s">
        <v>161</v>
      </c>
      <c r="D536" s="35" t="n">
        <v>3000000</v>
      </c>
      <c r="E536" s="34" t="s">
        <v>157</v>
      </c>
      <c r="F536" s="33" t="str">
        <f aca="false">IF(E536="","",IFERROR(INDEX(카테고리!$B$2:$B$200,MATCH(E536,카테고리!$A$2:$A$200,0)),"미분류"))</f>
        <v>소득</v>
      </c>
      <c r="G536" s="33" t="str">
        <f aca="false">IF(E536="","",IFERROR(INDEX(카테고리!$C$2:$C$200,MATCH(E536,카테고리!$A$2:$A$200,0)),"N"))</f>
        <v>N</v>
      </c>
      <c r="H536" s="34" t="s">
        <v>78</v>
      </c>
      <c r="I536" s="34" t="s">
        <v>131</v>
      </c>
      <c r="J536" s="34" t="s">
        <v>75</v>
      </c>
      <c r="K536" s="37"/>
      <c r="L536" s="36" t="n">
        <f aca="false">IF(A536="","",YEAR(A536)*100+MONTH(A536))</f>
        <v>202607</v>
      </c>
    </row>
    <row r="537" customFormat="false" ht="15" hidden="false" customHeight="false" outlineLevel="0" collapsed="false">
      <c r="A537" s="32" t="n">
        <v>46213</v>
      </c>
      <c r="B537" s="33" t="str">
        <f aca="false">IF(A537="","",TEXT(A537,"yyyy-mm"))</f>
        <v>2026-07</v>
      </c>
      <c r="C537" s="34" t="s">
        <v>114</v>
      </c>
      <c r="D537" s="35" t="n">
        <v>148000</v>
      </c>
      <c r="E537" s="34" t="s">
        <v>112</v>
      </c>
      <c r="F537" s="33" t="str">
        <f aca="false">IF(E537="","",IFERROR(INDEX(카테고리!$B$2:$B$200,MATCH(E537,카테고리!$A$2:$A$200,0)),"미분류"))</f>
        <v>고정비</v>
      </c>
      <c r="G537" s="33" t="str">
        <f aca="false">IF(E537="","",IFERROR(INDEX(카테고리!$C$2:$C$200,MATCH(E537,카테고리!$A$2:$A$200,0)),"N"))</f>
        <v>Y</v>
      </c>
      <c r="H537" s="34" t="s">
        <v>73</v>
      </c>
      <c r="I537" s="34" t="s">
        <v>98</v>
      </c>
      <c r="J537" s="34" t="s">
        <v>75</v>
      </c>
      <c r="K537" s="37"/>
      <c r="L537" s="36" t="n">
        <f aca="false">IF(A537="","",YEAR(A537)*100+MONTH(A537))</f>
        <v>202607</v>
      </c>
    </row>
    <row r="538" customFormat="false" ht="15" hidden="false" customHeight="false" outlineLevel="0" collapsed="false">
      <c r="A538" s="32" t="n">
        <v>46214</v>
      </c>
      <c r="B538" s="33" t="str">
        <f aca="false">IF(A538="","",TEXT(A538,"yyyy-mm"))</f>
        <v>2026-07</v>
      </c>
      <c r="C538" s="37" t="s">
        <v>84</v>
      </c>
      <c r="D538" s="35" t="n">
        <v>83120</v>
      </c>
      <c r="E538" s="34" t="s">
        <v>85</v>
      </c>
      <c r="F538" s="33" t="str">
        <f aca="false">IF(E538="","",IFERROR(INDEX(카테고리!$B$2:$B$200,MATCH(E538,카테고리!$A$2:$A$200,0)),"미분류"))</f>
        <v>변동비</v>
      </c>
      <c r="G538" s="33" t="str">
        <f aca="false">IF(E538="","",IFERROR(INDEX(카테고리!$C$2:$C$200,MATCH(E538,카테고리!$A$2:$A$200,0)),"N"))</f>
        <v>Y</v>
      </c>
      <c r="H538" s="34" t="s">
        <v>81</v>
      </c>
      <c r="I538" s="34" t="s">
        <v>82</v>
      </c>
      <c r="J538" s="34" t="s">
        <v>75</v>
      </c>
      <c r="K538" s="37"/>
      <c r="L538" s="36" t="n">
        <f aca="false">IF(A538="","",YEAR(A538)*100+MONTH(A538))</f>
        <v>202607</v>
      </c>
    </row>
    <row r="539" customFormat="false" ht="15" hidden="false" customHeight="false" outlineLevel="0" collapsed="false">
      <c r="A539" s="32" t="n">
        <v>46214</v>
      </c>
      <c r="B539" s="33" t="str">
        <f aca="false">IF(A539="","",TEXT(A539,"yyyy-mm"))</f>
        <v>2026-07</v>
      </c>
      <c r="C539" s="34" t="s">
        <v>86</v>
      </c>
      <c r="D539" s="35" t="n">
        <v>81210</v>
      </c>
      <c r="E539" s="34" t="s">
        <v>87</v>
      </c>
      <c r="F539" s="33" t="str">
        <f aca="false">IF(E539="","",IFERROR(INDEX(카테고리!$B$2:$B$200,MATCH(E539,카테고리!$A$2:$A$200,0)),"미분류"))</f>
        <v>변동비</v>
      </c>
      <c r="G539" s="33" t="str">
        <f aca="false">IF(E539="","",IFERROR(INDEX(카테고리!$C$2:$C$200,MATCH(E539,카테고리!$A$2:$A$200,0)),"N"))</f>
        <v>Y</v>
      </c>
      <c r="H539" s="34" t="s">
        <v>81</v>
      </c>
      <c r="I539" s="34" t="s">
        <v>82</v>
      </c>
      <c r="J539" s="34" t="s">
        <v>75</v>
      </c>
      <c r="K539" s="37"/>
      <c r="L539" s="36" t="n">
        <f aca="false">IF(A539="","",YEAR(A539)*100+MONTH(A539))</f>
        <v>202607</v>
      </c>
    </row>
    <row r="540" customFormat="false" ht="15" hidden="false" customHeight="false" outlineLevel="0" collapsed="false">
      <c r="A540" s="32" t="n">
        <v>46214</v>
      </c>
      <c r="B540" s="33" t="str">
        <f aca="false">IF(A540="","",TEXT(A540,"yyyy-mm"))</f>
        <v>2026-07</v>
      </c>
      <c r="C540" s="34" t="s">
        <v>110</v>
      </c>
      <c r="D540" s="35" t="n">
        <v>13140</v>
      </c>
      <c r="E540" s="34" t="s">
        <v>85</v>
      </c>
      <c r="F540" s="33" t="str">
        <f aca="false">IF(E540="","",IFERROR(INDEX(카테고리!$B$2:$B$200,MATCH(E540,카테고리!$A$2:$A$200,0)),"미분류"))</f>
        <v>변동비</v>
      </c>
      <c r="G540" s="33" t="str">
        <f aca="false">IF(E540="","",IFERROR(INDEX(카테고리!$C$2:$C$200,MATCH(E540,카테고리!$A$2:$A$200,0)),"N"))</f>
        <v>Y</v>
      </c>
      <c r="H540" s="34" t="s">
        <v>78</v>
      </c>
      <c r="I540" s="34" t="s">
        <v>107</v>
      </c>
      <c r="J540" s="34" t="s">
        <v>75</v>
      </c>
      <c r="K540" s="37"/>
      <c r="L540" s="36" t="n">
        <f aca="false">IF(A540="","",YEAR(A540)*100+MONTH(A540))</f>
        <v>202607</v>
      </c>
    </row>
    <row r="541" customFormat="false" ht="15" hidden="false" customHeight="false" outlineLevel="0" collapsed="false">
      <c r="A541" s="32" t="n">
        <v>46214</v>
      </c>
      <c r="B541" s="33" t="str">
        <f aca="false">IF(A541="","",TEXT(A541,"yyyy-mm"))</f>
        <v>2026-07</v>
      </c>
      <c r="C541" s="34" t="s">
        <v>110</v>
      </c>
      <c r="D541" s="35" t="n">
        <v>10900</v>
      </c>
      <c r="E541" s="34" t="s">
        <v>85</v>
      </c>
      <c r="F541" s="33" t="str">
        <f aca="false">IF(E541="","",IFERROR(INDEX(카테고리!$B$2:$B$200,MATCH(E541,카테고리!$A$2:$A$200,0)),"미분류"))</f>
        <v>변동비</v>
      </c>
      <c r="G541" s="33" t="str">
        <f aca="false">IF(E541="","",IFERROR(INDEX(카테고리!$C$2:$C$200,MATCH(E541,카테고리!$A$2:$A$200,0)),"N"))</f>
        <v>Y</v>
      </c>
      <c r="H541" s="34" t="s">
        <v>78</v>
      </c>
      <c r="I541" s="34" t="s">
        <v>107</v>
      </c>
      <c r="J541" s="34" t="s">
        <v>75</v>
      </c>
      <c r="K541" s="37"/>
      <c r="L541" s="36" t="n">
        <f aca="false">IF(A541="","",YEAR(A541)*100+MONTH(A541))</f>
        <v>202607</v>
      </c>
    </row>
    <row r="542" customFormat="false" ht="15" hidden="false" customHeight="false" outlineLevel="0" collapsed="false">
      <c r="A542" s="32" t="n">
        <v>46217</v>
      </c>
      <c r="B542" s="33" t="str">
        <f aca="false">IF(A542="","",TEXT(A542,"yyyy-mm"))</f>
        <v>2026-07</v>
      </c>
      <c r="C542" s="34" t="s">
        <v>154</v>
      </c>
      <c r="D542" s="35" t="n">
        <v>64590</v>
      </c>
      <c r="E542" s="34" t="s">
        <v>126</v>
      </c>
      <c r="F542" s="33" t="str">
        <f aca="false">IF(E542="","",IFERROR(INDEX(카테고리!$B$2:$B$200,MATCH(E542,카테고리!$A$2:$A$200,0)),"미분류"))</f>
        <v>변동비</v>
      </c>
      <c r="G542" s="33" t="str">
        <f aca="false">IF(E542="","",IFERROR(INDEX(카테고리!$C$2:$C$200,MATCH(E542,카테고리!$A$2:$A$200,0)),"N"))</f>
        <v>N</v>
      </c>
      <c r="H542" s="34" t="s">
        <v>73</v>
      </c>
      <c r="I542" s="34" t="s">
        <v>90</v>
      </c>
      <c r="J542" s="34" t="s">
        <v>75</v>
      </c>
      <c r="K542" s="37"/>
      <c r="L542" s="36" t="n">
        <f aca="false">IF(A542="","",YEAR(A542)*100+MONTH(A542))</f>
        <v>202607</v>
      </c>
    </row>
    <row r="543" customFormat="false" ht="15" hidden="false" customHeight="false" outlineLevel="0" collapsed="false">
      <c r="A543" s="32" t="n">
        <v>46218</v>
      </c>
      <c r="B543" s="33" t="str">
        <f aca="false">IF(A543="","",TEXT(A543,"yyyy-mm"))</f>
        <v>2026-07</v>
      </c>
      <c r="C543" s="34" t="s">
        <v>110</v>
      </c>
      <c r="D543" s="35" t="n">
        <v>10440</v>
      </c>
      <c r="E543" s="34" t="s">
        <v>85</v>
      </c>
      <c r="F543" s="33" t="str">
        <f aca="false">IF(E543="","",IFERROR(INDEX(카테고리!$B$2:$B$200,MATCH(E543,카테고리!$A$2:$A$200,0)),"미분류"))</f>
        <v>변동비</v>
      </c>
      <c r="G543" s="33" t="str">
        <f aca="false">IF(E543="","",IFERROR(INDEX(카테고리!$C$2:$C$200,MATCH(E543,카테고리!$A$2:$A$200,0)),"N"))</f>
        <v>Y</v>
      </c>
      <c r="H543" s="34" t="s">
        <v>78</v>
      </c>
      <c r="I543" s="34" t="s">
        <v>107</v>
      </c>
      <c r="J543" s="34" t="s">
        <v>75</v>
      </c>
      <c r="K543" s="37"/>
      <c r="L543" s="36" t="n">
        <f aca="false">IF(A543="","",YEAR(A543)*100+MONTH(A543))</f>
        <v>202607</v>
      </c>
    </row>
    <row r="544" customFormat="false" ht="15" hidden="false" customHeight="false" outlineLevel="0" collapsed="false">
      <c r="A544" s="32" t="n">
        <v>46218</v>
      </c>
      <c r="B544" s="33" t="str">
        <f aca="false">IF(A544="","",TEXT(A544,"yyyy-mm"))</f>
        <v>2026-07</v>
      </c>
      <c r="C544" s="34" t="s">
        <v>128</v>
      </c>
      <c r="D544" s="35" t="n">
        <v>21340</v>
      </c>
      <c r="E544" s="34" t="s">
        <v>116</v>
      </c>
      <c r="F544" s="33" t="str">
        <f aca="false">IF(E544="","",IFERROR(INDEX(카테고리!$B$2:$B$200,MATCH(E544,카테고리!$A$2:$A$200,0)),"미분류"))</f>
        <v>변동비</v>
      </c>
      <c r="G544" s="33" t="str">
        <f aca="false">IF(E544="","",IFERROR(INDEX(카테고리!$C$2:$C$200,MATCH(E544,카테고리!$A$2:$A$200,0)),"N"))</f>
        <v>Y</v>
      </c>
      <c r="H544" s="34" t="s">
        <v>81</v>
      </c>
      <c r="I544" s="34" t="s">
        <v>82</v>
      </c>
      <c r="J544" s="34" t="s">
        <v>75</v>
      </c>
      <c r="K544" s="37"/>
      <c r="L544" s="36" t="n">
        <f aca="false">IF(A544="","",YEAR(A544)*100+MONTH(A544))</f>
        <v>202607</v>
      </c>
    </row>
    <row r="545" customFormat="false" ht="15" hidden="false" customHeight="false" outlineLevel="0" collapsed="false">
      <c r="A545" s="32" t="n">
        <v>46221</v>
      </c>
      <c r="B545" s="33" t="str">
        <f aca="false">IF(A545="","",TEXT(A545,"yyyy-mm"))</f>
        <v>2026-07</v>
      </c>
      <c r="C545" s="34" t="s">
        <v>93</v>
      </c>
      <c r="D545" s="35" t="n">
        <v>84470</v>
      </c>
      <c r="E545" s="34" t="s">
        <v>92</v>
      </c>
      <c r="F545" s="33" t="str">
        <f aca="false">IF(E545="","",IFERROR(INDEX(카테고리!$B$2:$B$200,MATCH(E545,카테고리!$A$2:$A$200,0)),"미분류"))</f>
        <v>변동비</v>
      </c>
      <c r="G545" s="33" t="str">
        <f aca="false">IF(E545="","",IFERROR(INDEX(카테고리!$C$2:$C$200,MATCH(E545,카테고리!$A$2:$A$200,0)),"N"))</f>
        <v>Y</v>
      </c>
      <c r="H545" s="34" t="s">
        <v>73</v>
      </c>
      <c r="I545" s="34" t="s">
        <v>82</v>
      </c>
      <c r="J545" s="34" t="s">
        <v>75</v>
      </c>
      <c r="K545" s="37"/>
      <c r="L545" s="36" t="n">
        <f aca="false">IF(A545="","",YEAR(A545)*100+MONTH(A545))</f>
        <v>202607</v>
      </c>
    </row>
    <row r="546" customFormat="false" ht="15" hidden="false" customHeight="false" outlineLevel="0" collapsed="false">
      <c r="A546" s="32" t="n">
        <v>46223</v>
      </c>
      <c r="B546" s="33" t="str">
        <f aca="false">IF(A546="","",TEXT(A546,"yyyy-mm"))</f>
        <v>2026-07</v>
      </c>
      <c r="C546" s="34" t="s">
        <v>117</v>
      </c>
      <c r="D546" s="35" t="n">
        <v>269880</v>
      </c>
      <c r="E546" s="34" t="s">
        <v>118</v>
      </c>
      <c r="F546" s="33" t="str">
        <f aca="false">IF(E546="","",IFERROR(INDEX(카테고리!$B$2:$B$200,MATCH(E546,카테고리!$A$2:$A$200,0)),"미분류"))</f>
        <v>고정비</v>
      </c>
      <c r="G546" s="33" t="str">
        <f aca="false">IF(E546="","",IFERROR(INDEX(카테고리!$C$2:$C$200,MATCH(E546,카테고리!$A$2:$A$200,0)),"N"))</f>
        <v>Y</v>
      </c>
      <c r="H546" s="34" t="s">
        <v>81</v>
      </c>
      <c r="I546" s="34" t="s">
        <v>98</v>
      </c>
      <c r="J546" s="34" t="s">
        <v>75</v>
      </c>
      <c r="K546" s="37"/>
      <c r="L546" s="36" t="n">
        <f aca="false">IF(A546="","",YEAR(A546)*100+MONTH(A546))</f>
        <v>202607</v>
      </c>
    </row>
    <row r="547" customFormat="false" ht="15" hidden="false" customHeight="false" outlineLevel="0" collapsed="false">
      <c r="A547" s="32" t="n">
        <v>46223</v>
      </c>
      <c r="B547" s="33" t="str">
        <f aca="false">IF(A547="","",TEXT(A547,"yyyy-mm"))</f>
        <v>2026-07</v>
      </c>
      <c r="C547" s="34" t="s">
        <v>95</v>
      </c>
      <c r="D547" s="35" t="n">
        <v>50820</v>
      </c>
      <c r="E547" s="34" t="s">
        <v>89</v>
      </c>
      <c r="F547" s="33" t="str">
        <f aca="false">IF(E547="","",IFERROR(INDEX(카테고리!$B$2:$B$200,MATCH(E547,카테고리!$A$2:$A$200,0)),"미분류"))</f>
        <v>변동비</v>
      </c>
      <c r="G547" s="33" t="str">
        <f aca="false">IF(E547="","",IFERROR(INDEX(카테고리!$C$2:$C$200,MATCH(E547,카테고리!$A$2:$A$200,0)),"N"))</f>
        <v>N</v>
      </c>
      <c r="H547" s="34" t="s">
        <v>81</v>
      </c>
      <c r="I547" s="34" t="s">
        <v>82</v>
      </c>
      <c r="J547" s="34" t="s">
        <v>75</v>
      </c>
      <c r="K547" s="37"/>
      <c r="L547" s="36" t="n">
        <f aca="false">IF(A547="","",YEAR(A547)*100+MONTH(A547))</f>
        <v>202607</v>
      </c>
    </row>
    <row r="548" customFormat="false" ht="15" hidden="false" customHeight="false" outlineLevel="0" collapsed="false">
      <c r="A548" s="32" t="n">
        <v>46224</v>
      </c>
      <c r="B548" s="33" t="str">
        <f aca="false">IF(A548="","",TEXT(A548,"yyyy-mm"))</f>
        <v>2026-07</v>
      </c>
      <c r="C548" s="37" t="s">
        <v>119</v>
      </c>
      <c r="D548" s="35" t="n">
        <v>54000</v>
      </c>
      <c r="E548" s="34" t="s">
        <v>120</v>
      </c>
      <c r="F548" s="33" t="str">
        <f aca="false">IF(E548="","",IFERROR(INDEX(카테고리!$B$2:$B$200,MATCH(E548,카테고리!$A$2:$A$200,0)),"미분류"))</f>
        <v>고정비</v>
      </c>
      <c r="G548" s="33" t="str">
        <f aca="false">IF(E548="","",IFERROR(INDEX(카테고리!$C$2:$C$200,MATCH(E548,카테고리!$A$2:$A$200,0)),"N"))</f>
        <v>Y</v>
      </c>
      <c r="H548" s="34" t="s">
        <v>73</v>
      </c>
      <c r="I548" s="34" t="s">
        <v>90</v>
      </c>
      <c r="J548" s="34" t="s">
        <v>75</v>
      </c>
      <c r="K548" s="37"/>
      <c r="L548" s="36" t="n">
        <f aca="false">IF(A548="","",YEAR(A548)*100+MONTH(A548))</f>
        <v>202607</v>
      </c>
    </row>
    <row r="549" customFormat="false" ht="15" hidden="false" customHeight="false" outlineLevel="0" collapsed="false">
      <c r="A549" s="32" t="n">
        <v>46224</v>
      </c>
      <c r="B549" s="33" t="str">
        <f aca="false">IF(A549="","",TEXT(A549,"yyyy-mm"))</f>
        <v>2026-07</v>
      </c>
      <c r="C549" s="37" t="s">
        <v>121</v>
      </c>
      <c r="D549" s="35" t="n">
        <v>68000</v>
      </c>
      <c r="E549" s="34" t="s">
        <v>120</v>
      </c>
      <c r="F549" s="33" t="str">
        <f aca="false">IF(E549="","",IFERROR(INDEX(카테고리!$B$2:$B$200,MATCH(E549,카테고리!$A$2:$A$200,0)),"미분류"))</f>
        <v>고정비</v>
      </c>
      <c r="G549" s="33" t="str">
        <f aca="false">IF(E549="","",IFERROR(INDEX(카테고리!$C$2:$C$200,MATCH(E549,카테고리!$A$2:$A$200,0)),"N"))</f>
        <v>Y</v>
      </c>
      <c r="H549" s="34" t="s">
        <v>78</v>
      </c>
      <c r="I549" s="34" t="s">
        <v>107</v>
      </c>
      <c r="J549" s="34" t="s">
        <v>75</v>
      </c>
      <c r="K549" s="37"/>
      <c r="L549" s="36" t="n">
        <f aca="false">IF(A549="","",YEAR(A549)*100+MONTH(A549))</f>
        <v>202607</v>
      </c>
    </row>
    <row r="550" customFormat="false" ht="15" hidden="false" customHeight="false" outlineLevel="0" collapsed="false">
      <c r="A550" s="32" t="n">
        <v>46224</v>
      </c>
      <c r="B550" s="33" t="str">
        <f aca="false">IF(A550="","",TEXT(A550,"yyyy-mm"))</f>
        <v>2026-07</v>
      </c>
      <c r="C550" s="34" t="s">
        <v>122</v>
      </c>
      <c r="D550" s="35" t="n">
        <v>33000</v>
      </c>
      <c r="E550" s="34" t="s">
        <v>120</v>
      </c>
      <c r="F550" s="33" t="str">
        <f aca="false">IF(E550="","",IFERROR(INDEX(카테고리!$B$2:$B$200,MATCH(E550,카테고리!$A$2:$A$200,0)),"미분류"))</f>
        <v>고정비</v>
      </c>
      <c r="G550" s="33" t="str">
        <f aca="false">IF(E550="","",IFERROR(INDEX(카테고리!$C$2:$C$200,MATCH(E550,카테고리!$A$2:$A$200,0)),"N"))</f>
        <v>Y</v>
      </c>
      <c r="H550" s="34" t="s">
        <v>81</v>
      </c>
      <c r="I550" s="34" t="s">
        <v>98</v>
      </c>
      <c r="J550" s="34" t="s">
        <v>75</v>
      </c>
      <c r="K550" s="37"/>
      <c r="L550" s="36" t="n">
        <f aca="false">IF(A550="","",YEAR(A550)*100+MONTH(A550))</f>
        <v>202607</v>
      </c>
    </row>
    <row r="551" customFormat="false" ht="15" hidden="false" customHeight="false" outlineLevel="0" collapsed="false">
      <c r="A551" s="32" t="n">
        <v>46225</v>
      </c>
      <c r="B551" s="33" t="str">
        <f aca="false">IF(A551="","",TEXT(A551,"yyyy-mm"))</f>
        <v>2026-07</v>
      </c>
      <c r="C551" s="34" t="s">
        <v>158</v>
      </c>
      <c r="D551" s="35" t="n">
        <v>20720</v>
      </c>
      <c r="E551" s="34" t="s">
        <v>89</v>
      </c>
      <c r="F551" s="33" t="str">
        <f aca="false">IF(E551="","",IFERROR(INDEX(카테고리!$B$2:$B$200,MATCH(E551,카테고리!$A$2:$A$200,0)),"미분류"))</f>
        <v>변동비</v>
      </c>
      <c r="G551" s="33" t="str">
        <f aca="false">IF(E551="","",IFERROR(INDEX(카테고리!$C$2:$C$200,MATCH(E551,카테고리!$A$2:$A$200,0)),"N"))</f>
        <v>N</v>
      </c>
      <c r="H551" s="34" t="s">
        <v>73</v>
      </c>
      <c r="I551" s="34" t="s">
        <v>107</v>
      </c>
      <c r="J551" s="34" t="s">
        <v>75</v>
      </c>
      <c r="K551" s="37"/>
      <c r="L551" s="36" t="n">
        <f aca="false">IF(A551="","",YEAR(A551)*100+MONTH(A551))</f>
        <v>202607</v>
      </c>
    </row>
    <row r="552" customFormat="false" ht="15" hidden="false" customHeight="false" outlineLevel="0" collapsed="false">
      <c r="A552" s="32" t="n">
        <v>46226</v>
      </c>
      <c r="B552" s="33" t="str">
        <f aca="false">IF(A552="","",TEXT(A552,"yyyy-mm"))</f>
        <v>2026-07</v>
      </c>
      <c r="C552" s="37" t="s">
        <v>149</v>
      </c>
      <c r="D552" s="35" t="n">
        <v>65730</v>
      </c>
      <c r="E552" s="34" t="s">
        <v>124</v>
      </c>
      <c r="F552" s="33" t="str">
        <f aca="false">IF(E552="","",IFERROR(INDEX(카테고리!$B$2:$B$200,MATCH(E552,카테고리!$A$2:$A$200,0)),"미분류"))</f>
        <v>변동비</v>
      </c>
      <c r="G552" s="33" t="str">
        <f aca="false">IF(E552="","",IFERROR(INDEX(카테고리!$C$2:$C$200,MATCH(E552,카테고리!$A$2:$A$200,0)),"N"))</f>
        <v>N</v>
      </c>
      <c r="H552" s="34" t="s">
        <v>81</v>
      </c>
      <c r="I552" s="34" t="s">
        <v>107</v>
      </c>
      <c r="J552" s="34" t="s">
        <v>75</v>
      </c>
      <c r="K552" s="37"/>
      <c r="L552" s="36" t="n">
        <f aca="false">IF(A552="","",YEAR(A552)*100+MONTH(A552))</f>
        <v>202607</v>
      </c>
    </row>
    <row r="553" customFormat="false" ht="15" hidden="false" customHeight="false" outlineLevel="0" collapsed="false">
      <c r="A553" s="32" t="n">
        <v>46226</v>
      </c>
      <c r="B553" s="33" t="str">
        <f aca="false">IF(A553="","",TEXT(A553,"yyyy-mm"))</f>
        <v>2026-07</v>
      </c>
      <c r="C553" s="34" t="s">
        <v>123</v>
      </c>
      <c r="D553" s="35" t="n">
        <v>40920</v>
      </c>
      <c r="E553" s="34" t="s">
        <v>124</v>
      </c>
      <c r="F553" s="33" t="str">
        <f aca="false">IF(E553="","",IFERROR(INDEX(카테고리!$B$2:$B$200,MATCH(E553,카테고리!$A$2:$A$200,0)),"미분류"))</f>
        <v>변동비</v>
      </c>
      <c r="G553" s="33" t="str">
        <f aca="false">IF(E553="","",IFERROR(INDEX(카테고리!$C$2:$C$200,MATCH(E553,카테고리!$A$2:$A$200,0)),"N"))</f>
        <v>N</v>
      </c>
      <c r="H553" s="34" t="s">
        <v>78</v>
      </c>
      <c r="I553" s="34" t="s">
        <v>107</v>
      </c>
      <c r="J553" s="34" t="s">
        <v>75</v>
      </c>
      <c r="K553" s="37"/>
      <c r="L553" s="36" t="n">
        <f aca="false">IF(A553="","",YEAR(A553)*100+MONTH(A553))</f>
        <v>202607</v>
      </c>
    </row>
    <row r="554" customFormat="false" ht="15" hidden="false" customHeight="false" outlineLevel="0" collapsed="false">
      <c r="A554" s="32" t="n">
        <v>46226</v>
      </c>
      <c r="B554" s="33" t="str">
        <f aca="false">IF(A554="","",TEXT(A554,"yyyy-mm"))</f>
        <v>2026-07</v>
      </c>
      <c r="C554" s="34" t="s">
        <v>146</v>
      </c>
      <c r="D554" s="35" t="n">
        <v>94860</v>
      </c>
      <c r="E554" s="34" t="s">
        <v>92</v>
      </c>
      <c r="F554" s="33" t="str">
        <f aca="false">IF(E554="","",IFERROR(INDEX(카테고리!$B$2:$B$200,MATCH(E554,카테고리!$A$2:$A$200,0)),"미분류"))</f>
        <v>변동비</v>
      </c>
      <c r="G554" s="33" t="str">
        <f aca="false">IF(E554="","",IFERROR(INDEX(카테고리!$C$2:$C$200,MATCH(E554,카테고리!$A$2:$A$200,0)),"N"))</f>
        <v>Y</v>
      </c>
      <c r="H554" s="34" t="s">
        <v>73</v>
      </c>
      <c r="I554" s="34" t="s">
        <v>82</v>
      </c>
      <c r="J554" s="34" t="s">
        <v>75</v>
      </c>
      <c r="K554" s="37"/>
      <c r="L554" s="36" t="n">
        <f aca="false">IF(A554="","",YEAR(A554)*100+MONTH(A554))</f>
        <v>202607</v>
      </c>
    </row>
    <row r="555" customFormat="false" ht="15" hidden="false" customHeight="false" outlineLevel="0" collapsed="false">
      <c r="A555" s="32" t="n">
        <v>46226</v>
      </c>
      <c r="B555" s="33" t="str">
        <f aca="false">IF(A555="","",TEXT(A555,"yyyy-mm"))</f>
        <v>2026-07</v>
      </c>
      <c r="C555" s="34" t="s">
        <v>109</v>
      </c>
      <c r="D555" s="35" t="n">
        <v>43890</v>
      </c>
      <c r="E555" s="34" t="s">
        <v>87</v>
      </c>
      <c r="F555" s="33" t="str">
        <f aca="false">IF(E555="","",IFERROR(INDEX(카테고리!$B$2:$B$200,MATCH(E555,카테고리!$A$2:$A$200,0)),"미분류"))</f>
        <v>변동비</v>
      </c>
      <c r="G555" s="33" t="str">
        <f aca="false">IF(E555="","",IFERROR(INDEX(카테고리!$C$2:$C$200,MATCH(E555,카테고리!$A$2:$A$200,0)),"N"))</f>
        <v>Y</v>
      </c>
      <c r="H555" s="34" t="s">
        <v>81</v>
      </c>
      <c r="I555" s="34" t="s">
        <v>82</v>
      </c>
      <c r="J555" s="34" t="s">
        <v>75</v>
      </c>
      <c r="K555" s="37"/>
      <c r="L555" s="36" t="n">
        <f aca="false">IF(A555="","",YEAR(A555)*100+MONTH(A555))</f>
        <v>202607</v>
      </c>
    </row>
    <row r="556" customFormat="false" ht="15" hidden="false" customHeight="false" outlineLevel="0" collapsed="false">
      <c r="A556" s="32" t="n">
        <v>46228</v>
      </c>
      <c r="B556" s="33" t="str">
        <f aca="false">IF(A556="","",TEXT(A556,"yyyy-mm"))</f>
        <v>2026-07</v>
      </c>
      <c r="C556" s="34" t="s">
        <v>129</v>
      </c>
      <c r="D556" s="35" t="n">
        <v>3620000</v>
      </c>
      <c r="E556" s="34" t="s">
        <v>130</v>
      </c>
      <c r="F556" s="33" t="str">
        <f aca="false">IF(E556="","",IFERROR(INDEX(카테고리!$B$2:$B$200,MATCH(E556,카테고리!$A$2:$A$200,0)),"미분류"))</f>
        <v>소득</v>
      </c>
      <c r="G556" s="33" t="str">
        <f aca="false">IF(E556="","",IFERROR(INDEX(카테고리!$C$2:$C$200,MATCH(E556,카테고리!$A$2:$A$200,0)),"N"))</f>
        <v>N</v>
      </c>
      <c r="H556" s="34" t="s">
        <v>73</v>
      </c>
      <c r="I556" s="34" t="s">
        <v>131</v>
      </c>
      <c r="J556" s="34" t="s">
        <v>75</v>
      </c>
      <c r="K556" s="37"/>
      <c r="L556" s="36" t="n">
        <f aca="false">IF(A556="","",YEAR(A556)*100+MONTH(A556))</f>
        <v>202607</v>
      </c>
    </row>
    <row r="557" customFormat="false" ht="15" hidden="false" customHeight="false" outlineLevel="0" collapsed="false">
      <c r="A557" s="32" t="n">
        <v>46228</v>
      </c>
      <c r="B557" s="33" t="str">
        <f aca="false">IF(A557="","",TEXT(A557,"yyyy-mm"))</f>
        <v>2026-07</v>
      </c>
      <c r="C557" s="34" t="s">
        <v>132</v>
      </c>
      <c r="D557" s="35" t="n">
        <v>4850000</v>
      </c>
      <c r="E557" s="34" t="s">
        <v>130</v>
      </c>
      <c r="F557" s="33" t="str">
        <f aca="false">IF(E557="","",IFERROR(INDEX(카테고리!$B$2:$B$200,MATCH(E557,카테고리!$A$2:$A$200,0)),"미분류"))</f>
        <v>소득</v>
      </c>
      <c r="G557" s="33" t="str">
        <f aca="false">IF(E557="","",IFERROR(INDEX(카테고리!$C$2:$C$200,MATCH(E557,카테고리!$A$2:$A$200,0)),"N"))</f>
        <v>N</v>
      </c>
      <c r="H557" s="34" t="s">
        <v>78</v>
      </c>
      <c r="I557" s="34" t="s">
        <v>131</v>
      </c>
      <c r="J557" s="34" t="s">
        <v>75</v>
      </c>
      <c r="K557" s="37"/>
      <c r="L557" s="36" t="n">
        <f aca="false">IF(A557="","",YEAR(A557)*100+MONTH(A557))</f>
        <v>202607</v>
      </c>
    </row>
    <row r="558" customFormat="false" ht="15" hidden="false" customHeight="false" outlineLevel="0" collapsed="false">
      <c r="A558" s="32" t="n">
        <v>46229</v>
      </c>
      <c r="B558" s="33" t="str">
        <f aca="false">IF(A558="","",TEXT(A558,"yyyy-mm"))</f>
        <v>2026-07</v>
      </c>
      <c r="C558" s="37" t="s">
        <v>133</v>
      </c>
      <c r="D558" s="35" t="n">
        <v>200000</v>
      </c>
      <c r="E558" s="34" t="s">
        <v>134</v>
      </c>
      <c r="F558" s="33" t="str">
        <f aca="false">IF(E558="","",IFERROR(INDEX(카테고리!$B$2:$B$200,MATCH(E558,카테고리!$A$2:$A$200,0)),"미분류"))</f>
        <v>자본이동</v>
      </c>
      <c r="G558" s="33" t="str">
        <f aca="false">IF(E558="","",IFERROR(INDEX(카테고리!$C$2:$C$200,MATCH(E558,카테고리!$A$2:$A$200,0)),"N"))</f>
        <v>N</v>
      </c>
      <c r="H558" s="34" t="s">
        <v>73</v>
      </c>
      <c r="I558" s="34" t="s">
        <v>98</v>
      </c>
      <c r="J558" s="34" t="s">
        <v>75</v>
      </c>
      <c r="K558" s="37"/>
      <c r="L558" s="36" t="n">
        <f aca="false">IF(A558="","",YEAR(A558)*100+MONTH(A558))</f>
        <v>202607</v>
      </c>
    </row>
    <row r="559" customFormat="false" ht="15" hidden="false" customHeight="false" outlineLevel="0" collapsed="false">
      <c r="A559" s="32" t="n">
        <v>46229</v>
      </c>
      <c r="B559" s="33" t="str">
        <f aca="false">IF(A559="","",TEXT(A559,"yyyy-mm"))</f>
        <v>2026-07</v>
      </c>
      <c r="C559" s="34" t="s">
        <v>135</v>
      </c>
      <c r="D559" s="35" t="n">
        <v>650000</v>
      </c>
      <c r="E559" s="34" t="s">
        <v>136</v>
      </c>
      <c r="F559" s="33" t="str">
        <f aca="false">IF(E559="","",IFERROR(INDEX(카테고리!$B$2:$B$200,MATCH(E559,카테고리!$A$2:$A$200,0)),"미분류"))</f>
        <v>자본이동</v>
      </c>
      <c r="G559" s="33" t="str">
        <f aca="false">IF(E559="","",IFERROR(INDEX(카테고리!$C$2:$C$200,MATCH(E559,카테고리!$A$2:$A$200,0)),"N"))</f>
        <v>N</v>
      </c>
      <c r="H559" s="34" t="s">
        <v>73</v>
      </c>
      <c r="I559" s="34" t="s">
        <v>74</v>
      </c>
      <c r="J559" s="34" t="s">
        <v>75</v>
      </c>
      <c r="K559" s="37"/>
      <c r="L559" s="36" t="n">
        <f aca="false">IF(A559="","",YEAR(A559)*100+MONTH(A559))</f>
        <v>202607</v>
      </c>
    </row>
    <row r="560" customFormat="false" ht="15" hidden="false" customHeight="false" outlineLevel="0" collapsed="false">
      <c r="A560" s="32" t="n">
        <v>46229</v>
      </c>
      <c r="B560" s="33" t="str">
        <f aca="false">IF(A560="","",TEXT(A560,"yyyy-mm"))</f>
        <v>2026-07</v>
      </c>
      <c r="C560" s="34" t="s">
        <v>137</v>
      </c>
      <c r="D560" s="35" t="n">
        <v>300000</v>
      </c>
      <c r="E560" s="34" t="s">
        <v>134</v>
      </c>
      <c r="F560" s="33" t="str">
        <f aca="false">IF(E560="","",IFERROR(INDEX(카테고리!$B$2:$B$200,MATCH(E560,카테고리!$A$2:$A$200,0)),"미분류"))</f>
        <v>자본이동</v>
      </c>
      <c r="G560" s="33" t="str">
        <f aca="false">IF(E560="","",IFERROR(INDEX(카테고리!$C$2:$C$200,MATCH(E560,카테고리!$A$2:$A$200,0)),"N"))</f>
        <v>N</v>
      </c>
      <c r="H560" s="34" t="s">
        <v>78</v>
      </c>
      <c r="I560" s="34" t="s">
        <v>98</v>
      </c>
      <c r="J560" s="34" t="s">
        <v>75</v>
      </c>
      <c r="K560" s="37"/>
      <c r="L560" s="36" t="n">
        <f aca="false">IF(A560="","",YEAR(A560)*100+MONTH(A560))</f>
        <v>202607</v>
      </c>
    </row>
    <row r="561" customFormat="false" ht="15" hidden="false" customHeight="false" outlineLevel="0" collapsed="false">
      <c r="A561" s="32" t="n">
        <v>46229</v>
      </c>
      <c r="B561" s="33" t="str">
        <f aca="false">IF(A561="","",TEXT(A561,"yyyy-mm"))</f>
        <v>2026-07</v>
      </c>
      <c r="C561" s="34" t="s">
        <v>138</v>
      </c>
      <c r="D561" s="35" t="n">
        <v>300000</v>
      </c>
      <c r="E561" s="34" t="s">
        <v>139</v>
      </c>
      <c r="F561" s="33" t="str">
        <f aca="false">IF(E561="","",IFERROR(INDEX(카테고리!$B$2:$B$200,MATCH(E561,카테고리!$A$2:$A$200,0)),"미분류"))</f>
        <v>자본이동</v>
      </c>
      <c r="G561" s="33" t="str">
        <f aca="false">IF(E561="","",IFERROR(INDEX(카테고리!$C$2:$C$200,MATCH(E561,카테고리!$A$2:$A$200,0)),"N"))</f>
        <v>N</v>
      </c>
      <c r="H561" s="34" t="s">
        <v>81</v>
      </c>
      <c r="I561" s="34" t="s">
        <v>98</v>
      </c>
      <c r="J561" s="34" t="s">
        <v>75</v>
      </c>
      <c r="K561" s="37"/>
      <c r="L561" s="36" t="n">
        <f aca="false">IF(A561="","",YEAR(A561)*100+MONTH(A561))</f>
        <v>202607</v>
      </c>
    </row>
    <row r="562" customFormat="false" ht="15" hidden="false" customHeight="false" outlineLevel="0" collapsed="false">
      <c r="A562" s="32" t="n">
        <v>46229</v>
      </c>
      <c r="B562" s="33" t="str">
        <f aca="false">IF(A562="","",TEXT(A562,"yyyy-mm"))</f>
        <v>2026-07</v>
      </c>
      <c r="C562" s="34" t="s">
        <v>140</v>
      </c>
      <c r="D562" s="35" t="n">
        <v>100000</v>
      </c>
      <c r="E562" s="34" t="s">
        <v>139</v>
      </c>
      <c r="F562" s="33" t="str">
        <f aca="false">IF(E562="","",IFERROR(INDEX(카테고리!$B$2:$B$200,MATCH(E562,카테고리!$A$2:$A$200,0)),"미분류"))</f>
        <v>자본이동</v>
      </c>
      <c r="G562" s="33" t="str">
        <f aca="false">IF(E562="","",IFERROR(INDEX(카테고리!$C$2:$C$200,MATCH(E562,카테고리!$A$2:$A$200,0)),"N"))</f>
        <v>N</v>
      </c>
      <c r="H562" s="34" t="s">
        <v>78</v>
      </c>
      <c r="I562" s="34" t="s">
        <v>98</v>
      </c>
      <c r="J562" s="34" t="s">
        <v>75</v>
      </c>
      <c r="K562" s="37"/>
      <c r="L562" s="36" t="n">
        <f aca="false">IF(A562="","",YEAR(A562)*100+MONTH(A562))</f>
        <v>202607</v>
      </c>
    </row>
    <row r="563" customFormat="false" ht="15" hidden="false" customHeight="false" outlineLevel="0" collapsed="false">
      <c r="A563" s="32" t="n">
        <v>46229</v>
      </c>
      <c r="B563" s="33" t="str">
        <f aca="false">IF(A563="","",TEXT(A563,"yyyy-mm"))</f>
        <v>2026-07</v>
      </c>
      <c r="C563" s="34" t="s">
        <v>141</v>
      </c>
      <c r="D563" s="35" t="n">
        <v>850000</v>
      </c>
      <c r="E563" s="34" t="s">
        <v>136</v>
      </c>
      <c r="F563" s="33" t="str">
        <f aca="false">IF(E563="","",IFERROR(INDEX(카테고리!$B$2:$B$200,MATCH(E563,카테고리!$A$2:$A$200,0)),"미분류"))</f>
        <v>자본이동</v>
      </c>
      <c r="G563" s="33" t="str">
        <f aca="false">IF(E563="","",IFERROR(INDEX(카테고리!$C$2:$C$200,MATCH(E563,카테고리!$A$2:$A$200,0)),"N"))</f>
        <v>N</v>
      </c>
      <c r="H563" s="34" t="s">
        <v>78</v>
      </c>
      <c r="I563" s="34" t="s">
        <v>74</v>
      </c>
      <c r="J563" s="34" t="s">
        <v>75</v>
      </c>
      <c r="K563" s="37"/>
      <c r="L563" s="36" t="n">
        <f aca="false">IF(A563="","",YEAR(A563)*100+MONTH(A563))</f>
        <v>202607</v>
      </c>
    </row>
    <row r="564" customFormat="false" ht="15" hidden="false" customHeight="false" outlineLevel="0" collapsed="false">
      <c r="A564" s="32" t="n">
        <v>46229</v>
      </c>
      <c r="B564" s="33" t="str">
        <f aca="false">IF(A564="","",TEXT(A564,"yyyy-mm"))</f>
        <v>2026-07</v>
      </c>
      <c r="C564" s="34" t="s">
        <v>142</v>
      </c>
      <c r="D564" s="35" t="n">
        <v>200000</v>
      </c>
      <c r="E564" s="34" t="s">
        <v>136</v>
      </c>
      <c r="F564" s="33" t="str">
        <f aca="false">IF(E564="","",IFERROR(INDEX(카테고리!$B$2:$B$200,MATCH(E564,카테고리!$A$2:$A$200,0)),"미분류"))</f>
        <v>자본이동</v>
      </c>
      <c r="G564" s="33" t="str">
        <f aca="false">IF(E564="","",IFERROR(INDEX(카테고리!$C$2:$C$200,MATCH(E564,카테고리!$A$2:$A$200,0)),"N"))</f>
        <v>N</v>
      </c>
      <c r="H564" s="34" t="s">
        <v>81</v>
      </c>
      <c r="I564" s="34" t="s">
        <v>74</v>
      </c>
      <c r="J564" s="34" t="s">
        <v>75</v>
      </c>
      <c r="K564" s="37"/>
      <c r="L564" s="36" t="n">
        <f aca="false">IF(A564="","",YEAR(A564)*100+MONTH(A564))</f>
        <v>202607</v>
      </c>
    </row>
    <row r="565" customFormat="false" ht="15" hidden="false" customHeight="false" outlineLevel="0" collapsed="false">
      <c r="A565" s="32" t="n">
        <v>46231</v>
      </c>
      <c r="B565" s="33" t="str">
        <f aca="false">IF(A565="","",TEXT(A565,"yyyy-mm"))</f>
        <v>2026-07</v>
      </c>
      <c r="C565" s="37" t="s">
        <v>84</v>
      </c>
      <c r="D565" s="35" t="n">
        <v>88020</v>
      </c>
      <c r="E565" s="34" t="s">
        <v>85</v>
      </c>
      <c r="F565" s="33" t="str">
        <f aca="false">IF(E565="","",IFERROR(INDEX(카테고리!$B$2:$B$200,MATCH(E565,카테고리!$A$2:$A$200,0)),"미분류"))</f>
        <v>변동비</v>
      </c>
      <c r="G565" s="33" t="str">
        <f aca="false">IF(E565="","",IFERROR(INDEX(카테고리!$C$2:$C$200,MATCH(E565,카테고리!$A$2:$A$200,0)),"N"))</f>
        <v>Y</v>
      </c>
      <c r="H565" s="34" t="s">
        <v>81</v>
      </c>
      <c r="I565" s="34" t="s">
        <v>82</v>
      </c>
      <c r="J565" s="34" t="s">
        <v>75</v>
      </c>
      <c r="K565" s="37"/>
      <c r="L565" s="36" t="n">
        <f aca="false">IF(A565="","",YEAR(A565)*100+MONTH(A565))</f>
        <v>202607</v>
      </c>
    </row>
    <row r="566" customFormat="false" ht="15" hidden="false" customHeight="false" outlineLevel="0" collapsed="false">
      <c r="A566" s="32" t="n">
        <v>46231</v>
      </c>
      <c r="B566" s="33" t="str">
        <f aca="false">IF(A566="","",TEXT(A566,"yyyy-mm"))</f>
        <v>2026-07</v>
      </c>
      <c r="C566" s="34" t="s">
        <v>162</v>
      </c>
      <c r="D566" s="35" t="n">
        <v>148120</v>
      </c>
      <c r="E566" s="34" t="s">
        <v>126</v>
      </c>
      <c r="F566" s="33" t="str">
        <f aca="false">IF(E566="","",IFERROR(INDEX(카테고리!$B$2:$B$200,MATCH(E566,카테고리!$A$2:$A$200,0)),"미분류"))</f>
        <v>변동비</v>
      </c>
      <c r="G566" s="33" t="str">
        <f aca="false">IF(E566="","",IFERROR(INDEX(카테고리!$C$2:$C$200,MATCH(E566,카테고리!$A$2:$A$200,0)),"N"))</f>
        <v>N</v>
      </c>
      <c r="H566" s="34" t="s">
        <v>78</v>
      </c>
      <c r="I566" s="34" t="s">
        <v>90</v>
      </c>
      <c r="J566" s="34" t="s">
        <v>75</v>
      </c>
      <c r="K566" s="37"/>
      <c r="L566" s="36" t="n">
        <f aca="false">IF(A566="","",YEAR(A566)*100+MONTH(A566))</f>
        <v>202607</v>
      </c>
    </row>
    <row r="567" customFormat="false" ht="15" hidden="false" customHeight="false" outlineLevel="0" collapsed="false">
      <c r="A567" s="32" t="n">
        <v>46231</v>
      </c>
      <c r="B567" s="33" t="str">
        <f aca="false">IF(A567="","",TEXT(A567,"yyyy-mm"))</f>
        <v>2026-07</v>
      </c>
      <c r="C567" s="34" t="s">
        <v>143</v>
      </c>
      <c r="D567" s="35" t="n">
        <v>27500</v>
      </c>
      <c r="E567" s="34" t="s">
        <v>144</v>
      </c>
      <c r="F567" s="33" t="str">
        <f aca="false">IF(E567="","",IFERROR(INDEX(카테고리!$B$2:$B$200,MATCH(E567,카테고리!$A$2:$A$200,0)),"미분류"))</f>
        <v>소득</v>
      </c>
      <c r="G567" s="33" t="str">
        <f aca="false">IF(E567="","",IFERROR(INDEX(카테고리!$C$2:$C$200,MATCH(E567,카테고리!$A$2:$A$200,0)),"N"))</f>
        <v>N</v>
      </c>
      <c r="H567" s="34" t="s">
        <v>81</v>
      </c>
      <c r="I567" s="34" t="s">
        <v>131</v>
      </c>
      <c r="J567" s="34" t="s">
        <v>75</v>
      </c>
      <c r="K567" s="37"/>
      <c r="L567" s="36" t="n">
        <f aca="false">IF(A567="","",YEAR(A567)*100+MONTH(A567))</f>
        <v>202607</v>
      </c>
    </row>
    <row r="568" customFormat="false" ht="15" hidden="false" customHeight="false" outlineLevel="0" collapsed="false">
      <c r="A568" s="32" t="n">
        <v>46233</v>
      </c>
      <c r="B568" s="33" t="str">
        <f aca="false">IF(A568="","",TEXT(A568,"yyyy-mm"))</f>
        <v>2026-07</v>
      </c>
      <c r="C568" s="34" t="s">
        <v>167</v>
      </c>
      <c r="D568" s="35" t="n">
        <v>410000</v>
      </c>
      <c r="E568" s="34" t="s">
        <v>160</v>
      </c>
      <c r="F568" s="33" t="str">
        <f aca="false">IF(E568="","",IFERROR(INDEX(카테고리!$B$2:$B$200,MATCH(E568,카테고리!$A$2:$A$200,0)),"미분류"))</f>
        <v>비정기비</v>
      </c>
      <c r="G568" s="33" t="str">
        <f aca="false">IF(E568="","",IFERROR(INDEX(카테고리!$C$2:$C$200,MATCH(E568,카테고리!$A$2:$A$200,0)),"N"))</f>
        <v>Y</v>
      </c>
      <c r="H568" s="34" t="s">
        <v>81</v>
      </c>
      <c r="I568" s="34" t="s">
        <v>74</v>
      </c>
      <c r="J568" s="34" t="s">
        <v>75</v>
      </c>
      <c r="K568" s="37"/>
      <c r="L568" s="36" t="n">
        <f aca="false">IF(A568="","",YEAR(A568)*100+MONTH(A568))</f>
        <v>202607</v>
      </c>
    </row>
    <row r="569" customFormat="false" ht="15" hidden="false" customHeight="false" outlineLevel="0" collapsed="false">
      <c r="A569" s="32" t="n">
        <v>46235</v>
      </c>
      <c r="B569" s="33" t="str">
        <f aca="false">IF(A569="","",TEXT(A569,"yyyy-mm"))</f>
        <v>2026-08</v>
      </c>
      <c r="C569" s="34" t="s">
        <v>71</v>
      </c>
      <c r="D569" s="35" t="n">
        <v>300000</v>
      </c>
      <c r="E569" s="34" t="s">
        <v>72</v>
      </c>
      <c r="F569" s="33" t="str">
        <f aca="false">IF(E569="","",IFERROR(INDEX(카테고리!$B$2:$B$200,MATCH(E569,카테고리!$A$2:$A$200,0)),"미분류"))</f>
        <v>변동비</v>
      </c>
      <c r="G569" s="33" t="str">
        <f aca="false">IF(E569="","",IFERROR(INDEX(카테고리!$C$2:$C$200,MATCH(E569,카테고리!$A$2:$A$200,0)),"N"))</f>
        <v>N</v>
      </c>
      <c r="H569" s="34" t="s">
        <v>73</v>
      </c>
      <c r="I569" s="34" t="s">
        <v>74</v>
      </c>
      <c r="J569" s="34" t="s">
        <v>75</v>
      </c>
      <c r="K569" s="37"/>
      <c r="L569" s="36" t="n">
        <f aca="false">IF(A569="","",YEAR(A569)*100+MONTH(A569))</f>
        <v>202608</v>
      </c>
    </row>
    <row r="570" customFormat="false" ht="15" hidden="false" customHeight="false" outlineLevel="0" collapsed="false">
      <c r="A570" s="32" t="n">
        <v>46235</v>
      </c>
      <c r="B570" s="33" t="str">
        <f aca="false">IF(A570="","",TEXT(A570,"yyyy-mm"))</f>
        <v>2026-08</v>
      </c>
      <c r="C570" s="34" t="s">
        <v>77</v>
      </c>
      <c r="D570" s="35" t="n">
        <v>300000</v>
      </c>
      <c r="E570" s="34" t="s">
        <v>72</v>
      </c>
      <c r="F570" s="33" t="str">
        <f aca="false">IF(E570="","",IFERROR(INDEX(카테고리!$B$2:$B$200,MATCH(E570,카테고리!$A$2:$A$200,0)),"미분류"))</f>
        <v>변동비</v>
      </c>
      <c r="G570" s="33" t="str">
        <f aca="false">IF(E570="","",IFERROR(INDEX(카테고리!$C$2:$C$200,MATCH(E570,카테고리!$A$2:$A$200,0)),"N"))</f>
        <v>N</v>
      </c>
      <c r="H570" s="34" t="s">
        <v>78</v>
      </c>
      <c r="I570" s="34" t="s">
        <v>74</v>
      </c>
      <c r="J570" s="34" t="s">
        <v>75</v>
      </c>
      <c r="K570" s="37"/>
      <c r="L570" s="36" t="n">
        <f aca="false">IF(A570="","",YEAR(A570)*100+MONTH(A570))</f>
        <v>202608</v>
      </c>
    </row>
    <row r="571" customFormat="false" ht="15" hidden="false" customHeight="false" outlineLevel="0" collapsed="false">
      <c r="A571" s="32" t="n">
        <v>46235</v>
      </c>
      <c r="B571" s="33" t="str">
        <f aca="false">IF(A571="","",TEXT(A571,"yyyy-mm"))</f>
        <v>2026-08</v>
      </c>
      <c r="C571" s="34" t="s">
        <v>79</v>
      </c>
      <c r="D571" s="35" t="n">
        <v>140000</v>
      </c>
      <c r="E571" s="34" t="s">
        <v>80</v>
      </c>
      <c r="F571" s="33" t="str">
        <f aca="false">IF(E571="","",IFERROR(INDEX(카테고리!$B$2:$B$200,MATCH(E571,카테고리!$A$2:$A$200,0)),"미분류"))</f>
        <v>고정비</v>
      </c>
      <c r="G571" s="33" t="str">
        <f aca="false">IF(E571="","",IFERROR(INDEX(카테고리!$C$2:$C$200,MATCH(E571,카테고리!$A$2:$A$200,0)),"N"))</f>
        <v>Y</v>
      </c>
      <c r="H571" s="34" t="s">
        <v>81</v>
      </c>
      <c r="I571" s="34" t="s">
        <v>82</v>
      </c>
      <c r="J571" s="34" t="s">
        <v>75</v>
      </c>
      <c r="K571" s="37"/>
      <c r="L571" s="36" t="n">
        <f aca="false">IF(A571="","",YEAR(A571)*100+MONTH(A571))</f>
        <v>202608</v>
      </c>
    </row>
    <row r="572" customFormat="false" ht="15" hidden="false" customHeight="false" outlineLevel="0" collapsed="false">
      <c r="A572" s="32" t="n">
        <v>46235</v>
      </c>
      <c r="B572" s="33" t="str">
        <f aca="false">IF(A572="","",TEXT(A572,"yyyy-mm"))</f>
        <v>2026-08</v>
      </c>
      <c r="C572" s="34" t="s">
        <v>83</v>
      </c>
      <c r="D572" s="35" t="n">
        <v>380000</v>
      </c>
      <c r="E572" s="34" t="s">
        <v>80</v>
      </c>
      <c r="F572" s="33" t="str">
        <f aca="false">IF(E572="","",IFERROR(INDEX(카테고리!$B$2:$B$200,MATCH(E572,카테고리!$A$2:$A$200,0)),"미분류"))</f>
        <v>고정비</v>
      </c>
      <c r="G572" s="33" t="str">
        <f aca="false">IF(E572="","",IFERROR(INDEX(카테고리!$C$2:$C$200,MATCH(E572,카테고리!$A$2:$A$200,0)),"N"))</f>
        <v>Y</v>
      </c>
      <c r="H572" s="34" t="s">
        <v>81</v>
      </c>
      <c r="I572" s="34" t="s">
        <v>82</v>
      </c>
      <c r="J572" s="34" t="s">
        <v>75</v>
      </c>
      <c r="K572" s="37"/>
      <c r="L572" s="36" t="n">
        <f aca="false">IF(A572="","",YEAR(A572)*100+MONTH(A572))</f>
        <v>202608</v>
      </c>
    </row>
    <row r="573" customFormat="false" ht="15" hidden="false" customHeight="false" outlineLevel="0" collapsed="false">
      <c r="A573" s="32" t="n">
        <v>46237</v>
      </c>
      <c r="B573" s="33" t="str">
        <f aca="false">IF(A573="","",TEXT(A573,"yyyy-mm"))</f>
        <v>2026-08</v>
      </c>
      <c r="C573" s="34" t="s">
        <v>94</v>
      </c>
      <c r="D573" s="35" t="n">
        <v>50000</v>
      </c>
      <c r="E573" s="34" t="s">
        <v>85</v>
      </c>
      <c r="F573" s="33" t="str">
        <f aca="false">IF(E573="","",IFERROR(INDEX(카테고리!$B$2:$B$200,MATCH(E573,카테고리!$A$2:$A$200,0)),"미분류"))</f>
        <v>변동비</v>
      </c>
      <c r="G573" s="33" t="str">
        <f aca="false">IF(E573="","",IFERROR(INDEX(카테고리!$C$2:$C$200,MATCH(E573,카테고리!$A$2:$A$200,0)),"N"))</f>
        <v>Y</v>
      </c>
      <c r="H573" s="34" t="s">
        <v>73</v>
      </c>
      <c r="I573" s="34" t="s">
        <v>90</v>
      </c>
      <c r="J573" s="34" t="s">
        <v>75</v>
      </c>
      <c r="K573" s="37"/>
      <c r="L573" s="36" t="n">
        <f aca="false">IF(A573="","",YEAR(A573)*100+MONTH(A573))</f>
        <v>202608</v>
      </c>
    </row>
    <row r="574" customFormat="false" ht="15" hidden="false" customHeight="false" outlineLevel="0" collapsed="false">
      <c r="A574" s="32" t="n">
        <v>46238</v>
      </c>
      <c r="B574" s="33" t="str">
        <f aca="false">IF(A574="","",TEXT(A574,"yyyy-mm"))</f>
        <v>2026-08</v>
      </c>
      <c r="C574" s="34" t="s">
        <v>168</v>
      </c>
      <c r="D574" s="35" t="n">
        <v>2650000</v>
      </c>
      <c r="E574" s="34" t="s">
        <v>164</v>
      </c>
      <c r="F574" s="33" t="str">
        <f aca="false">IF(E574="","",IFERROR(INDEX(카테고리!$B$2:$B$200,MATCH(E574,카테고리!$A$2:$A$200,0)),"미분류"))</f>
        <v>비정기비</v>
      </c>
      <c r="G574" s="33" t="str">
        <f aca="false">IF(E574="","",IFERROR(INDEX(카테고리!$C$2:$C$200,MATCH(E574,카테고리!$A$2:$A$200,0)),"N"))</f>
        <v>N</v>
      </c>
      <c r="H574" s="34" t="s">
        <v>81</v>
      </c>
      <c r="I574" s="34" t="s">
        <v>82</v>
      </c>
      <c r="J574" s="34" t="s">
        <v>75</v>
      </c>
      <c r="K574" s="37"/>
      <c r="L574" s="36" t="n">
        <f aca="false">IF(A574="","",YEAR(A574)*100+MONTH(A574))</f>
        <v>202608</v>
      </c>
    </row>
    <row r="575" customFormat="false" ht="15" hidden="false" customHeight="false" outlineLevel="0" collapsed="false">
      <c r="A575" s="32" t="n">
        <v>46238</v>
      </c>
      <c r="B575" s="33" t="str">
        <f aca="false">IF(A575="","",TEXT(A575,"yyyy-mm"))</f>
        <v>2026-08</v>
      </c>
      <c r="C575" s="34" t="s">
        <v>162</v>
      </c>
      <c r="D575" s="35" t="n">
        <v>159330</v>
      </c>
      <c r="E575" s="34" t="s">
        <v>126</v>
      </c>
      <c r="F575" s="33" t="str">
        <f aca="false">IF(E575="","",IFERROR(INDEX(카테고리!$B$2:$B$200,MATCH(E575,카테고리!$A$2:$A$200,0)),"미분류"))</f>
        <v>변동비</v>
      </c>
      <c r="G575" s="33" t="str">
        <f aca="false">IF(E575="","",IFERROR(INDEX(카테고리!$C$2:$C$200,MATCH(E575,카테고리!$A$2:$A$200,0)),"N"))</f>
        <v>N</v>
      </c>
      <c r="H575" s="34" t="s">
        <v>73</v>
      </c>
      <c r="I575" s="34" t="s">
        <v>107</v>
      </c>
      <c r="J575" s="34" t="s">
        <v>75</v>
      </c>
      <c r="K575" s="37"/>
      <c r="L575" s="36" t="n">
        <f aca="false">IF(A575="","",YEAR(A575)*100+MONTH(A575))</f>
        <v>202608</v>
      </c>
    </row>
    <row r="576" customFormat="false" ht="15" hidden="false" customHeight="false" outlineLevel="0" collapsed="false">
      <c r="A576" s="32" t="n">
        <v>46238</v>
      </c>
      <c r="B576" s="33" t="str">
        <f aca="false">IF(A576="","",TEXT(A576,"yyyy-mm"))</f>
        <v>2026-08</v>
      </c>
      <c r="C576" s="34" t="s">
        <v>110</v>
      </c>
      <c r="D576" s="35" t="n">
        <v>23320</v>
      </c>
      <c r="E576" s="34" t="s">
        <v>85</v>
      </c>
      <c r="F576" s="33" t="str">
        <f aca="false">IF(E576="","",IFERROR(INDEX(카테고리!$B$2:$B$200,MATCH(E576,카테고리!$A$2:$A$200,0)),"미분류"))</f>
        <v>변동비</v>
      </c>
      <c r="G576" s="33" t="str">
        <f aca="false">IF(E576="","",IFERROR(INDEX(카테고리!$C$2:$C$200,MATCH(E576,카테고리!$A$2:$A$200,0)),"N"))</f>
        <v>Y</v>
      </c>
      <c r="H576" s="34" t="s">
        <v>78</v>
      </c>
      <c r="I576" s="34" t="s">
        <v>107</v>
      </c>
      <c r="J576" s="34" t="s">
        <v>75</v>
      </c>
      <c r="K576" s="37"/>
      <c r="L576" s="36" t="n">
        <f aca="false">IF(A576="","",YEAR(A576)*100+MONTH(A576))</f>
        <v>202608</v>
      </c>
    </row>
    <row r="577" customFormat="false" ht="15" hidden="false" customHeight="false" outlineLevel="0" collapsed="false">
      <c r="A577" s="32" t="n">
        <v>46239</v>
      </c>
      <c r="B577" s="33" t="str">
        <f aca="false">IF(A577="","",TEXT(A577,"yyyy-mm"))</f>
        <v>2026-08</v>
      </c>
      <c r="C577" s="34" t="s">
        <v>96</v>
      </c>
      <c r="D577" s="35" t="n">
        <v>300000</v>
      </c>
      <c r="E577" s="34" t="s">
        <v>97</v>
      </c>
      <c r="F577" s="33" t="str">
        <f aca="false">IF(E577="","",IFERROR(INDEX(카테고리!$B$2:$B$200,MATCH(E577,카테고리!$A$2:$A$200,0)),"미분류"))</f>
        <v>자본이동</v>
      </c>
      <c r="G577" s="33" t="str">
        <f aca="false">IF(E577="","",IFERROR(INDEX(카테고리!$C$2:$C$200,MATCH(E577,카테고리!$A$2:$A$200,0)),"N"))</f>
        <v>N</v>
      </c>
      <c r="H577" s="34" t="s">
        <v>78</v>
      </c>
      <c r="I577" s="34" t="s">
        <v>98</v>
      </c>
      <c r="J577" s="34" t="s">
        <v>75</v>
      </c>
      <c r="K577" s="37"/>
      <c r="L577" s="36" t="n">
        <f aca="false">IF(A577="","",YEAR(A577)*100+MONTH(A577))</f>
        <v>202608</v>
      </c>
    </row>
    <row r="578" customFormat="false" ht="15" hidden="false" customHeight="false" outlineLevel="0" collapsed="false">
      <c r="A578" s="32" t="n">
        <v>46239</v>
      </c>
      <c r="B578" s="33" t="str">
        <f aca="false">IF(A578="","",TEXT(A578,"yyyy-mm"))</f>
        <v>2026-08</v>
      </c>
      <c r="C578" s="34" t="s">
        <v>99</v>
      </c>
      <c r="D578" s="35" t="n">
        <v>69000</v>
      </c>
      <c r="E578" s="34" t="s">
        <v>100</v>
      </c>
      <c r="F578" s="33" t="str">
        <f aca="false">IF(E578="","",IFERROR(INDEX(카테고리!$B$2:$B$200,MATCH(E578,카테고리!$A$2:$A$200,0)),"미분류"))</f>
        <v>고정비</v>
      </c>
      <c r="G578" s="33" t="str">
        <f aca="false">IF(E578="","",IFERROR(INDEX(카테고리!$C$2:$C$200,MATCH(E578,카테고리!$A$2:$A$200,0)),"N"))</f>
        <v>Y</v>
      </c>
      <c r="H578" s="34" t="s">
        <v>78</v>
      </c>
      <c r="I578" s="34" t="s">
        <v>98</v>
      </c>
      <c r="J578" s="34" t="s">
        <v>75</v>
      </c>
      <c r="K578" s="37"/>
      <c r="L578" s="36" t="n">
        <f aca="false">IF(A578="","",YEAR(A578)*100+MONTH(A578))</f>
        <v>202608</v>
      </c>
    </row>
    <row r="579" customFormat="false" ht="15" hidden="false" customHeight="false" outlineLevel="0" collapsed="false">
      <c r="A579" s="32" t="n">
        <v>46239</v>
      </c>
      <c r="B579" s="33" t="str">
        <f aca="false">IF(A579="","",TEXT(A579,"yyyy-mm"))</f>
        <v>2026-08</v>
      </c>
      <c r="C579" s="34" t="s">
        <v>101</v>
      </c>
      <c r="D579" s="35" t="n">
        <v>600000</v>
      </c>
      <c r="E579" s="34" t="s">
        <v>97</v>
      </c>
      <c r="F579" s="33" t="str">
        <f aca="false">IF(E579="","",IFERROR(INDEX(카테고리!$B$2:$B$200,MATCH(E579,카테고리!$A$2:$A$200,0)),"미분류"))</f>
        <v>자본이동</v>
      </c>
      <c r="G579" s="33" t="str">
        <f aca="false">IF(E579="","",IFERROR(INDEX(카테고리!$C$2:$C$200,MATCH(E579,카테고리!$A$2:$A$200,0)),"N"))</f>
        <v>N</v>
      </c>
      <c r="H579" s="34" t="s">
        <v>81</v>
      </c>
      <c r="I579" s="34" t="s">
        <v>98</v>
      </c>
      <c r="J579" s="34" t="s">
        <v>75</v>
      </c>
      <c r="K579" s="37"/>
      <c r="L579" s="36" t="n">
        <f aca="false">IF(A579="","",YEAR(A579)*100+MONTH(A579))</f>
        <v>202608</v>
      </c>
    </row>
    <row r="580" customFormat="false" ht="15" hidden="false" customHeight="false" outlineLevel="0" collapsed="false">
      <c r="A580" s="32" t="n">
        <v>46239</v>
      </c>
      <c r="B580" s="33" t="str">
        <f aca="false">IF(A580="","",TEXT(A580,"yyyy-mm"))</f>
        <v>2026-08</v>
      </c>
      <c r="C580" s="34" t="s">
        <v>102</v>
      </c>
      <c r="D580" s="35" t="n">
        <v>985000</v>
      </c>
      <c r="E580" s="34" t="s">
        <v>100</v>
      </c>
      <c r="F580" s="33" t="str">
        <f aca="false">IF(E580="","",IFERROR(INDEX(카테고리!$B$2:$B$200,MATCH(E580,카테고리!$A$2:$A$200,0)),"미분류"))</f>
        <v>고정비</v>
      </c>
      <c r="G580" s="33" t="str">
        <f aca="false">IF(E580="","",IFERROR(INDEX(카테고리!$C$2:$C$200,MATCH(E580,카테고리!$A$2:$A$200,0)),"N"))</f>
        <v>Y</v>
      </c>
      <c r="H580" s="34" t="s">
        <v>81</v>
      </c>
      <c r="I580" s="34" t="s">
        <v>98</v>
      </c>
      <c r="J580" s="34" t="s">
        <v>75</v>
      </c>
      <c r="K580" s="37"/>
      <c r="L580" s="36" t="n">
        <f aca="false">IF(A580="","",YEAR(A580)*100+MONTH(A580))</f>
        <v>202608</v>
      </c>
    </row>
    <row r="581" customFormat="false" ht="15" hidden="false" customHeight="false" outlineLevel="0" collapsed="false">
      <c r="A581" s="32" t="n">
        <v>46241</v>
      </c>
      <c r="B581" s="33" t="str">
        <f aca="false">IF(A581="","",TEXT(A581,"yyyy-mm"))</f>
        <v>2026-08</v>
      </c>
      <c r="C581" s="34" t="s">
        <v>104</v>
      </c>
      <c r="D581" s="35" t="n">
        <v>17000</v>
      </c>
      <c r="E581" s="34" t="s">
        <v>105</v>
      </c>
      <c r="F581" s="33" t="str">
        <f aca="false">IF(E581="","",IFERROR(INDEX(카테고리!$B$2:$B$200,MATCH(E581,카테고리!$A$2:$A$200,0)),"미분류"))</f>
        <v>고정비</v>
      </c>
      <c r="G581" s="33" t="str">
        <f aca="false">IF(E581="","",IFERROR(INDEX(카테고리!$C$2:$C$200,MATCH(E581,카테고리!$A$2:$A$200,0)),"N"))</f>
        <v>N</v>
      </c>
      <c r="H581" s="34" t="s">
        <v>81</v>
      </c>
      <c r="I581" s="34" t="s">
        <v>82</v>
      </c>
      <c r="J581" s="34" t="s">
        <v>75</v>
      </c>
      <c r="K581" s="37"/>
      <c r="L581" s="36" t="n">
        <f aca="false">IF(A581="","",YEAR(A581)*100+MONTH(A581))</f>
        <v>202608</v>
      </c>
    </row>
    <row r="582" customFormat="false" ht="15" hidden="false" customHeight="false" outlineLevel="0" collapsed="false">
      <c r="A582" s="32" t="n">
        <v>46241</v>
      </c>
      <c r="B582" s="33" t="str">
        <f aca="false">IF(A582="","",TEXT(A582,"yyyy-mm"))</f>
        <v>2026-08</v>
      </c>
      <c r="C582" s="34" t="s">
        <v>146</v>
      </c>
      <c r="D582" s="35" t="n">
        <v>121620</v>
      </c>
      <c r="E582" s="34" t="s">
        <v>92</v>
      </c>
      <c r="F582" s="33" t="str">
        <f aca="false">IF(E582="","",IFERROR(INDEX(카테고리!$B$2:$B$200,MATCH(E582,카테고리!$A$2:$A$200,0)),"미분류"))</f>
        <v>변동비</v>
      </c>
      <c r="G582" s="33" t="str">
        <f aca="false">IF(E582="","",IFERROR(INDEX(카테고리!$C$2:$C$200,MATCH(E582,카테고리!$A$2:$A$200,0)),"N"))</f>
        <v>Y</v>
      </c>
      <c r="H582" s="34" t="s">
        <v>73</v>
      </c>
      <c r="I582" s="34" t="s">
        <v>82</v>
      </c>
      <c r="J582" s="34" t="s">
        <v>75</v>
      </c>
      <c r="K582" s="37"/>
      <c r="L582" s="36" t="n">
        <f aca="false">IF(A582="","",YEAR(A582)*100+MONTH(A582))</f>
        <v>202608</v>
      </c>
    </row>
    <row r="583" customFormat="false" ht="15" hidden="false" customHeight="false" outlineLevel="0" collapsed="false">
      <c r="A583" s="32" t="n">
        <v>46241</v>
      </c>
      <c r="B583" s="33" t="str">
        <f aca="false">IF(A583="","",TEXT(A583,"yyyy-mm"))</f>
        <v>2026-08</v>
      </c>
      <c r="C583" s="34" t="s">
        <v>106</v>
      </c>
      <c r="D583" s="35" t="n">
        <v>14900</v>
      </c>
      <c r="E583" s="34" t="s">
        <v>105</v>
      </c>
      <c r="F583" s="33" t="str">
        <f aca="false">IF(E583="","",IFERROR(INDEX(카테고리!$B$2:$B$200,MATCH(E583,카테고리!$A$2:$A$200,0)),"미분류"))</f>
        <v>고정비</v>
      </c>
      <c r="G583" s="33" t="str">
        <f aca="false">IF(E583="","",IFERROR(INDEX(카테고리!$C$2:$C$200,MATCH(E583,카테고리!$A$2:$A$200,0)),"N"))</f>
        <v>N</v>
      </c>
      <c r="H583" s="34" t="s">
        <v>78</v>
      </c>
      <c r="I583" s="34" t="s">
        <v>107</v>
      </c>
      <c r="J583" s="34" t="s">
        <v>75</v>
      </c>
      <c r="K583" s="37"/>
      <c r="L583" s="36" t="n">
        <f aca="false">IF(A583="","",YEAR(A583)*100+MONTH(A583))</f>
        <v>202608</v>
      </c>
    </row>
    <row r="584" customFormat="false" ht="15" hidden="false" customHeight="false" outlineLevel="0" collapsed="false">
      <c r="A584" s="32" t="n">
        <v>46241</v>
      </c>
      <c r="B584" s="33" t="str">
        <f aca="false">IF(A584="","",TEXT(A584,"yyyy-mm"))</f>
        <v>2026-08</v>
      </c>
      <c r="C584" s="34" t="s">
        <v>108</v>
      </c>
      <c r="D584" s="35" t="n">
        <v>7890</v>
      </c>
      <c r="E584" s="34" t="s">
        <v>105</v>
      </c>
      <c r="F584" s="33" t="str">
        <f aca="false">IF(E584="","",IFERROR(INDEX(카테고리!$B$2:$B$200,MATCH(E584,카테고리!$A$2:$A$200,0)),"미분류"))</f>
        <v>고정비</v>
      </c>
      <c r="G584" s="33" t="str">
        <f aca="false">IF(E584="","",IFERROR(INDEX(카테고리!$C$2:$C$200,MATCH(E584,카테고리!$A$2:$A$200,0)),"N"))</f>
        <v>N</v>
      </c>
      <c r="H584" s="34" t="s">
        <v>73</v>
      </c>
      <c r="I584" s="34" t="s">
        <v>90</v>
      </c>
      <c r="J584" s="34" t="s">
        <v>75</v>
      </c>
      <c r="K584" s="37"/>
      <c r="L584" s="36" t="n">
        <f aca="false">IF(A584="","",YEAR(A584)*100+MONTH(A584))</f>
        <v>202608</v>
      </c>
    </row>
    <row r="585" customFormat="false" ht="15" hidden="false" customHeight="false" outlineLevel="0" collapsed="false">
      <c r="A585" s="32" t="n">
        <v>46244</v>
      </c>
      <c r="B585" s="33" t="str">
        <f aca="false">IF(A585="","",TEXT(A585,"yyyy-mm"))</f>
        <v>2026-08</v>
      </c>
      <c r="C585" s="37" t="s">
        <v>111</v>
      </c>
      <c r="D585" s="35" t="n">
        <v>68000</v>
      </c>
      <c r="E585" s="34" t="s">
        <v>112</v>
      </c>
      <c r="F585" s="33" t="str">
        <f aca="false">IF(E585="","",IFERROR(INDEX(카테고리!$B$2:$B$200,MATCH(E585,카테고리!$A$2:$A$200,0)),"미분류"))</f>
        <v>고정비</v>
      </c>
      <c r="G585" s="33" t="str">
        <f aca="false">IF(E585="","",IFERROR(INDEX(카테고리!$C$2:$C$200,MATCH(E585,카테고리!$A$2:$A$200,0)),"N"))</f>
        <v>Y</v>
      </c>
      <c r="H585" s="34" t="s">
        <v>81</v>
      </c>
      <c r="I585" s="34" t="s">
        <v>98</v>
      </c>
      <c r="J585" s="34" t="s">
        <v>75</v>
      </c>
      <c r="K585" s="37"/>
      <c r="L585" s="36" t="n">
        <f aca="false">IF(A585="","",YEAR(A585)*100+MONTH(A585))</f>
        <v>202608</v>
      </c>
    </row>
    <row r="586" customFormat="false" ht="15" hidden="false" customHeight="false" outlineLevel="0" collapsed="false">
      <c r="A586" s="32" t="n">
        <v>46244</v>
      </c>
      <c r="B586" s="33" t="str">
        <f aca="false">IF(A586="","",TEXT(A586,"yyyy-mm"))</f>
        <v>2026-08</v>
      </c>
      <c r="C586" s="34" t="s">
        <v>113</v>
      </c>
      <c r="D586" s="35" t="n">
        <v>172000</v>
      </c>
      <c r="E586" s="34" t="s">
        <v>112</v>
      </c>
      <c r="F586" s="33" t="str">
        <f aca="false">IF(E586="","",IFERROR(INDEX(카테고리!$B$2:$B$200,MATCH(E586,카테고리!$A$2:$A$200,0)),"미분류"))</f>
        <v>고정비</v>
      </c>
      <c r="G586" s="33" t="str">
        <f aca="false">IF(E586="","",IFERROR(INDEX(카테고리!$C$2:$C$200,MATCH(E586,카테고리!$A$2:$A$200,0)),"N"))</f>
        <v>Y</v>
      </c>
      <c r="H586" s="34" t="s">
        <v>78</v>
      </c>
      <c r="I586" s="34" t="s">
        <v>98</v>
      </c>
      <c r="J586" s="34" t="s">
        <v>75</v>
      </c>
      <c r="K586" s="37"/>
      <c r="L586" s="36" t="n">
        <f aca="false">IF(A586="","",YEAR(A586)*100+MONTH(A586))</f>
        <v>202608</v>
      </c>
    </row>
    <row r="587" customFormat="false" ht="15" hidden="false" customHeight="false" outlineLevel="0" collapsed="false">
      <c r="A587" s="32" t="n">
        <v>46244</v>
      </c>
      <c r="B587" s="33" t="str">
        <f aca="false">IF(A587="","",TEXT(A587,"yyyy-mm"))</f>
        <v>2026-08</v>
      </c>
      <c r="C587" s="34" t="s">
        <v>114</v>
      </c>
      <c r="D587" s="35" t="n">
        <v>148000</v>
      </c>
      <c r="E587" s="34" t="s">
        <v>112</v>
      </c>
      <c r="F587" s="33" t="str">
        <f aca="false">IF(E587="","",IFERROR(INDEX(카테고리!$B$2:$B$200,MATCH(E587,카테고리!$A$2:$A$200,0)),"미분류"))</f>
        <v>고정비</v>
      </c>
      <c r="G587" s="33" t="str">
        <f aca="false">IF(E587="","",IFERROR(INDEX(카테고리!$C$2:$C$200,MATCH(E587,카테고리!$A$2:$A$200,0)),"N"))</f>
        <v>Y</v>
      </c>
      <c r="H587" s="34" t="s">
        <v>73</v>
      </c>
      <c r="I587" s="34" t="s">
        <v>98</v>
      </c>
      <c r="J587" s="34" t="s">
        <v>75</v>
      </c>
      <c r="K587" s="37"/>
      <c r="L587" s="36" t="n">
        <f aca="false">IF(A587="","",YEAR(A587)*100+MONTH(A587))</f>
        <v>202608</v>
      </c>
    </row>
    <row r="588" customFormat="false" ht="15" hidden="false" customHeight="false" outlineLevel="0" collapsed="false">
      <c r="A588" s="32" t="n">
        <v>46245</v>
      </c>
      <c r="B588" s="33" t="str">
        <f aca="false">IF(A588="","",TEXT(A588,"yyyy-mm"))</f>
        <v>2026-08</v>
      </c>
      <c r="C588" s="37" t="s">
        <v>84</v>
      </c>
      <c r="D588" s="35" t="n">
        <v>74980</v>
      </c>
      <c r="E588" s="34" t="s">
        <v>85</v>
      </c>
      <c r="F588" s="33" t="str">
        <f aca="false">IF(E588="","",IFERROR(INDEX(카테고리!$B$2:$B$200,MATCH(E588,카테고리!$A$2:$A$200,0)),"미분류"))</f>
        <v>변동비</v>
      </c>
      <c r="G588" s="33" t="str">
        <f aca="false">IF(E588="","",IFERROR(INDEX(카테고리!$C$2:$C$200,MATCH(E588,카테고리!$A$2:$A$200,0)),"N"))</f>
        <v>Y</v>
      </c>
      <c r="H588" s="34" t="s">
        <v>81</v>
      </c>
      <c r="I588" s="34" t="s">
        <v>82</v>
      </c>
      <c r="J588" s="34" t="s">
        <v>75</v>
      </c>
      <c r="K588" s="37"/>
      <c r="L588" s="36" t="n">
        <f aca="false">IF(A588="","",YEAR(A588)*100+MONTH(A588))</f>
        <v>202608</v>
      </c>
    </row>
    <row r="589" customFormat="false" ht="15" hidden="false" customHeight="false" outlineLevel="0" collapsed="false">
      <c r="A589" s="32" t="n">
        <v>46245</v>
      </c>
      <c r="B589" s="33" t="str">
        <f aca="false">IF(A589="","",TEXT(A589,"yyyy-mm"))</f>
        <v>2026-08</v>
      </c>
      <c r="C589" s="34" t="s">
        <v>147</v>
      </c>
      <c r="D589" s="35" t="n">
        <v>88960</v>
      </c>
      <c r="E589" s="34" t="s">
        <v>124</v>
      </c>
      <c r="F589" s="33" t="str">
        <f aca="false">IF(E589="","",IFERROR(INDEX(카테고리!$B$2:$B$200,MATCH(E589,카테고리!$A$2:$A$200,0)),"미분류"))</f>
        <v>변동비</v>
      </c>
      <c r="G589" s="33" t="str">
        <f aca="false">IF(E589="","",IFERROR(INDEX(카테고리!$C$2:$C$200,MATCH(E589,카테고리!$A$2:$A$200,0)),"N"))</f>
        <v>N</v>
      </c>
      <c r="H589" s="34" t="s">
        <v>81</v>
      </c>
      <c r="I589" s="34" t="s">
        <v>107</v>
      </c>
      <c r="J589" s="34" t="s">
        <v>75</v>
      </c>
      <c r="K589" s="37"/>
      <c r="L589" s="36" t="n">
        <f aca="false">IF(A589="","",YEAR(A589)*100+MONTH(A589))</f>
        <v>202608</v>
      </c>
    </row>
    <row r="590" customFormat="false" ht="15" hidden="false" customHeight="false" outlineLevel="0" collapsed="false">
      <c r="A590" s="32" t="n">
        <v>46245</v>
      </c>
      <c r="B590" s="33" t="str">
        <f aca="false">IF(A590="","",TEXT(A590,"yyyy-mm"))</f>
        <v>2026-08</v>
      </c>
      <c r="C590" s="34" t="s">
        <v>146</v>
      </c>
      <c r="D590" s="35" t="n">
        <v>121550</v>
      </c>
      <c r="E590" s="34" t="s">
        <v>92</v>
      </c>
      <c r="F590" s="33" t="str">
        <f aca="false">IF(E590="","",IFERROR(INDEX(카테고리!$B$2:$B$200,MATCH(E590,카테고리!$A$2:$A$200,0)),"미분류"))</f>
        <v>변동비</v>
      </c>
      <c r="G590" s="33" t="str">
        <f aca="false">IF(E590="","",IFERROR(INDEX(카테고리!$C$2:$C$200,MATCH(E590,카테고리!$A$2:$A$200,0)),"N"))</f>
        <v>Y</v>
      </c>
      <c r="H590" s="34" t="s">
        <v>81</v>
      </c>
      <c r="I590" s="34" t="s">
        <v>82</v>
      </c>
      <c r="J590" s="34" t="s">
        <v>75</v>
      </c>
      <c r="K590" s="37"/>
      <c r="L590" s="36" t="n">
        <f aca="false">IF(A590="","",YEAR(A590)*100+MONTH(A590))</f>
        <v>202608</v>
      </c>
    </row>
    <row r="591" customFormat="false" ht="15" hidden="false" customHeight="false" outlineLevel="0" collapsed="false">
      <c r="A591" s="32" t="n">
        <v>46245</v>
      </c>
      <c r="B591" s="33" t="str">
        <f aca="false">IF(A591="","",TEXT(A591,"yyyy-mm"))</f>
        <v>2026-08</v>
      </c>
      <c r="C591" s="34" t="s">
        <v>110</v>
      </c>
      <c r="D591" s="35" t="n">
        <v>23250</v>
      </c>
      <c r="E591" s="34" t="s">
        <v>85</v>
      </c>
      <c r="F591" s="33" t="str">
        <f aca="false">IF(E591="","",IFERROR(INDEX(카테고리!$B$2:$B$200,MATCH(E591,카테고리!$A$2:$A$200,0)),"미분류"))</f>
        <v>변동비</v>
      </c>
      <c r="G591" s="33" t="str">
        <f aca="false">IF(E591="","",IFERROR(INDEX(카테고리!$C$2:$C$200,MATCH(E591,카테고리!$A$2:$A$200,0)),"N"))</f>
        <v>Y</v>
      </c>
      <c r="H591" s="34" t="s">
        <v>78</v>
      </c>
      <c r="I591" s="34" t="s">
        <v>107</v>
      </c>
      <c r="J591" s="34" t="s">
        <v>75</v>
      </c>
      <c r="K591" s="37"/>
      <c r="L591" s="36" t="n">
        <f aca="false">IF(A591="","",YEAR(A591)*100+MONTH(A591))</f>
        <v>202608</v>
      </c>
    </row>
    <row r="592" customFormat="false" ht="15" hidden="false" customHeight="false" outlineLevel="0" collapsed="false">
      <c r="A592" s="32" t="n">
        <v>46245</v>
      </c>
      <c r="B592" s="33" t="str">
        <f aca="false">IF(A592="","",TEXT(A592,"yyyy-mm"))</f>
        <v>2026-08</v>
      </c>
      <c r="C592" s="34" t="s">
        <v>109</v>
      </c>
      <c r="D592" s="35" t="n">
        <v>71220</v>
      </c>
      <c r="E592" s="34" t="s">
        <v>87</v>
      </c>
      <c r="F592" s="33" t="str">
        <f aca="false">IF(E592="","",IFERROR(INDEX(카테고리!$B$2:$B$200,MATCH(E592,카테고리!$A$2:$A$200,0)),"미분류"))</f>
        <v>변동비</v>
      </c>
      <c r="G592" s="33" t="str">
        <f aca="false">IF(E592="","",IFERROR(INDEX(카테고리!$C$2:$C$200,MATCH(E592,카테고리!$A$2:$A$200,0)),"N"))</f>
        <v>Y</v>
      </c>
      <c r="H592" s="34" t="s">
        <v>81</v>
      </c>
      <c r="I592" s="34" t="s">
        <v>82</v>
      </c>
      <c r="J592" s="34" t="s">
        <v>75</v>
      </c>
      <c r="K592" s="37"/>
      <c r="L592" s="36" t="n">
        <f aca="false">IF(A592="","",YEAR(A592)*100+MONTH(A592))</f>
        <v>202608</v>
      </c>
    </row>
    <row r="593" customFormat="false" ht="15" hidden="false" customHeight="false" outlineLevel="0" collapsed="false">
      <c r="A593" s="32" t="n">
        <v>46246</v>
      </c>
      <c r="B593" s="33" t="str">
        <f aca="false">IF(A593="","",TEXT(A593,"yyyy-mm"))</f>
        <v>2026-08</v>
      </c>
      <c r="C593" s="34" t="s">
        <v>88</v>
      </c>
      <c r="D593" s="35" t="n">
        <v>61570</v>
      </c>
      <c r="E593" s="34" t="s">
        <v>89</v>
      </c>
      <c r="F593" s="33" t="str">
        <f aca="false">IF(E593="","",IFERROR(INDEX(카테고리!$B$2:$B$200,MATCH(E593,카테고리!$A$2:$A$200,0)),"미분류"))</f>
        <v>변동비</v>
      </c>
      <c r="G593" s="33" t="str">
        <f aca="false">IF(E593="","",IFERROR(INDEX(카테고리!$C$2:$C$200,MATCH(E593,카테고리!$A$2:$A$200,0)),"N"))</f>
        <v>N</v>
      </c>
      <c r="H593" s="34" t="s">
        <v>73</v>
      </c>
      <c r="I593" s="34" t="s">
        <v>90</v>
      </c>
      <c r="J593" s="34" t="s">
        <v>75</v>
      </c>
      <c r="K593" s="37"/>
      <c r="L593" s="36" t="n">
        <f aca="false">IF(A593="","",YEAR(A593)*100+MONTH(A593))</f>
        <v>202608</v>
      </c>
    </row>
    <row r="594" customFormat="false" ht="15" hidden="false" customHeight="false" outlineLevel="0" collapsed="false">
      <c r="A594" s="32" t="n">
        <v>46248</v>
      </c>
      <c r="B594" s="33" t="str">
        <f aca="false">IF(A594="","",TEXT(A594,"yyyy-mm"))</f>
        <v>2026-08</v>
      </c>
      <c r="C594" s="34" t="s">
        <v>148</v>
      </c>
      <c r="D594" s="35" t="n">
        <v>118240</v>
      </c>
      <c r="E594" s="34" t="s">
        <v>92</v>
      </c>
      <c r="F594" s="33" t="str">
        <f aca="false">IF(E594="","",IFERROR(INDEX(카테고리!$B$2:$B$200,MATCH(E594,카테고리!$A$2:$A$200,0)),"미분류"))</f>
        <v>변동비</v>
      </c>
      <c r="G594" s="33" t="str">
        <f aca="false">IF(E594="","",IFERROR(INDEX(카테고리!$C$2:$C$200,MATCH(E594,카테고리!$A$2:$A$200,0)),"N"))</f>
        <v>Y</v>
      </c>
      <c r="H594" s="34" t="s">
        <v>81</v>
      </c>
      <c r="I594" s="34" t="s">
        <v>82</v>
      </c>
      <c r="J594" s="34" t="s">
        <v>75</v>
      </c>
      <c r="K594" s="37"/>
      <c r="L594" s="36" t="n">
        <f aca="false">IF(A594="","",YEAR(A594)*100+MONTH(A594))</f>
        <v>202608</v>
      </c>
    </row>
    <row r="595" customFormat="false" ht="15" hidden="false" customHeight="false" outlineLevel="0" collapsed="false">
      <c r="A595" s="32" t="n">
        <v>46249</v>
      </c>
      <c r="B595" s="33" t="str">
        <f aca="false">IF(A595="","",TEXT(A595,"yyyy-mm"))</f>
        <v>2026-08</v>
      </c>
      <c r="C595" s="34" t="s">
        <v>88</v>
      </c>
      <c r="D595" s="35" t="n">
        <v>60180</v>
      </c>
      <c r="E595" s="34" t="s">
        <v>89</v>
      </c>
      <c r="F595" s="33" t="str">
        <f aca="false">IF(E595="","",IFERROR(INDEX(카테고리!$B$2:$B$200,MATCH(E595,카테고리!$A$2:$A$200,0)),"미분류"))</f>
        <v>변동비</v>
      </c>
      <c r="G595" s="33" t="str">
        <f aca="false">IF(E595="","",IFERROR(INDEX(카테고리!$C$2:$C$200,MATCH(E595,카테고리!$A$2:$A$200,0)),"N"))</f>
        <v>N</v>
      </c>
      <c r="H595" s="34" t="s">
        <v>81</v>
      </c>
      <c r="I595" s="34" t="s">
        <v>90</v>
      </c>
      <c r="J595" s="34" t="s">
        <v>75</v>
      </c>
      <c r="K595" s="37"/>
      <c r="L595" s="36" t="n">
        <f aca="false">IF(A595="","",YEAR(A595)*100+MONTH(A595))</f>
        <v>202608</v>
      </c>
    </row>
    <row r="596" customFormat="false" ht="15" hidden="false" customHeight="false" outlineLevel="0" collapsed="false">
      <c r="A596" s="32" t="n">
        <v>46249</v>
      </c>
      <c r="B596" s="33" t="str">
        <f aca="false">IF(A596="","",TEXT(A596,"yyyy-mm"))</f>
        <v>2026-08</v>
      </c>
      <c r="C596" s="34" t="s">
        <v>93</v>
      </c>
      <c r="D596" s="35" t="n">
        <v>70400</v>
      </c>
      <c r="E596" s="34" t="s">
        <v>92</v>
      </c>
      <c r="F596" s="33" t="str">
        <f aca="false">IF(E596="","",IFERROR(INDEX(카테고리!$B$2:$B$200,MATCH(E596,카테고리!$A$2:$A$200,0)),"미분류"))</f>
        <v>변동비</v>
      </c>
      <c r="G596" s="33" t="str">
        <f aca="false">IF(E596="","",IFERROR(INDEX(카테고리!$C$2:$C$200,MATCH(E596,카테고리!$A$2:$A$200,0)),"N"))</f>
        <v>Y</v>
      </c>
      <c r="H596" s="34" t="s">
        <v>73</v>
      </c>
      <c r="I596" s="34" t="s">
        <v>82</v>
      </c>
      <c r="J596" s="34" t="s">
        <v>75</v>
      </c>
      <c r="K596" s="37"/>
      <c r="L596" s="36" t="n">
        <f aca="false">IF(A596="","",YEAR(A596)*100+MONTH(A596))</f>
        <v>202608</v>
      </c>
    </row>
    <row r="597" customFormat="false" ht="15" hidden="false" customHeight="false" outlineLevel="0" collapsed="false">
      <c r="A597" s="32" t="n">
        <v>46249</v>
      </c>
      <c r="B597" s="33" t="str">
        <f aca="false">IF(A597="","",TEXT(A597,"yyyy-mm"))</f>
        <v>2026-08</v>
      </c>
      <c r="C597" s="34" t="s">
        <v>103</v>
      </c>
      <c r="D597" s="35" t="n">
        <v>127260</v>
      </c>
      <c r="E597" s="34" t="s">
        <v>92</v>
      </c>
      <c r="F597" s="33" t="str">
        <f aca="false">IF(E597="","",IFERROR(INDEX(카테고리!$B$2:$B$200,MATCH(E597,카테고리!$A$2:$A$200,0)),"미분류"))</f>
        <v>변동비</v>
      </c>
      <c r="G597" s="33" t="str">
        <f aca="false">IF(E597="","",IFERROR(INDEX(카테고리!$C$2:$C$200,MATCH(E597,카테고리!$A$2:$A$200,0)),"N"))</f>
        <v>Y</v>
      </c>
      <c r="H597" s="34" t="s">
        <v>81</v>
      </c>
      <c r="I597" s="34" t="s">
        <v>82</v>
      </c>
      <c r="J597" s="34" t="s">
        <v>75</v>
      </c>
      <c r="K597" s="37"/>
      <c r="L597" s="36" t="n">
        <f aca="false">IF(A597="","",YEAR(A597)*100+MONTH(A597))</f>
        <v>202608</v>
      </c>
    </row>
    <row r="598" customFormat="false" ht="15" hidden="false" customHeight="false" outlineLevel="0" collapsed="false">
      <c r="A598" s="32" t="n">
        <v>46250</v>
      </c>
      <c r="B598" s="33" t="str">
        <f aca="false">IF(A598="","",TEXT(A598,"yyyy-mm"))</f>
        <v>2026-08</v>
      </c>
      <c r="C598" s="34" t="s">
        <v>103</v>
      </c>
      <c r="D598" s="35" t="n">
        <v>93250</v>
      </c>
      <c r="E598" s="34" t="s">
        <v>92</v>
      </c>
      <c r="F598" s="33" t="str">
        <f aca="false">IF(E598="","",IFERROR(INDEX(카테고리!$B$2:$B$200,MATCH(E598,카테고리!$A$2:$A$200,0)),"미분류"))</f>
        <v>변동비</v>
      </c>
      <c r="G598" s="33" t="str">
        <f aca="false">IF(E598="","",IFERROR(INDEX(카테고리!$C$2:$C$200,MATCH(E598,카테고리!$A$2:$A$200,0)),"N"))</f>
        <v>Y</v>
      </c>
      <c r="H598" s="34" t="s">
        <v>73</v>
      </c>
      <c r="I598" s="34" t="s">
        <v>82</v>
      </c>
      <c r="J598" s="34" t="s">
        <v>75</v>
      </c>
      <c r="K598" s="37"/>
      <c r="L598" s="36" t="n">
        <f aca="false">IF(A598="","",YEAR(A598)*100+MONTH(A598))</f>
        <v>202608</v>
      </c>
    </row>
    <row r="599" customFormat="false" ht="15" hidden="false" customHeight="false" outlineLevel="0" collapsed="false">
      <c r="A599" s="32" t="n">
        <v>46251</v>
      </c>
      <c r="B599" s="33" t="str">
        <f aca="false">IF(A599="","",TEXT(A599,"yyyy-mm"))</f>
        <v>2026-08</v>
      </c>
      <c r="C599" s="34" t="s">
        <v>110</v>
      </c>
      <c r="D599" s="35" t="n">
        <v>18670</v>
      </c>
      <c r="E599" s="34" t="s">
        <v>85</v>
      </c>
      <c r="F599" s="33" t="str">
        <f aca="false">IF(E599="","",IFERROR(INDEX(카테고리!$B$2:$B$200,MATCH(E599,카테고리!$A$2:$A$200,0)),"미분류"))</f>
        <v>변동비</v>
      </c>
      <c r="G599" s="33" t="str">
        <f aca="false">IF(E599="","",IFERROR(INDEX(카테고리!$C$2:$C$200,MATCH(E599,카테고리!$A$2:$A$200,0)),"N"))</f>
        <v>Y</v>
      </c>
      <c r="H599" s="34" t="s">
        <v>78</v>
      </c>
      <c r="I599" s="34" t="s">
        <v>107</v>
      </c>
      <c r="J599" s="34" t="s">
        <v>75</v>
      </c>
      <c r="K599" s="37"/>
      <c r="L599" s="36" t="n">
        <f aca="false">IF(A599="","",YEAR(A599)*100+MONTH(A599))</f>
        <v>202608</v>
      </c>
    </row>
    <row r="600" customFormat="false" ht="15" hidden="false" customHeight="false" outlineLevel="0" collapsed="false">
      <c r="A600" s="32" t="n">
        <v>46252</v>
      </c>
      <c r="B600" s="33" t="str">
        <f aca="false">IF(A600="","",TEXT(A600,"yyyy-mm"))</f>
        <v>2026-08</v>
      </c>
      <c r="C600" s="34" t="s">
        <v>150</v>
      </c>
      <c r="D600" s="35" t="n">
        <v>300000</v>
      </c>
      <c r="E600" s="34" t="s">
        <v>151</v>
      </c>
      <c r="F600" s="33" t="str">
        <f aca="false">IF(E600="","",IFERROR(INDEX(카테고리!$B$2:$B$200,MATCH(E600,카테고리!$A$2:$A$200,0)),"미분류"))</f>
        <v>소득</v>
      </c>
      <c r="G600" s="33" t="str">
        <f aca="false">IF(E600="","",IFERROR(INDEX(카테고리!$C$2:$C$200,MATCH(E600,카테고리!$A$2:$A$200,0)),"N"))</f>
        <v>N</v>
      </c>
      <c r="H600" s="34" t="s">
        <v>73</v>
      </c>
      <c r="I600" s="34" t="s">
        <v>131</v>
      </c>
      <c r="J600" s="34" t="s">
        <v>75</v>
      </c>
      <c r="K600" s="37"/>
      <c r="L600" s="36" t="n">
        <f aca="false">IF(A600="","",YEAR(A600)*100+MONTH(A600))</f>
        <v>202608</v>
      </c>
    </row>
    <row r="601" customFormat="false" ht="15" hidden="false" customHeight="false" outlineLevel="0" collapsed="false">
      <c r="A601" s="32" t="n">
        <v>46253</v>
      </c>
      <c r="B601" s="33" t="str">
        <f aca="false">IF(A601="","",TEXT(A601,"yyyy-mm"))</f>
        <v>2026-08</v>
      </c>
      <c r="C601" s="34" t="s">
        <v>158</v>
      </c>
      <c r="D601" s="35" t="n">
        <v>68200</v>
      </c>
      <c r="E601" s="34" t="s">
        <v>89</v>
      </c>
      <c r="F601" s="33" t="str">
        <f aca="false">IF(E601="","",IFERROR(INDEX(카테고리!$B$2:$B$200,MATCH(E601,카테고리!$A$2:$A$200,0)),"미분류"))</f>
        <v>변동비</v>
      </c>
      <c r="G601" s="33" t="str">
        <f aca="false">IF(E601="","",IFERROR(INDEX(카테고리!$C$2:$C$200,MATCH(E601,카테고리!$A$2:$A$200,0)),"N"))</f>
        <v>N</v>
      </c>
      <c r="H601" s="34" t="s">
        <v>81</v>
      </c>
      <c r="I601" s="34" t="s">
        <v>107</v>
      </c>
      <c r="J601" s="34" t="s">
        <v>75</v>
      </c>
      <c r="K601" s="37"/>
      <c r="L601" s="36" t="n">
        <f aca="false">IF(A601="","",YEAR(A601)*100+MONTH(A601))</f>
        <v>202608</v>
      </c>
    </row>
    <row r="602" customFormat="false" ht="15" hidden="false" customHeight="false" outlineLevel="0" collapsed="false">
      <c r="A602" s="32" t="n">
        <v>46254</v>
      </c>
      <c r="B602" s="33" t="str">
        <f aca="false">IF(A602="","",TEXT(A602,"yyyy-mm"))</f>
        <v>2026-08</v>
      </c>
      <c r="C602" s="34" t="s">
        <v>117</v>
      </c>
      <c r="D602" s="35" t="n">
        <v>258050</v>
      </c>
      <c r="E602" s="34" t="s">
        <v>118</v>
      </c>
      <c r="F602" s="33" t="str">
        <f aca="false">IF(E602="","",IFERROR(INDEX(카테고리!$B$2:$B$200,MATCH(E602,카테고리!$A$2:$A$200,0)),"미분류"))</f>
        <v>고정비</v>
      </c>
      <c r="G602" s="33" t="str">
        <f aca="false">IF(E602="","",IFERROR(INDEX(카테고리!$C$2:$C$200,MATCH(E602,카테고리!$A$2:$A$200,0)),"N"))</f>
        <v>Y</v>
      </c>
      <c r="H602" s="34" t="s">
        <v>81</v>
      </c>
      <c r="I602" s="34" t="s">
        <v>98</v>
      </c>
      <c r="J602" s="34" t="s">
        <v>75</v>
      </c>
      <c r="K602" s="37"/>
      <c r="L602" s="36" t="n">
        <f aca="false">IF(A602="","",YEAR(A602)*100+MONTH(A602))</f>
        <v>202608</v>
      </c>
    </row>
    <row r="603" customFormat="false" ht="15" hidden="false" customHeight="false" outlineLevel="0" collapsed="false">
      <c r="A603" s="32" t="n">
        <v>46255</v>
      </c>
      <c r="B603" s="33" t="str">
        <f aca="false">IF(A603="","",TEXT(A603,"yyyy-mm"))</f>
        <v>2026-08</v>
      </c>
      <c r="C603" s="37" t="s">
        <v>149</v>
      </c>
      <c r="D603" s="35" t="n">
        <v>68060</v>
      </c>
      <c r="E603" s="34" t="s">
        <v>124</v>
      </c>
      <c r="F603" s="33" t="str">
        <f aca="false">IF(E603="","",IFERROR(INDEX(카테고리!$B$2:$B$200,MATCH(E603,카테고리!$A$2:$A$200,0)),"미분류"))</f>
        <v>변동비</v>
      </c>
      <c r="G603" s="33" t="str">
        <f aca="false">IF(E603="","",IFERROR(INDEX(카테고리!$C$2:$C$200,MATCH(E603,카테고리!$A$2:$A$200,0)),"N"))</f>
        <v>N</v>
      </c>
      <c r="H603" s="34" t="s">
        <v>81</v>
      </c>
      <c r="I603" s="34" t="s">
        <v>90</v>
      </c>
      <c r="J603" s="34" t="s">
        <v>75</v>
      </c>
      <c r="K603" s="37"/>
      <c r="L603" s="36" t="n">
        <f aca="false">IF(A603="","",YEAR(A603)*100+MONTH(A603))</f>
        <v>202608</v>
      </c>
    </row>
    <row r="604" customFormat="false" ht="15" hidden="false" customHeight="false" outlineLevel="0" collapsed="false">
      <c r="A604" s="32" t="n">
        <v>46255</v>
      </c>
      <c r="B604" s="33" t="str">
        <f aca="false">IF(A604="","",TEXT(A604,"yyyy-mm"))</f>
        <v>2026-08</v>
      </c>
      <c r="C604" s="37" t="s">
        <v>119</v>
      </c>
      <c r="D604" s="35" t="n">
        <v>54000</v>
      </c>
      <c r="E604" s="34" t="s">
        <v>120</v>
      </c>
      <c r="F604" s="33" t="str">
        <f aca="false">IF(E604="","",IFERROR(INDEX(카테고리!$B$2:$B$200,MATCH(E604,카테고리!$A$2:$A$200,0)),"미분류"))</f>
        <v>고정비</v>
      </c>
      <c r="G604" s="33" t="str">
        <f aca="false">IF(E604="","",IFERROR(INDEX(카테고리!$C$2:$C$200,MATCH(E604,카테고리!$A$2:$A$200,0)),"N"))</f>
        <v>Y</v>
      </c>
      <c r="H604" s="34" t="s">
        <v>73</v>
      </c>
      <c r="I604" s="34" t="s">
        <v>90</v>
      </c>
      <c r="J604" s="34" t="s">
        <v>75</v>
      </c>
      <c r="K604" s="37"/>
      <c r="L604" s="36" t="n">
        <f aca="false">IF(A604="","",YEAR(A604)*100+MONTH(A604))</f>
        <v>202608</v>
      </c>
    </row>
    <row r="605" customFormat="false" ht="15" hidden="false" customHeight="false" outlineLevel="0" collapsed="false">
      <c r="A605" s="32" t="n">
        <v>46255</v>
      </c>
      <c r="B605" s="33" t="str">
        <f aca="false">IF(A605="","",TEXT(A605,"yyyy-mm"))</f>
        <v>2026-08</v>
      </c>
      <c r="C605" s="37" t="s">
        <v>121</v>
      </c>
      <c r="D605" s="35" t="n">
        <v>68000</v>
      </c>
      <c r="E605" s="34" t="s">
        <v>120</v>
      </c>
      <c r="F605" s="33" t="str">
        <f aca="false">IF(E605="","",IFERROR(INDEX(카테고리!$B$2:$B$200,MATCH(E605,카테고리!$A$2:$A$200,0)),"미분류"))</f>
        <v>고정비</v>
      </c>
      <c r="G605" s="33" t="str">
        <f aca="false">IF(E605="","",IFERROR(INDEX(카테고리!$C$2:$C$200,MATCH(E605,카테고리!$A$2:$A$200,0)),"N"))</f>
        <v>Y</v>
      </c>
      <c r="H605" s="34" t="s">
        <v>78</v>
      </c>
      <c r="I605" s="34" t="s">
        <v>107</v>
      </c>
      <c r="J605" s="34" t="s">
        <v>75</v>
      </c>
      <c r="K605" s="37"/>
      <c r="L605" s="36" t="n">
        <f aca="false">IF(A605="","",YEAR(A605)*100+MONTH(A605))</f>
        <v>202608</v>
      </c>
    </row>
    <row r="606" customFormat="false" ht="15" hidden="false" customHeight="false" outlineLevel="0" collapsed="false">
      <c r="A606" s="32" t="n">
        <v>46255</v>
      </c>
      <c r="B606" s="33" t="str">
        <f aca="false">IF(A606="","",TEXT(A606,"yyyy-mm"))</f>
        <v>2026-08</v>
      </c>
      <c r="C606" s="34" t="s">
        <v>122</v>
      </c>
      <c r="D606" s="35" t="n">
        <v>33000</v>
      </c>
      <c r="E606" s="34" t="s">
        <v>120</v>
      </c>
      <c r="F606" s="33" t="str">
        <f aca="false">IF(E606="","",IFERROR(INDEX(카테고리!$B$2:$B$200,MATCH(E606,카테고리!$A$2:$A$200,0)),"미분류"))</f>
        <v>고정비</v>
      </c>
      <c r="G606" s="33" t="str">
        <f aca="false">IF(E606="","",IFERROR(INDEX(카테고리!$C$2:$C$200,MATCH(E606,카테고리!$A$2:$A$200,0)),"N"))</f>
        <v>Y</v>
      </c>
      <c r="H606" s="34" t="s">
        <v>81</v>
      </c>
      <c r="I606" s="34" t="s">
        <v>98</v>
      </c>
      <c r="J606" s="34" t="s">
        <v>75</v>
      </c>
      <c r="K606" s="37"/>
      <c r="L606" s="36" t="n">
        <f aca="false">IF(A606="","",YEAR(A606)*100+MONTH(A606))</f>
        <v>202608</v>
      </c>
    </row>
    <row r="607" customFormat="false" ht="15" hidden="false" customHeight="false" outlineLevel="0" collapsed="false">
      <c r="A607" s="32" t="n">
        <v>46256</v>
      </c>
      <c r="B607" s="33" t="str">
        <f aca="false">IF(A607="","",TEXT(A607,"yyyy-mm"))</f>
        <v>2026-08</v>
      </c>
      <c r="C607" s="37" t="s">
        <v>84</v>
      </c>
      <c r="D607" s="35" t="n">
        <v>71210</v>
      </c>
      <c r="E607" s="34" t="s">
        <v>85</v>
      </c>
      <c r="F607" s="33" t="str">
        <f aca="false">IF(E607="","",IFERROR(INDEX(카테고리!$B$2:$B$200,MATCH(E607,카테고리!$A$2:$A$200,0)),"미분류"))</f>
        <v>변동비</v>
      </c>
      <c r="G607" s="33" t="str">
        <f aca="false">IF(E607="","",IFERROR(INDEX(카테고리!$C$2:$C$200,MATCH(E607,카테고리!$A$2:$A$200,0)),"N"))</f>
        <v>Y</v>
      </c>
      <c r="H607" s="34" t="s">
        <v>81</v>
      </c>
      <c r="I607" s="34" t="s">
        <v>82</v>
      </c>
      <c r="J607" s="34" t="s">
        <v>75</v>
      </c>
      <c r="K607" s="37"/>
      <c r="L607" s="36" t="n">
        <f aca="false">IF(A607="","",YEAR(A607)*100+MONTH(A607))</f>
        <v>202608</v>
      </c>
    </row>
    <row r="608" customFormat="false" ht="15" hidden="false" customHeight="false" outlineLevel="0" collapsed="false">
      <c r="A608" s="32" t="n">
        <v>46258</v>
      </c>
      <c r="B608" s="33" t="str">
        <f aca="false">IF(A608="","",TEXT(A608,"yyyy-mm"))</f>
        <v>2026-08</v>
      </c>
      <c r="C608" s="34" t="s">
        <v>154</v>
      </c>
      <c r="D608" s="35" t="n">
        <v>93740</v>
      </c>
      <c r="E608" s="34" t="s">
        <v>126</v>
      </c>
      <c r="F608" s="33" t="str">
        <f aca="false">IF(E608="","",IFERROR(INDEX(카테고리!$B$2:$B$200,MATCH(E608,카테고리!$A$2:$A$200,0)),"미분류"))</f>
        <v>변동비</v>
      </c>
      <c r="G608" s="33" t="str">
        <f aca="false">IF(E608="","",IFERROR(INDEX(카테고리!$C$2:$C$200,MATCH(E608,카테고리!$A$2:$A$200,0)),"N"))</f>
        <v>N</v>
      </c>
      <c r="H608" s="34" t="s">
        <v>78</v>
      </c>
      <c r="I608" s="34" t="s">
        <v>107</v>
      </c>
      <c r="J608" s="34" t="s">
        <v>75</v>
      </c>
      <c r="K608" s="37"/>
      <c r="L608" s="36" t="n">
        <f aca="false">IF(A608="","",YEAR(A608)*100+MONTH(A608))</f>
        <v>202608</v>
      </c>
    </row>
    <row r="609" customFormat="false" ht="15" hidden="false" customHeight="false" outlineLevel="0" collapsed="false">
      <c r="A609" s="32" t="n">
        <v>46258</v>
      </c>
      <c r="B609" s="33" t="str">
        <f aca="false">IF(A609="","",TEXT(A609,"yyyy-mm"))</f>
        <v>2026-08</v>
      </c>
      <c r="C609" s="34" t="s">
        <v>95</v>
      </c>
      <c r="D609" s="35" t="n">
        <v>57130</v>
      </c>
      <c r="E609" s="34" t="s">
        <v>89</v>
      </c>
      <c r="F609" s="33" t="str">
        <f aca="false">IF(E609="","",IFERROR(INDEX(카테고리!$B$2:$B$200,MATCH(E609,카테고리!$A$2:$A$200,0)),"미분류"))</f>
        <v>변동비</v>
      </c>
      <c r="G609" s="33" t="str">
        <f aca="false">IF(E609="","",IFERROR(INDEX(카테고리!$C$2:$C$200,MATCH(E609,카테고리!$A$2:$A$200,0)),"N"))</f>
        <v>N</v>
      </c>
      <c r="H609" s="34" t="s">
        <v>73</v>
      </c>
      <c r="I609" s="34" t="s">
        <v>90</v>
      </c>
      <c r="J609" s="34" t="s">
        <v>75</v>
      </c>
      <c r="K609" s="37"/>
      <c r="L609" s="36" t="n">
        <f aca="false">IF(A609="","",YEAR(A609)*100+MONTH(A609))</f>
        <v>202608</v>
      </c>
    </row>
    <row r="610" customFormat="false" ht="15" hidden="false" customHeight="false" outlineLevel="0" collapsed="false">
      <c r="A610" s="32" t="n">
        <v>46259</v>
      </c>
      <c r="B610" s="33" t="str">
        <f aca="false">IF(A610="","",TEXT(A610,"yyyy-mm"))</f>
        <v>2026-08</v>
      </c>
      <c r="C610" s="34" t="s">
        <v>129</v>
      </c>
      <c r="D610" s="35" t="n">
        <v>3620000</v>
      </c>
      <c r="E610" s="34" t="s">
        <v>130</v>
      </c>
      <c r="F610" s="33" t="str">
        <f aca="false">IF(E610="","",IFERROR(INDEX(카테고리!$B$2:$B$200,MATCH(E610,카테고리!$A$2:$A$200,0)),"미분류"))</f>
        <v>소득</v>
      </c>
      <c r="G610" s="33" t="str">
        <f aca="false">IF(E610="","",IFERROR(INDEX(카테고리!$C$2:$C$200,MATCH(E610,카테고리!$A$2:$A$200,0)),"N"))</f>
        <v>N</v>
      </c>
      <c r="H610" s="34" t="s">
        <v>73</v>
      </c>
      <c r="I610" s="34" t="s">
        <v>131</v>
      </c>
      <c r="J610" s="34" t="s">
        <v>75</v>
      </c>
      <c r="K610" s="37"/>
      <c r="L610" s="36" t="n">
        <f aca="false">IF(A610="","",YEAR(A610)*100+MONTH(A610))</f>
        <v>202608</v>
      </c>
    </row>
    <row r="611" customFormat="false" ht="15" hidden="false" customHeight="false" outlineLevel="0" collapsed="false">
      <c r="A611" s="32" t="n">
        <v>46259</v>
      </c>
      <c r="B611" s="33" t="str">
        <f aca="false">IF(A611="","",TEXT(A611,"yyyy-mm"))</f>
        <v>2026-08</v>
      </c>
      <c r="C611" s="34" t="s">
        <v>132</v>
      </c>
      <c r="D611" s="35" t="n">
        <v>4850000</v>
      </c>
      <c r="E611" s="34" t="s">
        <v>130</v>
      </c>
      <c r="F611" s="33" t="str">
        <f aca="false">IF(E611="","",IFERROR(INDEX(카테고리!$B$2:$B$200,MATCH(E611,카테고리!$A$2:$A$200,0)),"미분류"))</f>
        <v>소득</v>
      </c>
      <c r="G611" s="33" t="str">
        <f aca="false">IF(E611="","",IFERROR(INDEX(카테고리!$C$2:$C$200,MATCH(E611,카테고리!$A$2:$A$200,0)),"N"))</f>
        <v>N</v>
      </c>
      <c r="H611" s="34" t="s">
        <v>78</v>
      </c>
      <c r="I611" s="34" t="s">
        <v>131</v>
      </c>
      <c r="J611" s="34" t="s">
        <v>75</v>
      </c>
      <c r="K611" s="37"/>
      <c r="L611" s="36" t="n">
        <f aca="false">IF(A611="","",YEAR(A611)*100+MONTH(A611))</f>
        <v>202608</v>
      </c>
    </row>
    <row r="612" customFormat="false" ht="15" hidden="false" customHeight="false" outlineLevel="0" collapsed="false">
      <c r="A612" s="32" t="n">
        <v>46260</v>
      </c>
      <c r="B612" s="33" t="str">
        <f aca="false">IF(A612="","",TEXT(A612,"yyyy-mm"))</f>
        <v>2026-08</v>
      </c>
      <c r="C612" s="37" t="s">
        <v>133</v>
      </c>
      <c r="D612" s="35" t="n">
        <v>200000</v>
      </c>
      <c r="E612" s="34" t="s">
        <v>134</v>
      </c>
      <c r="F612" s="33" t="str">
        <f aca="false">IF(E612="","",IFERROR(INDEX(카테고리!$B$2:$B$200,MATCH(E612,카테고리!$A$2:$A$200,0)),"미분류"))</f>
        <v>자본이동</v>
      </c>
      <c r="G612" s="33" t="str">
        <f aca="false">IF(E612="","",IFERROR(INDEX(카테고리!$C$2:$C$200,MATCH(E612,카테고리!$A$2:$A$200,0)),"N"))</f>
        <v>N</v>
      </c>
      <c r="H612" s="34" t="s">
        <v>73</v>
      </c>
      <c r="I612" s="34" t="s">
        <v>98</v>
      </c>
      <c r="J612" s="34" t="s">
        <v>75</v>
      </c>
      <c r="K612" s="37"/>
      <c r="L612" s="36" t="n">
        <f aca="false">IF(A612="","",YEAR(A612)*100+MONTH(A612))</f>
        <v>202608</v>
      </c>
    </row>
    <row r="613" customFormat="false" ht="15" hidden="false" customHeight="false" outlineLevel="0" collapsed="false">
      <c r="A613" s="32" t="n">
        <v>46260</v>
      </c>
      <c r="B613" s="33" t="str">
        <f aca="false">IF(A613="","",TEXT(A613,"yyyy-mm"))</f>
        <v>2026-08</v>
      </c>
      <c r="C613" s="34" t="s">
        <v>135</v>
      </c>
      <c r="D613" s="35" t="n">
        <v>650000</v>
      </c>
      <c r="E613" s="34" t="s">
        <v>136</v>
      </c>
      <c r="F613" s="33" t="str">
        <f aca="false">IF(E613="","",IFERROR(INDEX(카테고리!$B$2:$B$200,MATCH(E613,카테고리!$A$2:$A$200,0)),"미분류"))</f>
        <v>자본이동</v>
      </c>
      <c r="G613" s="33" t="str">
        <f aca="false">IF(E613="","",IFERROR(INDEX(카테고리!$C$2:$C$200,MATCH(E613,카테고리!$A$2:$A$200,0)),"N"))</f>
        <v>N</v>
      </c>
      <c r="H613" s="34" t="s">
        <v>73</v>
      </c>
      <c r="I613" s="34" t="s">
        <v>74</v>
      </c>
      <c r="J613" s="34" t="s">
        <v>75</v>
      </c>
      <c r="K613" s="37"/>
      <c r="L613" s="36" t="n">
        <f aca="false">IF(A613="","",YEAR(A613)*100+MONTH(A613))</f>
        <v>202608</v>
      </c>
    </row>
    <row r="614" customFormat="false" ht="15" hidden="false" customHeight="false" outlineLevel="0" collapsed="false">
      <c r="A614" s="32" t="n">
        <v>46260</v>
      </c>
      <c r="B614" s="33" t="str">
        <f aca="false">IF(A614="","",TEXT(A614,"yyyy-mm"))</f>
        <v>2026-08</v>
      </c>
      <c r="C614" s="34" t="s">
        <v>137</v>
      </c>
      <c r="D614" s="35" t="n">
        <v>300000</v>
      </c>
      <c r="E614" s="34" t="s">
        <v>134</v>
      </c>
      <c r="F614" s="33" t="str">
        <f aca="false">IF(E614="","",IFERROR(INDEX(카테고리!$B$2:$B$200,MATCH(E614,카테고리!$A$2:$A$200,0)),"미분류"))</f>
        <v>자본이동</v>
      </c>
      <c r="G614" s="33" t="str">
        <f aca="false">IF(E614="","",IFERROR(INDEX(카테고리!$C$2:$C$200,MATCH(E614,카테고리!$A$2:$A$200,0)),"N"))</f>
        <v>N</v>
      </c>
      <c r="H614" s="34" t="s">
        <v>78</v>
      </c>
      <c r="I614" s="34" t="s">
        <v>98</v>
      </c>
      <c r="J614" s="34" t="s">
        <v>75</v>
      </c>
      <c r="K614" s="37"/>
      <c r="L614" s="36" t="n">
        <f aca="false">IF(A614="","",YEAR(A614)*100+MONTH(A614))</f>
        <v>202608</v>
      </c>
    </row>
    <row r="615" customFormat="false" ht="15" hidden="false" customHeight="false" outlineLevel="0" collapsed="false">
      <c r="A615" s="32" t="n">
        <v>46260</v>
      </c>
      <c r="B615" s="33" t="str">
        <f aca="false">IF(A615="","",TEXT(A615,"yyyy-mm"))</f>
        <v>2026-08</v>
      </c>
      <c r="C615" s="34" t="s">
        <v>115</v>
      </c>
      <c r="D615" s="35" t="n">
        <v>30190</v>
      </c>
      <c r="E615" s="34" t="s">
        <v>116</v>
      </c>
      <c r="F615" s="33" t="str">
        <f aca="false">IF(E615="","",IFERROR(INDEX(카테고리!$B$2:$B$200,MATCH(E615,카테고리!$A$2:$A$200,0)),"미분류"))</f>
        <v>변동비</v>
      </c>
      <c r="G615" s="33" t="str">
        <f aca="false">IF(E615="","",IFERROR(INDEX(카테고리!$C$2:$C$200,MATCH(E615,카테고리!$A$2:$A$200,0)),"N"))</f>
        <v>Y</v>
      </c>
      <c r="H615" s="34" t="s">
        <v>81</v>
      </c>
      <c r="I615" s="34" t="s">
        <v>82</v>
      </c>
      <c r="J615" s="34" t="s">
        <v>75</v>
      </c>
      <c r="K615" s="37"/>
      <c r="L615" s="36" t="n">
        <f aca="false">IF(A615="","",YEAR(A615)*100+MONTH(A615))</f>
        <v>202608</v>
      </c>
    </row>
    <row r="616" customFormat="false" ht="15" hidden="false" customHeight="false" outlineLevel="0" collapsed="false">
      <c r="A616" s="32" t="n">
        <v>46260</v>
      </c>
      <c r="B616" s="33" t="str">
        <f aca="false">IF(A616="","",TEXT(A616,"yyyy-mm"))</f>
        <v>2026-08</v>
      </c>
      <c r="C616" s="34" t="s">
        <v>138</v>
      </c>
      <c r="D616" s="35" t="n">
        <v>300000</v>
      </c>
      <c r="E616" s="34" t="s">
        <v>139</v>
      </c>
      <c r="F616" s="33" t="str">
        <f aca="false">IF(E616="","",IFERROR(INDEX(카테고리!$B$2:$B$200,MATCH(E616,카테고리!$A$2:$A$200,0)),"미분류"))</f>
        <v>자본이동</v>
      </c>
      <c r="G616" s="33" t="str">
        <f aca="false">IF(E616="","",IFERROR(INDEX(카테고리!$C$2:$C$200,MATCH(E616,카테고리!$A$2:$A$200,0)),"N"))</f>
        <v>N</v>
      </c>
      <c r="H616" s="34" t="s">
        <v>81</v>
      </c>
      <c r="I616" s="34" t="s">
        <v>98</v>
      </c>
      <c r="J616" s="34" t="s">
        <v>75</v>
      </c>
      <c r="K616" s="37"/>
      <c r="L616" s="36" t="n">
        <f aca="false">IF(A616="","",YEAR(A616)*100+MONTH(A616))</f>
        <v>202608</v>
      </c>
    </row>
    <row r="617" customFormat="false" ht="15" hidden="false" customHeight="false" outlineLevel="0" collapsed="false">
      <c r="A617" s="32" t="n">
        <v>46260</v>
      </c>
      <c r="B617" s="33" t="str">
        <f aca="false">IF(A617="","",TEXT(A617,"yyyy-mm"))</f>
        <v>2026-08</v>
      </c>
      <c r="C617" s="34" t="s">
        <v>140</v>
      </c>
      <c r="D617" s="35" t="n">
        <v>100000</v>
      </c>
      <c r="E617" s="34" t="s">
        <v>139</v>
      </c>
      <c r="F617" s="33" t="str">
        <f aca="false">IF(E617="","",IFERROR(INDEX(카테고리!$B$2:$B$200,MATCH(E617,카테고리!$A$2:$A$200,0)),"미분류"))</f>
        <v>자본이동</v>
      </c>
      <c r="G617" s="33" t="str">
        <f aca="false">IF(E617="","",IFERROR(INDEX(카테고리!$C$2:$C$200,MATCH(E617,카테고리!$A$2:$A$200,0)),"N"))</f>
        <v>N</v>
      </c>
      <c r="H617" s="34" t="s">
        <v>78</v>
      </c>
      <c r="I617" s="34" t="s">
        <v>98</v>
      </c>
      <c r="J617" s="34" t="s">
        <v>75</v>
      </c>
      <c r="K617" s="37"/>
      <c r="L617" s="36" t="n">
        <f aca="false">IF(A617="","",YEAR(A617)*100+MONTH(A617))</f>
        <v>202608</v>
      </c>
    </row>
    <row r="618" customFormat="false" ht="15" hidden="false" customHeight="false" outlineLevel="0" collapsed="false">
      <c r="A618" s="32" t="n">
        <v>46260</v>
      </c>
      <c r="B618" s="33" t="str">
        <f aca="false">IF(A618="","",TEXT(A618,"yyyy-mm"))</f>
        <v>2026-08</v>
      </c>
      <c r="C618" s="34" t="s">
        <v>109</v>
      </c>
      <c r="D618" s="35" t="n">
        <v>50300</v>
      </c>
      <c r="E618" s="34" t="s">
        <v>87</v>
      </c>
      <c r="F618" s="33" t="str">
        <f aca="false">IF(E618="","",IFERROR(INDEX(카테고리!$B$2:$B$200,MATCH(E618,카테고리!$A$2:$A$200,0)),"미분류"))</f>
        <v>변동비</v>
      </c>
      <c r="G618" s="33" t="str">
        <f aca="false">IF(E618="","",IFERROR(INDEX(카테고리!$C$2:$C$200,MATCH(E618,카테고리!$A$2:$A$200,0)),"N"))</f>
        <v>Y</v>
      </c>
      <c r="H618" s="34" t="s">
        <v>81</v>
      </c>
      <c r="I618" s="34" t="s">
        <v>82</v>
      </c>
      <c r="J618" s="34" t="s">
        <v>75</v>
      </c>
      <c r="K618" s="37"/>
      <c r="L618" s="36" t="n">
        <f aca="false">IF(A618="","",YEAR(A618)*100+MONTH(A618))</f>
        <v>202608</v>
      </c>
    </row>
    <row r="619" customFormat="false" ht="15" hidden="false" customHeight="false" outlineLevel="0" collapsed="false">
      <c r="A619" s="32" t="n">
        <v>46260</v>
      </c>
      <c r="B619" s="33" t="str">
        <f aca="false">IF(A619="","",TEXT(A619,"yyyy-mm"))</f>
        <v>2026-08</v>
      </c>
      <c r="C619" s="34" t="s">
        <v>141</v>
      </c>
      <c r="D619" s="35" t="n">
        <v>850000</v>
      </c>
      <c r="E619" s="34" t="s">
        <v>136</v>
      </c>
      <c r="F619" s="33" t="str">
        <f aca="false">IF(E619="","",IFERROR(INDEX(카테고리!$B$2:$B$200,MATCH(E619,카테고리!$A$2:$A$200,0)),"미분류"))</f>
        <v>자본이동</v>
      </c>
      <c r="G619" s="33" t="str">
        <f aca="false">IF(E619="","",IFERROR(INDEX(카테고리!$C$2:$C$200,MATCH(E619,카테고리!$A$2:$A$200,0)),"N"))</f>
        <v>N</v>
      </c>
      <c r="H619" s="34" t="s">
        <v>78</v>
      </c>
      <c r="I619" s="34" t="s">
        <v>74</v>
      </c>
      <c r="J619" s="34" t="s">
        <v>75</v>
      </c>
      <c r="K619" s="37"/>
      <c r="L619" s="36" t="n">
        <f aca="false">IF(A619="","",YEAR(A619)*100+MONTH(A619))</f>
        <v>202608</v>
      </c>
    </row>
    <row r="620" customFormat="false" ht="15" hidden="false" customHeight="false" outlineLevel="0" collapsed="false">
      <c r="A620" s="32" t="n">
        <v>46260</v>
      </c>
      <c r="B620" s="33" t="str">
        <f aca="false">IF(A620="","",TEXT(A620,"yyyy-mm"))</f>
        <v>2026-08</v>
      </c>
      <c r="C620" s="34" t="s">
        <v>142</v>
      </c>
      <c r="D620" s="35" t="n">
        <v>200000</v>
      </c>
      <c r="E620" s="34" t="s">
        <v>136</v>
      </c>
      <c r="F620" s="33" t="str">
        <f aca="false">IF(E620="","",IFERROR(INDEX(카테고리!$B$2:$B$200,MATCH(E620,카테고리!$A$2:$A$200,0)),"미분류"))</f>
        <v>자본이동</v>
      </c>
      <c r="G620" s="33" t="str">
        <f aca="false">IF(E620="","",IFERROR(INDEX(카테고리!$C$2:$C$200,MATCH(E620,카테고리!$A$2:$A$200,0)),"N"))</f>
        <v>N</v>
      </c>
      <c r="H620" s="34" t="s">
        <v>81</v>
      </c>
      <c r="I620" s="34" t="s">
        <v>74</v>
      </c>
      <c r="J620" s="34" t="s">
        <v>75</v>
      </c>
      <c r="K620" s="37"/>
      <c r="L620" s="36" t="n">
        <f aca="false">IF(A620="","",YEAR(A620)*100+MONTH(A620))</f>
        <v>202608</v>
      </c>
    </row>
    <row r="621" customFormat="false" ht="15" hidden="false" customHeight="false" outlineLevel="0" collapsed="false">
      <c r="A621" s="32" t="n">
        <v>46262</v>
      </c>
      <c r="B621" s="33" t="str">
        <f aca="false">IF(A621="","",TEXT(A621,"yyyy-mm"))</f>
        <v>2026-08</v>
      </c>
      <c r="C621" s="34" t="s">
        <v>88</v>
      </c>
      <c r="D621" s="35" t="n">
        <v>37480</v>
      </c>
      <c r="E621" s="34" t="s">
        <v>89</v>
      </c>
      <c r="F621" s="33" t="str">
        <f aca="false">IF(E621="","",IFERROR(INDEX(카테고리!$B$2:$B$200,MATCH(E621,카테고리!$A$2:$A$200,0)),"미분류"))</f>
        <v>변동비</v>
      </c>
      <c r="G621" s="33" t="str">
        <f aca="false">IF(E621="","",IFERROR(INDEX(카테고리!$C$2:$C$200,MATCH(E621,카테고리!$A$2:$A$200,0)),"N"))</f>
        <v>N</v>
      </c>
      <c r="H621" s="34" t="s">
        <v>78</v>
      </c>
      <c r="I621" s="34" t="s">
        <v>90</v>
      </c>
      <c r="J621" s="34" t="s">
        <v>75</v>
      </c>
      <c r="K621" s="37"/>
      <c r="L621" s="36" t="n">
        <f aca="false">IF(A621="","",YEAR(A621)*100+MONTH(A621))</f>
        <v>202608</v>
      </c>
    </row>
    <row r="622" customFormat="false" ht="15" hidden="false" customHeight="false" outlineLevel="0" collapsed="false">
      <c r="A622" s="32" t="n">
        <v>46262</v>
      </c>
      <c r="B622" s="33" t="str">
        <f aca="false">IF(A622="","",TEXT(A622,"yyyy-mm"))</f>
        <v>2026-08</v>
      </c>
      <c r="C622" s="34" t="s">
        <v>143</v>
      </c>
      <c r="D622" s="35" t="n">
        <v>29000</v>
      </c>
      <c r="E622" s="34" t="s">
        <v>144</v>
      </c>
      <c r="F622" s="33" t="str">
        <f aca="false">IF(E622="","",IFERROR(INDEX(카테고리!$B$2:$B$200,MATCH(E622,카테고리!$A$2:$A$200,0)),"미분류"))</f>
        <v>소득</v>
      </c>
      <c r="G622" s="33" t="str">
        <f aca="false">IF(E622="","",IFERROR(INDEX(카테고리!$C$2:$C$200,MATCH(E622,카테고리!$A$2:$A$200,0)),"N"))</f>
        <v>N</v>
      </c>
      <c r="H622" s="34" t="s">
        <v>81</v>
      </c>
      <c r="I622" s="34" t="s">
        <v>131</v>
      </c>
      <c r="J622" s="34" t="s">
        <v>75</v>
      </c>
      <c r="K622" s="37"/>
      <c r="L622" s="36" t="n">
        <f aca="false">IF(A622="","",YEAR(A622)*100+MONTH(A622))</f>
        <v>202608</v>
      </c>
    </row>
    <row r="623" customFormat="false" ht="15" hidden="false" customHeight="false" outlineLevel="0" collapsed="false">
      <c r="A623" s="32" t="n">
        <v>46262</v>
      </c>
      <c r="B623" s="33" t="str">
        <f aca="false">IF(A623="","",TEXT(A623,"yyyy-mm"))</f>
        <v>2026-08</v>
      </c>
      <c r="C623" s="34" t="s">
        <v>103</v>
      </c>
      <c r="D623" s="35" t="n">
        <v>64150</v>
      </c>
      <c r="E623" s="34" t="s">
        <v>92</v>
      </c>
      <c r="F623" s="33" t="str">
        <f aca="false">IF(E623="","",IFERROR(INDEX(카테고리!$B$2:$B$200,MATCH(E623,카테고리!$A$2:$A$200,0)),"미분류"))</f>
        <v>변동비</v>
      </c>
      <c r="G623" s="33" t="str">
        <f aca="false">IF(E623="","",IFERROR(INDEX(카테고리!$C$2:$C$200,MATCH(E623,카테고리!$A$2:$A$200,0)),"N"))</f>
        <v>Y</v>
      </c>
      <c r="H623" s="34" t="s">
        <v>81</v>
      </c>
      <c r="I623" s="34" t="s">
        <v>82</v>
      </c>
      <c r="J623" s="34" t="s">
        <v>75</v>
      </c>
      <c r="K623" s="37"/>
      <c r="L623" s="36" t="n">
        <f aca="false">IF(A623="","",YEAR(A623)*100+MONTH(A623))</f>
        <v>202608</v>
      </c>
    </row>
    <row r="624" customFormat="false" ht="15" hidden="false" customHeight="false" outlineLevel="0" collapsed="false">
      <c r="A624" s="32" t="n">
        <v>46266</v>
      </c>
      <c r="B624" s="33" t="str">
        <f aca="false">IF(A624="","",TEXT(A624,"yyyy-mm"))</f>
        <v>2026-09</v>
      </c>
      <c r="C624" s="34" t="s">
        <v>71</v>
      </c>
      <c r="D624" s="35" t="n">
        <v>300000</v>
      </c>
      <c r="E624" s="34" t="s">
        <v>72</v>
      </c>
      <c r="F624" s="33" t="str">
        <f aca="false">IF(E624="","",IFERROR(INDEX(카테고리!$B$2:$B$200,MATCH(E624,카테고리!$A$2:$A$200,0)),"미분류"))</f>
        <v>변동비</v>
      </c>
      <c r="G624" s="33" t="str">
        <f aca="false">IF(E624="","",IFERROR(INDEX(카테고리!$C$2:$C$200,MATCH(E624,카테고리!$A$2:$A$200,0)),"N"))</f>
        <v>N</v>
      </c>
      <c r="H624" s="34" t="s">
        <v>73</v>
      </c>
      <c r="I624" s="34" t="s">
        <v>74</v>
      </c>
      <c r="J624" s="34" t="s">
        <v>75</v>
      </c>
      <c r="K624" s="37"/>
      <c r="L624" s="36" t="n">
        <f aca="false">IF(A624="","",YEAR(A624)*100+MONTH(A624))</f>
        <v>202609</v>
      </c>
    </row>
    <row r="625" customFormat="false" ht="15" hidden="false" customHeight="false" outlineLevel="0" collapsed="false">
      <c r="A625" s="32" t="n">
        <v>46266</v>
      </c>
      <c r="B625" s="33" t="str">
        <f aca="false">IF(A625="","",TEXT(A625,"yyyy-mm"))</f>
        <v>2026-09</v>
      </c>
      <c r="C625" s="34" t="s">
        <v>77</v>
      </c>
      <c r="D625" s="35" t="n">
        <v>300000</v>
      </c>
      <c r="E625" s="34" t="s">
        <v>72</v>
      </c>
      <c r="F625" s="33" t="str">
        <f aca="false">IF(E625="","",IFERROR(INDEX(카테고리!$B$2:$B$200,MATCH(E625,카테고리!$A$2:$A$200,0)),"미분류"))</f>
        <v>변동비</v>
      </c>
      <c r="G625" s="33" t="str">
        <f aca="false">IF(E625="","",IFERROR(INDEX(카테고리!$C$2:$C$200,MATCH(E625,카테고리!$A$2:$A$200,0)),"N"))</f>
        <v>N</v>
      </c>
      <c r="H625" s="34" t="s">
        <v>78</v>
      </c>
      <c r="I625" s="34" t="s">
        <v>74</v>
      </c>
      <c r="J625" s="34" t="s">
        <v>75</v>
      </c>
      <c r="K625" s="37"/>
      <c r="L625" s="36" t="n">
        <f aca="false">IF(A625="","",YEAR(A625)*100+MONTH(A625))</f>
        <v>202609</v>
      </c>
    </row>
    <row r="626" customFormat="false" ht="15" hidden="false" customHeight="false" outlineLevel="0" collapsed="false">
      <c r="A626" s="32" t="n">
        <v>46266</v>
      </c>
      <c r="B626" s="33" t="str">
        <f aca="false">IF(A626="","",TEXT(A626,"yyyy-mm"))</f>
        <v>2026-09</v>
      </c>
      <c r="C626" s="34" t="s">
        <v>79</v>
      </c>
      <c r="D626" s="35" t="n">
        <v>140000</v>
      </c>
      <c r="E626" s="34" t="s">
        <v>80</v>
      </c>
      <c r="F626" s="33" t="str">
        <f aca="false">IF(E626="","",IFERROR(INDEX(카테고리!$B$2:$B$200,MATCH(E626,카테고리!$A$2:$A$200,0)),"미분류"))</f>
        <v>고정비</v>
      </c>
      <c r="G626" s="33" t="str">
        <f aca="false">IF(E626="","",IFERROR(INDEX(카테고리!$C$2:$C$200,MATCH(E626,카테고리!$A$2:$A$200,0)),"N"))</f>
        <v>Y</v>
      </c>
      <c r="H626" s="34" t="s">
        <v>81</v>
      </c>
      <c r="I626" s="34" t="s">
        <v>82</v>
      </c>
      <c r="J626" s="34" t="s">
        <v>75</v>
      </c>
      <c r="K626" s="37"/>
      <c r="L626" s="36" t="n">
        <f aca="false">IF(A626="","",YEAR(A626)*100+MONTH(A626))</f>
        <v>202609</v>
      </c>
    </row>
    <row r="627" customFormat="false" ht="15" hidden="false" customHeight="false" outlineLevel="0" collapsed="false">
      <c r="A627" s="32" t="n">
        <v>46266</v>
      </c>
      <c r="B627" s="33" t="str">
        <f aca="false">IF(A627="","",TEXT(A627,"yyyy-mm"))</f>
        <v>2026-09</v>
      </c>
      <c r="C627" s="34" t="s">
        <v>83</v>
      </c>
      <c r="D627" s="35" t="n">
        <v>380000</v>
      </c>
      <c r="E627" s="34" t="s">
        <v>80</v>
      </c>
      <c r="F627" s="33" t="str">
        <f aca="false">IF(E627="","",IFERROR(INDEX(카테고리!$B$2:$B$200,MATCH(E627,카테고리!$A$2:$A$200,0)),"미분류"))</f>
        <v>고정비</v>
      </c>
      <c r="G627" s="33" t="str">
        <f aca="false">IF(E627="","",IFERROR(INDEX(카테고리!$C$2:$C$200,MATCH(E627,카테고리!$A$2:$A$200,0)),"N"))</f>
        <v>Y</v>
      </c>
      <c r="H627" s="34" t="s">
        <v>81</v>
      </c>
      <c r="I627" s="34" t="s">
        <v>82</v>
      </c>
      <c r="J627" s="34" t="s">
        <v>75</v>
      </c>
      <c r="K627" s="37"/>
      <c r="L627" s="36" t="n">
        <f aca="false">IF(A627="","",YEAR(A627)*100+MONTH(A627))</f>
        <v>202609</v>
      </c>
    </row>
    <row r="628" customFormat="false" ht="15" hidden="false" customHeight="false" outlineLevel="0" collapsed="false">
      <c r="A628" s="32" t="n">
        <v>46268</v>
      </c>
      <c r="B628" s="33" t="str">
        <f aca="false">IF(A628="","",TEXT(A628,"yyyy-mm"))</f>
        <v>2026-09</v>
      </c>
      <c r="C628" s="34" t="s">
        <v>154</v>
      </c>
      <c r="D628" s="35" t="n">
        <v>138850</v>
      </c>
      <c r="E628" s="34" t="s">
        <v>126</v>
      </c>
      <c r="F628" s="33" t="str">
        <f aca="false">IF(E628="","",IFERROR(INDEX(카테고리!$B$2:$B$200,MATCH(E628,카테고리!$A$2:$A$200,0)),"미분류"))</f>
        <v>변동비</v>
      </c>
      <c r="G628" s="33" t="str">
        <f aca="false">IF(E628="","",IFERROR(INDEX(카테고리!$C$2:$C$200,MATCH(E628,카테고리!$A$2:$A$200,0)),"N"))</f>
        <v>N</v>
      </c>
      <c r="H628" s="34" t="s">
        <v>78</v>
      </c>
      <c r="I628" s="34" t="s">
        <v>90</v>
      </c>
      <c r="J628" s="34" t="s">
        <v>75</v>
      </c>
      <c r="K628" s="37"/>
      <c r="L628" s="36" t="n">
        <f aca="false">IF(A628="","",YEAR(A628)*100+MONTH(A628))</f>
        <v>202609</v>
      </c>
    </row>
    <row r="629" customFormat="false" ht="15" hidden="false" customHeight="false" outlineLevel="0" collapsed="false">
      <c r="A629" s="32" t="n">
        <v>46268</v>
      </c>
      <c r="B629" s="33" t="str">
        <f aca="false">IF(A629="","",TEXT(A629,"yyyy-mm"))</f>
        <v>2026-09</v>
      </c>
      <c r="C629" s="34" t="s">
        <v>110</v>
      </c>
      <c r="D629" s="35" t="n">
        <v>23900</v>
      </c>
      <c r="E629" s="34" t="s">
        <v>85</v>
      </c>
      <c r="F629" s="33" t="str">
        <f aca="false">IF(E629="","",IFERROR(INDEX(카테고리!$B$2:$B$200,MATCH(E629,카테고리!$A$2:$A$200,0)),"미분류"))</f>
        <v>변동비</v>
      </c>
      <c r="G629" s="33" t="str">
        <f aca="false">IF(E629="","",IFERROR(INDEX(카테고리!$C$2:$C$200,MATCH(E629,카테고리!$A$2:$A$200,0)),"N"))</f>
        <v>Y</v>
      </c>
      <c r="H629" s="34" t="s">
        <v>78</v>
      </c>
      <c r="I629" s="34" t="s">
        <v>107</v>
      </c>
      <c r="J629" s="34" t="s">
        <v>75</v>
      </c>
      <c r="K629" s="37"/>
      <c r="L629" s="36" t="n">
        <f aca="false">IF(A629="","",YEAR(A629)*100+MONTH(A629))</f>
        <v>202609</v>
      </c>
    </row>
    <row r="630" customFormat="false" ht="15" hidden="false" customHeight="false" outlineLevel="0" collapsed="false">
      <c r="A630" s="32" t="n">
        <v>46268</v>
      </c>
      <c r="B630" s="33" t="str">
        <f aca="false">IF(A630="","",TEXT(A630,"yyyy-mm"))</f>
        <v>2026-09</v>
      </c>
      <c r="C630" s="34" t="s">
        <v>94</v>
      </c>
      <c r="D630" s="35" t="n">
        <v>50000</v>
      </c>
      <c r="E630" s="34" t="s">
        <v>85</v>
      </c>
      <c r="F630" s="33" t="str">
        <f aca="false">IF(E630="","",IFERROR(INDEX(카테고리!$B$2:$B$200,MATCH(E630,카테고리!$A$2:$A$200,0)),"미분류"))</f>
        <v>변동비</v>
      </c>
      <c r="G630" s="33" t="str">
        <f aca="false">IF(E630="","",IFERROR(INDEX(카테고리!$C$2:$C$200,MATCH(E630,카테고리!$A$2:$A$200,0)),"N"))</f>
        <v>Y</v>
      </c>
      <c r="H630" s="34" t="s">
        <v>73</v>
      </c>
      <c r="I630" s="34" t="s">
        <v>90</v>
      </c>
      <c r="J630" s="34" t="s">
        <v>75</v>
      </c>
      <c r="K630" s="37"/>
      <c r="L630" s="36" t="n">
        <f aca="false">IF(A630="","",YEAR(A630)*100+MONTH(A630))</f>
        <v>202609</v>
      </c>
    </row>
    <row r="631" customFormat="false" ht="15" hidden="false" customHeight="false" outlineLevel="0" collapsed="false">
      <c r="A631" s="32" t="n">
        <v>46269</v>
      </c>
      <c r="B631" s="33" t="str">
        <f aca="false">IF(A631="","",TEXT(A631,"yyyy-mm"))</f>
        <v>2026-09</v>
      </c>
      <c r="C631" s="34" t="s">
        <v>88</v>
      </c>
      <c r="D631" s="35" t="n">
        <v>49090</v>
      </c>
      <c r="E631" s="34" t="s">
        <v>89</v>
      </c>
      <c r="F631" s="33" t="str">
        <f aca="false">IF(E631="","",IFERROR(INDEX(카테고리!$B$2:$B$200,MATCH(E631,카테고리!$A$2:$A$200,0)),"미분류"))</f>
        <v>변동비</v>
      </c>
      <c r="G631" s="33" t="str">
        <f aca="false">IF(E631="","",IFERROR(INDEX(카테고리!$C$2:$C$200,MATCH(E631,카테고리!$A$2:$A$200,0)),"N"))</f>
        <v>N</v>
      </c>
      <c r="H631" s="34" t="s">
        <v>78</v>
      </c>
      <c r="I631" s="34" t="s">
        <v>90</v>
      </c>
      <c r="J631" s="34" t="s">
        <v>75</v>
      </c>
      <c r="K631" s="37"/>
      <c r="L631" s="36" t="n">
        <f aca="false">IF(A631="","",YEAR(A631)*100+MONTH(A631))</f>
        <v>202609</v>
      </c>
    </row>
    <row r="632" customFormat="false" ht="15" hidden="false" customHeight="false" outlineLevel="0" collapsed="false">
      <c r="A632" s="32" t="n">
        <v>46270</v>
      </c>
      <c r="B632" s="33" t="str">
        <f aca="false">IF(A632="","",TEXT(A632,"yyyy-mm"))</f>
        <v>2026-09</v>
      </c>
      <c r="C632" s="34" t="s">
        <v>96</v>
      </c>
      <c r="D632" s="35" t="n">
        <v>300000</v>
      </c>
      <c r="E632" s="34" t="s">
        <v>97</v>
      </c>
      <c r="F632" s="33" t="str">
        <f aca="false">IF(E632="","",IFERROR(INDEX(카테고리!$B$2:$B$200,MATCH(E632,카테고리!$A$2:$A$200,0)),"미분류"))</f>
        <v>자본이동</v>
      </c>
      <c r="G632" s="33" t="str">
        <f aca="false">IF(E632="","",IFERROR(INDEX(카테고리!$C$2:$C$200,MATCH(E632,카테고리!$A$2:$A$200,0)),"N"))</f>
        <v>N</v>
      </c>
      <c r="H632" s="34" t="s">
        <v>78</v>
      </c>
      <c r="I632" s="34" t="s">
        <v>98</v>
      </c>
      <c r="J632" s="34" t="s">
        <v>75</v>
      </c>
      <c r="K632" s="37"/>
      <c r="L632" s="36" t="n">
        <f aca="false">IF(A632="","",YEAR(A632)*100+MONTH(A632))</f>
        <v>202609</v>
      </c>
    </row>
    <row r="633" customFormat="false" ht="15" hidden="false" customHeight="false" outlineLevel="0" collapsed="false">
      <c r="A633" s="32" t="n">
        <v>46270</v>
      </c>
      <c r="B633" s="33" t="str">
        <f aca="false">IF(A633="","",TEXT(A633,"yyyy-mm"))</f>
        <v>2026-09</v>
      </c>
      <c r="C633" s="34" t="s">
        <v>99</v>
      </c>
      <c r="D633" s="35" t="n">
        <v>67700</v>
      </c>
      <c r="E633" s="34" t="s">
        <v>100</v>
      </c>
      <c r="F633" s="33" t="str">
        <f aca="false">IF(E633="","",IFERROR(INDEX(카테고리!$B$2:$B$200,MATCH(E633,카테고리!$A$2:$A$200,0)),"미분류"))</f>
        <v>고정비</v>
      </c>
      <c r="G633" s="33" t="str">
        <f aca="false">IF(E633="","",IFERROR(INDEX(카테고리!$C$2:$C$200,MATCH(E633,카테고리!$A$2:$A$200,0)),"N"))</f>
        <v>Y</v>
      </c>
      <c r="H633" s="34" t="s">
        <v>78</v>
      </c>
      <c r="I633" s="34" t="s">
        <v>98</v>
      </c>
      <c r="J633" s="34" t="s">
        <v>75</v>
      </c>
      <c r="K633" s="37"/>
      <c r="L633" s="36" t="n">
        <f aca="false">IF(A633="","",YEAR(A633)*100+MONTH(A633))</f>
        <v>202609</v>
      </c>
    </row>
    <row r="634" customFormat="false" ht="15" hidden="false" customHeight="false" outlineLevel="0" collapsed="false">
      <c r="A634" s="32" t="n">
        <v>46270</v>
      </c>
      <c r="B634" s="33" t="str">
        <f aca="false">IF(A634="","",TEXT(A634,"yyyy-mm"))</f>
        <v>2026-09</v>
      </c>
      <c r="C634" s="34" t="s">
        <v>101</v>
      </c>
      <c r="D634" s="35" t="n">
        <v>600000</v>
      </c>
      <c r="E634" s="34" t="s">
        <v>97</v>
      </c>
      <c r="F634" s="33" t="str">
        <f aca="false">IF(E634="","",IFERROR(INDEX(카테고리!$B$2:$B$200,MATCH(E634,카테고리!$A$2:$A$200,0)),"미분류"))</f>
        <v>자본이동</v>
      </c>
      <c r="G634" s="33" t="str">
        <f aca="false">IF(E634="","",IFERROR(INDEX(카테고리!$C$2:$C$200,MATCH(E634,카테고리!$A$2:$A$200,0)),"N"))</f>
        <v>N</v>
      </c>
      <c r="H634" s="34" t="s">
        <v>81</v>
      </c>
      <c r="I634" s="34" t="s">
        <v>98</v>
      </c>
      <c r="J634" s="34" t="s">
        <v>75</v>
      </c>
      <c r="K634" s="37"/>
      <c r="L634" s="36" t="n">
        <f aca="false">IF(A634="","",YEAR(A634)*100+MONTH(A634))</f>
        <v>202609</v>
      </c>
    </row>
    <row r="635" customFormat="false" ht="15" hidden="false" customHeight="false" outlineLevel="0" collapsed="false">
      <c r="A635" s="32" t="n">
        <v>46270</v>
      </c>
      <c r="B635" s="33" t="str">
        <f aca="false">IF(A635="","",TEXT(A635,"yyyy-mm"))</f>
        <v>2026-09</v>
      </c>
      <c r="C635" s="34" t="s">
        <v>102</v>
      </c>
      <c r="D635" s="35" t="n">
        <v>983000</v>
      </c>
      <c r="E635" s="34" t="s">
        <v>100</v>
      </c>
      <c r="F635" s="33" t="str">
        <f aca="false">IF(E635="","",IFERROR(INDEX(카테고리!$B$2:$B$200,MATCH(E635,카테고리!$A$2:$A$200,0)),"미분류"))</f>
        <v>고정비</v>
      </c>
      <c r="G635" s="33" t="str">
        <f aca="false">IF(E635="","",IFERROR(INDEX(카테고리!$C$2:$C$200,MATCH(E635,카테고리!$A$2:$A$200,0)),"N"))</f>
        <v>Y</v>
      </c>
      <c r="H635" s="34" t="s">
        <v>81</v>
      </c>
      <c r="I635" s="34" t="s">
        <v>98</v>
      </c>
      <c r="J635" s="34" t="s">
        <v>75</v>
      </c>
      <c r="K635" s="37"/>
      <c r="L635" s="36" t="n">
        <f aca="false">IF(A635="","",YEAR(A635)*100+MONTH(A635))</f>
        <v>202609</v>
      </c>
    </row>
    <row r="636" customFormat="false" ht="15" hidden="false" customHeight="false" outlineLevel="0" collapsed="false">
      <c r="A636" s="32" t="n">
        <v>46271</v>
      </c>
      <c r="B636" s="33" t="str">
        <f aca="false">IF(A636="","",TEXT(A636,"yyyy-mm"))</f>
        <v>2026-09</v>
      </c>
      <c r="C636" s="34" t="s">
        <v>103</v>
      </c>
      <c r="D636" s="35" t="n">
        <v>77950</v>
      </c>
      <c r="E636" s="34" t="s">
        <v>92</v>
      </c>
      <c r="F636" s="33" t="str">
        <f aca="false">IF(E636="","",IFERROR(INDEX(카테고리!$B$2:$B$200,MATCH(E636,카테고리!$A$2:$A$200,0)),"미분류"))</f>
        <v>변동비</v>
      </c>
      <c r="G636" s="33" t="str">
        <f aca="false">IF(E636="","",IFERROR(INDEX(카테고리!$C$2:$C$200,MATCH(E636,카테고리!$A$2:$A$200,0)),"N"))</f>
        <v>Y</v>
      </c>
      <c r="H636" s="34" t="s">
        <v>81</v>
      </c>
      <c r="I636" s="34" t="s">
        <v>82</v>
      </c>
      <c r="J636" s="34" t="s">
        <v>75</v>
      </c>
      <c r="K636" s="37"/>
      <c r="L636" s="36" t="n">
        <f aca="false">IF(A636="","",YEAR(A636)*100+MONTH(A636))</f>
        <v>202609</v>
      </c>
    </row>
    <row r="637" customFormat="false" ht="15" hidden="false" customHeight="false" outlineLevel="0" collapsed="false">
      <c r="A637" s="32" t="n">
        <v>46272</v>
      </c>
      <c r="B637" s="33" t="str">
        <f aca="false">IF(A637="","",TEXT(A637,"yyyy-mm"))</f>
        <v>2026-09</v>
      </c>
      <c r="C637" s="34" t="s">
        <v>104</v>
      </c>
      <c r="D637" s="35" t="n">
        <v>17000</v>
      </c>
      <c r="E637" s="34" t="s">
        <v>105</v>
      </c>
      <c r="F637" s="33" t="str">
        <f aca="false">IF(E637="","",IFERROR(INDEX(카테고리!$B$2:$B$200,MATCH(E637,카테고리!$A$2:$A$200,0)),"미분류"))</f>
        <v>고정비</v>
      </c>
      <c r="G637" s="33" t="str">
        <f aca="false">IF(E637="","",IFERROR(INDEX(카테고리!$C$2:$C$200,MATCH(E637,카테고리!$A$2:$A$200,0)),"N"))</f>
        <v>N</v>
      </c>
      <c r="H637" s="34" t="s">
        <v>81</v>
      </c>
      <c r="I637" s="34" t="s">
        <v>82</v>
      </c>
      <c r="J637" s="34" t="s">
        <v>75</v>
      </c>
      <c r="K637" s="37"/>
      <c r="L637" s="36" t="n">
        <f aca="false">IF(A637="","",YEAR(A637)*100+MONTH(A637))</f>
        <v>202609</v>
      </c>
    </row>
    <row r="638" customFormat="false" ht="15" hidden="false" customHeight="false" outlineLevel="0" collapsed="false">
      <c r="A638" s="32" t="n">
        <v>46272</v>
      </c>
      <c r="B638" s="33" t="str">
        <f aca="false">IF(A638="","",TEXT(A638,"yyyy-mm"))</f>
        <v>2026-09</v>
      </c>
      <c r="C638" s="34" t="s">
        <v>154</v>
      </c>
      <c r="D638" s="35" t="n">
        <v>143090</v>
      </c>
      <c r="E638" s="34" t="s">
        <v>126</v>
      </c>
      <c r="F638" s="33" t="str">
        <f aca="false">IF(E638="","",IFERROR(INDEX(카테고리!$B$2:$B$200,MATCH(E638,카테고리!$A$2:$A$200,0)),"미분류"))</f>
        <v>변동비</v>
      </c>
      <c r="G638" s="33" t="str">
        <f aca="false">IF(E638="","",IFERROR(INDEX(카테고리!$C$2:$C$200,MATCH(E638,카테고리!$A$2:$A$200,0)),"N"))</f>
        <v>N</v>
      </c>
      <c r="H638" s="34" t="s">
        <v>73</v>
      </c>
      <c r="I638" s="34" t="s">
        <v>90</v>
      </c>
      <c r="J638" s="34" t="s">
        <v>75</v>
      </c>
      <c r="K638" s="37"/>
      <c r="L638" s="36" t="n">
        <f aca="false">IF(A638="","",YEAR(A638)*100+MONTH(A638))</f>
        <v>202609</v>
      </c>
    </row>
    <row r="639" customFormat="false" ht="15" hidden="false" customHeight="false" outlineLevel="0" collapsed="false">
      <c r="A639" s="32" t="n">
        <v>46272</v>
      </c>
      <c r="B639" s="33" t="str">
        <f aca="false">IF(A639="","",TEXT(A639,"yyyy-mm"))</f>
        <v>2026-09</v>
      </c>
      <c r="C639" s="34" t="s">
        <v>106</v>
      </c>
      <c r="D639" s="35" t="n">
        <v>14900</v>
      </c>
      <c r="E639" s="34" t="s">
        <v>105</v>
      </c>
      <c r="F639" s="33" t="str">
        <f aca="false">IF(E639="","",IFERROR(INDEX(카테고리!$B$2:$B$200,MATCH(E639,카테고리!$A$2:$A$200,0)),"미분류"))</f>
        <v>고정비</v>
      </c>
      <c r="G639" s="33" t="str">
        <f aca="false">IF(E639="","",IFERROR(INDEX(카테고리!$C$2:$C$200,MATCH(E639,카테고리!$A$2:$A$200,0)),"N"))</f>
        <v>N</v>
      </c>
      <c r="H639" s="34" t="s">
        <v>78</v>
      </c>
      <c r="I639" s="34" t="s">
        <v>107</v>
      </c>
      <c r="J639" s="34" t="s">
        <v>75</v>
      </c>
      <c r="K639" s="37"/>
      <c r="L639" s="36" t="n">
        <f aca="false">IF(A639="","",YEAR(A639)*100+MONTH(A639))</f>
        <v>202609</v>
      </c>
    </row>
    <row r="640" customFormat="false" ht="15" hidden="false" customHeight="false" outlineLevel="0" collapsed="false">
      <c r="A640" s="32" t="n">
        <v>46272</v>
      </c>
      <c r="B640" s="33" t="str">
        <f aca="false">IF(A640="","",TEXT(A640,"yyyy-mm"))</f>
        <v>2026-09</v>
      </c>
      <c r="C640" s="34" t="s">
        <v>108</v>
      </c>
      <c r="D640" s="35" t="n">
        <v>7890</v>
      </c>
      <c r="E640" s="34" t="s">
        <v>105</v>
      </c>
      <c r="F640" s="33" t="str">
        <f aca="false">IF(E640="","",IFERROR(INDEX(카테고리!$B$2:$B$200,MATCH(E640,카테고리!$A$2:$A$200,0)),"미분류"))</f>
        <v>고정비</v>
      </c>
      <c r="G640" s="33" t="str">
        <f aca="false">IF(E640="","",IFERROR(INDEX(카테고리!$C$2:$C$200,MATCH(E640,카테고리!$A$2:$A$200,0)),"N"))</f>
        <v>N</v>
      </c>
      <c r="H640" s="34" t="s">
        <v>73</v>
      </c>
      <c r="I640" s="34" t="s">
        <v>90</v>
      </c>
      <c r="J640" s="34" t="s">
        <v>75</v>
      </c>
      <c r="K640" s="37"/>
      <c r="L640" s="36" t="n">
        <f aca="false">IF(A640="","",YEAR(A640)*100+MONTH(A640))</f>
        <v>202609</v>
      </c>
    </row>
    <row r="641" customFormat="false" ht="15" hidden="false" customHeight="false" outlineLevel="0" collapsed="false">
      <c r="A641" s="32" t="n">
        <v>46273</v>
      </c>
      <c r="B641" s="33" t="str">
        <f aca="false">IF(A641="","",TEXT(A641,"yyyy-mm"))</f>
        <v>2026-09</v>
      </c>
      <c r="C641" s="34" t="s">
        <v>148</v>
      </c>
      <c r="D641" s="35" t="n">
        <v>66850</v>
      </c>
      <c r="E641" s="34" t="s">
        <v>92</v>
      </c>
      <c r="F641" s="33" t="str">
        <f aca="false">IF(E641="","",IFERROR(INDEX(카테고리!$B$2:$B$200,MATCH(E641,카테고리!$A$2:$A$200,0)),"미분류"))</f>
        <v>변동비</v>
      </c>
      <c r="G641" s="33" t="str">
        <f aca="false">IF(E641="","",IFERROR(INDEX(카테고리!$C$2:$C$200,MATCH(E641,카테고리!$A$2:$A$200,0)),"N"))</f>
        <v>Y</v>
      </c>
      <c r="H641" s="34" t="s">
        <v>81</v>
      </c>
      <c r="I641" s="34" t="s">
        <v>82</v>
      </c>
      <c r="J641" s="34" t="s">
        <v>75</v>
      </c>
      <c r="K641" s="37"/>
      <c r="L641" s="36" t="n">
        <f aca="false">IF(A641="","",YEAR(A641)*100+MONTH(A641))</f>
        <v>202609</v>
      </c>
    </row>
    <row r="642" customFormat="false" ht="15" hidden="false" customHeight="false" outlineLevel="0" collapsed="false">
      <c r="A642" s="32" t="n">
        <v>46273</v>
      </c>
      <c r="B642" s="33" t="str">
        <f aca="false">IF(A642="","",TEXT(A642,"yyyy-mm"))</f>
        <v>2026-09</v>
      </c>
      <c r="C642" s="34" t="s">
        <v>95</v>
      </c>
      <c r="D642" s="35" t="n">
        <v>42920</v>
      </c>
      <c r="E642" s="34" t="s">
        <v>89</v>
      </c>
      <c r="F642" s="33" t="str">
        <f aca="false">IF(E642="","",IFERROR(INDEX(카테고리!$B$2:$B$200,MATCH(E642,카테고리!$A$2:$A$200,0)),"미분류"))</f>
        <v>변동비</v>
      </c>
      <c r="G642" s="33" t="str">
        <f aca="false">IF(E642="","",IFERROR(INDEX(카테고리!$C$2:$C$200,MATCH(E642,카테고리!$A$2:$A$200,0)),"N"))</f>
        <v>N</v>
      </c>
      <c r="H642" s="34" t="s">
        <v>73</v>
      </c>
      <c r="I642" s="34" t="s">
        <v>107</v>
      </c>
      <c r="J642" s="34" t="s">
        <v>75</v>
      </c>
      <c r="K642" s="37"/>
      <c r="L642" s="36" t="n">
        <f aca="false">IF(A642="","",YEAR(A642)*100+MONTH(A642))</f>
        <v>202609</v>
      </c>
    </row>
    <row r="643" customFormat="false" ht="15" hidden="false" customHeight="false" outlineLevel="0" collapsed="false">
      <c r="A643" s="32" t="n">
        <v>46275</v>
      </c>
      <c r="B643" s="33" t="str">
        <f aca="false">IF(A643="","",TEXT(A643,"yyyy-mm"))</f>
        <v>2026-09</v>
      </c>
      <c r="C643" s="37" t="s">
        <v>111</v>
      </c>
      <c r="D643" s="35" t="n">
        <v>68000</v>
      </c>
      <c r="E643" s="34" t="s">
        <v>112</v>
      </c>
      <c r="F643" s="33" t="str">
        <f aca="false">IF(E643="","",IFERROR(INDEX(카테고리!$B$2:$B$200,MATCH(E643,카테고리!$A$2:$A$200,0)),"미분류"))</f>
        <v>고정비</v>
      </c>
      <c r="G643" s="33" t="str">
        <f aca="false">IF(E643="","",IFERROR(INDEX(카테고리!$C$2:$C$200,MATCH(E643,카테고리!$A$2:$A$200,0)),"N"))</f>
        <v>Y</v>
      </c>
      <c r="H643" s="34" t="s">
        <v>81</v>
      </c>
      <c r="I643" s="34" t="s">
        <v>98</v>
      </c>
      <c r="J643" s="34" t="s">
        <v>75</v>
      </c>
      <c r="K643" s="37"/>
      <c r="L643" s="36" t="n">
        <f aca="false">IF(A643="","",YEAR(A643)*100+MONTH(A643))</f>
        <v>202609</v>
      </c>
    </row>
    <row r="644" customFormat="false" ht="15" hidden="false" customHeight="false" outlineLevel="0" collapsed="false">
      <c r="A644" s="32" t="n">
        <v>46275</v>
      </c>
      <c r="B644" s="33" t="str">
        <f aca="false">IF(A644="","",TEXT(A644,"yyyy-mm"))</f>
        <v>2026-09</v>
      </c>
      <c r="C644" s="34" t="s">
        <v>88</v>
      </c>
      <c r="D644" s="35" t="n">
        <v>38710</v>
      </c>
      <c r="E644" s="34" t="s">
        <v>89</v>
      </c>
      <c r="F644" s="33" t="str">
        <f aca="false">IF(E644="","",IFERROR(INDEX(카테고리!$B$2:$B$200,MATCH(E644,카테고리!$A$2:$A$200,0)),"미분류"))</f>
        <v>변동비</v>
      </c>
      <c r="G644" s="33" t="str">
        <f aca="false">IF(E644="","",IFERROR(INDEX(카테고리!$C$2:$C$200,MATCH(E644,카테고리!$A$2:$A$200,0)),"N"))</f>
        <v>N</v>
      </c>
      <c r="H644" s="34" t="s">
        <v>81</v>
      </c>
      <c r="I644" s="34" t="s">
        <v>107</v>
      </c>
      <c r="J644" s="34" t="s">
        <v>75</v>
      </c>
      <c r="K644" s="37"/>
      <c r="L644" s="36" t="n">
        <f aca="false">IF(A644="","",YEAR(A644)*100+MONTH(A644))</f>
        <v>202609</v>
      </c>
    </row>
    <row r="645" customFormat="false" ht="15" hidden="false" customHeight="false" outlineLevel="0" collapsed="false">
      <c r="A645" s="32" t="n">
        <v>46275</v>
      </c>
      <c r="B645" s="33" t="str">
        <f aca="false">IF(A645="","",TEXT(A645,"yyyy-mm"))</f>
        <v>2026-09</v>
      </c>
      <c r="C645" s="34" t="s">
        <v>113</v>
      </c>
      <c r="D645" s="35" t="n">
        <v>172000</v>
      </c>
      <c r="E645" s="34" t="s">
        <v>112</v>
      </c>
      <c r="F645" s="33" t="str">
        <f aca="false">IF(E645="","",IFERROR(INDEX(카테고리!$B$2:$B$200,MATCH(E645,카테고리!$A$2:$A$200,0)),"미분류"))</f>
        <v>고정비</v>
      </c>
      <c r="G645" s="33" t="str">
        <f aca="false">IF(E645="","",IFERROR(INDEX(카테고리!$C$2:$C$200,MATCH(E645,카테고리!$A$2:$A$200,0)),"N"))</f>
        <v>Y</v>
      </c>
      <c r="H645" s="34" t="s">
        <v>78</v>
      </c>
      <c r="I645" s="34" t="s">
        <v>98</v>
      </c>
      <c r="J645" s="34" t="s">
        <v>75</v>
      </c>
      <c r="K645" s="37"/>
      <c r="L645" s="36" t="n">
        <f aca="false">IF(A645="","",YEAR(A645)*100+MONTH(A645))</f>
        <v>202609</v>
      </c>
    </row>
    <row r="646" customFormat="false" ht="15" hidden="false" customHeight="false" outlineLevel="0" collapsed="false">
      <c r="A646" s="32" t="n">
        <v>46275</v>
      </c>
      <c r="B646" s="33" t="str">
        <f aca="false">IF(A646="","",TEXT(A646,"yyyy-mm"))</f>
        <v>2026-09</v>
      </c>
      <c r="C646" s="34" t="s">
        <v>110</v>
      </c>
      <c r="D646" s="35" t="n">
        <v>14350</v>
      </c>
      <c r="E646" s="34" t="s">
        <v>85</v>
      </c>
      <c r="F646" s="33" t="str">
        <f aca="false">IF(E646="","",IFERROR(INDEX(카테고리!$B$2:$B$200,MATCH(E646,카테고리!$A$2:$A$200,0)),"미분류"))</f>
        <v>변동비</v>
      </c>
      <c r="G646" s="33" t="str">
        <f aca="false">IF(E646="","",IFERROR(INDEX(카테고리!$C$2:$C$200,MATCH(E646,카테고리!$A$2:$A$200,0)),"N"))</f>
        <v>Y</v>
      </c>
      <c r="H646" s="34" t="s">
        <v>78</v>
      </c>
      <c r="I646" s="34" t="s">
        <v>107</v>
      </c>
      <c r="J646" s="34" t="s">
        <v>75</v>
      </c>
      <c r="K646" s="37"/>
      <c r="L646" s="36" t="n">
        <f aca="false">IF(A646="","",YEAR(A646)*100+MONTH(A646))</f>
        <v>202609</v>
      </c>
    </row>
    <row r="647" customFormat="false" ht="15" hidden="false" customHeight="false" outlineLevel="0" collapsed="false">
      <c r="A647" s="32" t="n">
        <v>46275</v>
      </c>
      <c r="B647" s="33" t="str">
        <f aca="false">IF(A647="","",TEXT(A647,"yyyy-mm"))</f>
        <v>2026-09</v>
      </c>
      <c r="C647" s="34" t="s">
        <v>114</v>
      </c>
      <c r="D647" s="35" t="n">
        <v>148000</v>
      </c>
      <c r="E647" s="34" t="s">
        <v>112</v>
      </c>
      <c r="F647" s="33" t="str">
        <f aca="false">IF(E647="","",IFERROR(INDEX(카테고리!$B$2:$B$200,MATCH(E647,카테고리!$A$2:$A$200,0)),"미분류"))</f>
        <v>고정비</v>
      </c>
      <c r="G647" s="33" t="str">
        <f aca="false">IF(E647="","",IFERROR(INDEX(카테고리!$C$2:$C$200,MATCH(E647,카테고리!$A$2:$A$200,0)),"N"))</f>
        <v>Y</v>
      </c>
      <c r="H647" s="34" t="s">
        <v>73</v>
      </c>
      <c r="I647" s="34" t="s">
        <v>98</v>
      </c>
      <c r="J647" s="34" t="s">
        <v>75</v>
      </c>
      <c r="K647" s="37"/>
      <c r="L647" s="36" t="n">
        <f aca="false">IF(A647="","",YEAR(A647)*100+MONTH(A647))</f>
        <v>202609</v>
      </c>
    </row>
    <row r="648" customFormat="false" ht="15" hidden="false" customHeight="false" outlineLevel="0" collapsed="false">
      <c r="A648" s="32" t="n">
        <v>46276</v>
      </c>
      <c r="B648" s="33" t="str">
        <f aca="false">IF(A648="","",TEXT(A648,"yyyy-mm"))</f>
        <v>2026-09</v>
      </c>
      <c r="C648" s="34" t="s">
        <v>93</v>
      </c>
      <c r="D648" s="35" t="n">
        <v>62360</v>
      </c>
      <c r="E648" s="34" t="s">
        <v>92</v>
      </c>
      <c r="F648" s="33" t="str">
        <f aca="false">IF(E648="","",IFERROR(INDEX(카테고리!$B$2:$B$200,MATCH(E648,카테고리!$A$2:$A$200,0)),"미분류"))</f>
        <v>변동비</v>
      </c>
      <c r="G648" s="33" t="str">
        <f aca="false">IF(E648="","",IFERROR(INDEX(카테고리!$C$2:$C$200,MATCH(E648,카테고리!$A$2:$A$200,0)),"N"))</f>
        <v>Y</v>
      </c>
      <c r="H648" s="34" t="s">
        <v>81</v>
      </c>
      <c r="I648" s="34" t="s">
        <v>82</v>
      </c>
      <c r="J648" s="34" t="s">
        <v>75</v>
      </c>
      <c r="K648" s="37"/>
      <c r="L648" s="36" t="n">
        <f aca="false">IF(A648="","",YEAR(A648)*100+MONTH(A648))</f>
        <v>202609</v>
      </c>
    </row>
    <row r="649" customFormat="false" ht="15" hidden="false" customHeight="false" outlineLevel="0" collapsed="false">
      <c r="A649" s="32" t="n">
        <v>46277</v>
      </c>
      <c r="B649" s="33" t="str">
        <f aca="false">IF(A649="","",TEXT(A649,"yyyy-mm"))</f>
        <v>2026-09</v>
      </c>
      <c r="C649" s="34" t="s">
        <v>148</v>
      </c>
      <c r="D649" s="35" t="n">
        <v>111450</v>
      </c>
      <c r="E649" s="34" t="s">
        <v>92</v>
      </c>
      <c r="F649" s="33" t="str">
        <f aca="false">IF(E649="","",IFERROR(INDEX(카테고리!$B$2:$B$200,MATCH(E649,카테고리!$A$2:$A$200,0)),"미분류"))</f>
        <v>변동비</v>
      </c>
      <c r="G649" s="33" t="str">
        <f aca="false">IF(E649="","",IFERROR(INDEX(카테고리!$C$2:$C$200,MATCH(E649,카테고리!$A$2:$A$200,0)),"N"))</f>
        <v>Y</v>
      </c>
      <c r="H649" s="34" t="s">
        <v>81</v>
      </c>
      <c r="I649" s="34" t="s">
        <v>82</v>
      </c>
      <c r="J649" s="34" t="s">
        <v>75</v>
      </c>
      <c r="K649" s="37"/>
      <c r="L649" s="36" t="n">
        <f aca="false">IF(A649="","",YEAR(A649)*100+MONTH(A649))</f>
        <v>202609</v>
      </c>
    </row>
    <row r="650" customFormat="false" ht="15" hidden="false" customHeight="false" outlineLevel="0" collapsed="false">
      <c r="A650" s="32" t="n">
        <v>46277</v>
      </c>
      <c r="B650" s="33" t="str">
        <f aca="false">IF(A650="","",TEXT(A650,"yyyy-mm"))</f>
        <v>2026-09</v>
      </c>
      <c r="C650" s="34" t="s">
        <v>128</v>
      </c>
      <c r="D650" s="35" t="n">
        <v>59820</v>
      </c>
      <c r="E650" s="34" t="s">
        <v>116</v>
      </c>
      <c r="F650" s="33" t="str">
        <f aca="false">IF(E650="","",IFERROR(INDEX(카테고리!$B$2:$B$200,MATCH(E650,카테고리!$A$2:$A$200,0)),"미분류"))</f>
        <v>변동비</v>
      </c>
      <c r="G650" s="33" t="str">
        <f aca="false">IF(E650="","",IFERROR(INDEX(카테고리!$C$2:$C$200,MATCH(E650,카테고리!$A$2:$A$200,0)),"N"))</f>
        <v>Y</v>
      </c>
      <c r="H650" s="34" t="s">
        <v>81</v>
      </c>
      <c r="I650" s="34" t="s">
        <v>82</v>
      </c>
      <c r="J650" s="34" t="s">
        <v>75</v>
      </c>
      <c r="K650" s="37"/>
      <c r="L650" s="36" t="n">
        <f aca="false">IF(A650="","",YEAR(A650)*100+MONTH(A650))</f>
        <v>202609</v>
      </c>
    </row>
    <row r="651" customFormat="false" ht="15" hidden="false" customHeight="false" outlineLevel="0" collapsed="false">
      <c r="A651" s="32" t="n">
        <v>46278</v>
      </c>
      <c r="B651" s="33" t="str">
        <f aca="false">IF(A651="","",TEXT(A651,"yyyy-mm"))</f>
        <v>2026-09</v>
      </c>
      <c r="C651" s="37" t="s">
        <v>84</v>
      </c>
      <c r="D651" s="35" t="n">
        <v>84440</v>
      </c>
      <c r="E651" s="34" t="s">
        <v>85</v>
      </c>
      <c r="F651" s="33" t="str">
        <f aca="false">IF(E651="","",IFERROR(INDEX(카테고리!$B$2:$B$200,MATCH(E651,카테고리!$A$2:$A$200,0)),"미분류"))</f>
        <v>변동비</v>
      </c>
      <c r="G651" s="33" t="str">
        <f aca="false">IF(E651="","",IFERROR(INDEX(카테고리!$C$2:$C$200,MATCH(E651,카테고리!$A$2:$A$200,0)),"N"))</f>
        <v>Y</v>
      </c>
      <c r="H651" s="34" t="s">
        <v>81</v>
      </c>
      <c r="I651" s="34" t="s">
        <v>82</v>
      </c>
      <c r="J651" s="34" t="s">
        <v>75</v>
      </c>
      <c r="K651" s="37"/>
      <c r="L651" s="36" t="n">
        <f aca="false">IF(A651="","",YEAR(A651)*100+MONTH(A651))</f>
        <v>202609</v>
      </c>
    </row>
    <row r="652" customFormat="false" ht="15" hidden="false" customHeight="false" outlineLevel="0" collapsed="false">
      <c r="A652" s="32" t="n">
        <v>46278</v>
      </c>
      <c r="B652" s="33" t="str">
        <f aca="false">IF(A652="","",TEXT(A652,"yyyy-mm"))</f>
        <v>2026-09</v>
      </c>
      <c r="C652" s="34" t="s">
        <v>128</v>
      </c>
      <c r="D652" s="35" t="n">
        <v>25330</v>
      </c>
      <c r="E652" s="34" t="s">
        <v>116</v>
      </c>
      <c r="F652" s="33" t="str">
        <f aca="false">IF(E652="","",IFERROR(INDEX(카테고리!$B$2:$B$200,MATCH(E652,카테고리!$A$2:$A$200,0)),"미분류"))</f>
        <v>변동비</v>
      </c>
      <c r="G652" s="33" t="str">
        <f aca="false">IF(E652="","",IFERROR(INDEX(카테고리!$C$2:$C$200,MATCH(E652,카테고리!$A$2:$A$200,0)),"N"))</f>
        <v>Y</v>
      </c>
      <c r="H652" s="34" t="s">
        <v>81</v>
      </c>
      <c r="I652" s="34" t="s">
        <v>82</v>
      </c>
      <c r="J652" s="34" t="s">
        <v>75</v>
      </c>
      <c r="K652" s="37"/>
      <c r="L652" s="36" t="n">
        <f aca="false">IF(A652="","",YEAR(A652)*100+MONTH(A652))</f>
        <v>202609</v>
      </c>
    </row>
    <row r="653" customFormat="false" ht="15" hidden="false" customHeight="false" outlineLevel="0" collapsed="false">
      <c r="A653" s="32" t="n">
        <v>46280</v>
      </c>
      <c r="B653" s="33" t="str">
        <f aca="false">IF(A653="","",TEXT(A653,"yyyy-mm"))</f>
        <v>2026-09</v>
      </c>
      <c r="C653" s="37" t="s">
        <v>84</v>
      </c>
      <c r="D653" s="35" t="n">
        <v>88990</v>
      </c>
      <c r="E653" s="34" t="s">
        <v>85</v>
      </c>
      <c r="F653" s="33" t="str">
        <f aca="false">IF(E653="","",IFERROR(INDEX(카테고리!$B$2:$B$200,MATCH(E653,카테고리!$A$2:$A$200,0)),"미분류"))</f>
        <v>변동비</v>
      </c>
      <c r="G653" s="33" t="str">
        <f aca="false">IF(E653="","",IFERROR(INDEX(카테고리!$C$2:$C$200,MATCH(E653,카테고리!$A$2:$A$200,0)),"N"))</f>
        <v>Y</v>
      </c>
      <c r="H653" s="34" t="s">
        <v>81</v>
      </c>
      <c r="I653" s="34" t="s">
        <v>82</v>
      </c>
      <c r="J653" s="34" t="s">
        <v>75</v>
      </c>
      <c r="K653" s="37"/>
      <c r="L653" s="36" t="n">
        <f aca="false">IF(A653="","",YEAR(A653)*100+MONTH(A653))</f>
        <v>202609</v>
      </c>
    </row>
    <row r="654" customFormat="false" ht="15" hidden="false" customHeight="false" outlineLevel="0" collapsed="false">
      <c r="A654" s="32" t="n">
        <v>46280</v>
      </c>
      <c r="B654" s="33" t="str">
        <f aca="false">IF(A654="","",TEXT(A654,"yyyy-mm"))</f>
        <v>2026-09</v>
      </c>
      <c r="C654" s="34" t="s">
        <v>123</v>
      </c>
      <c r="D654" s="35" t="n">
        <v>59360</v>
      </c>
      <c r="E654" s="34" t="s">
        <v>124</v>
      </c>
      <c r="F654" s="33" t="str">
        <f aca="false">IF(E654="","",IFERROR(INDEX(카테고리!$B$2:$B$200,MATCH(E654,카테고리!$A$2:$A$200,0)),"미분류"))</f>
        <v>변동비</v>
      </c>
      <c r="G654" s="33" t="str">
        <f aca="false">IF(E654="","",IFERROR(INDEX(카테고리!$C$2:$C$200,MATCH(E654,카테고리!$A$2:$A$200,0)),"N"))</f>
        <v>N</v>
      </c>
      <c r="H654" s="34" t="s">
        <v>81</v>
      </c>
      <c r="I654" s="34" t="s">
        <v>90</v>
      </c>
      <c r="J654" s="34" t="s">
        <v>75</v>
      </c>
      <c r="K654" s="37"/>
      <c r="L654" s="36" t="n">
        <f aca="false">IF(A654="","",YEAR(A654)*100+MONTH(A654))</f>
        <v>202609</v>
      </c>
    </row>
    <row r="655" customFormat="false" ht="15" hidden="false" customHeight="false" outlineLevel="0" collapsed="false">
      <c r="A655" s="32" t="n">
        <v>46280</v>
      </c>
      <c r="B655" s="33" t="str">
        <f aca="false">IF(A655="","",TEXT(A655,"yyyy-mm"))</f>
        <v>2026-09</v>
      </c>
      <c r="C655" s="34" t="s">
        <v>155</v>
      </c>
      <c r="D655" s="35" t="n">
        <v>156000</v>
      </c>
      <c r="E655" s="34" t="s">
        <v>144</v>
      </c>
      <c r="F655" s="33" t="str">
        <f aca="false">IF(E655="","",IFERROR(INDEX(카테고리!$B$2:$B$200,MATCH(E655,카테고리!$A$2:$A$200,0)),"미분류"))</f>
        <v>소득</v>
      </c>
      <c r="G655" s="33" t="str">
        <f aca="false">IF(E655="","",IFERROR(INDEX(카테고리!$C$2:$C$200,MATCH(E655,카테고리!$A$2:$A$200,0)),"N"))</f>
        <v>N</v>
      </c>
      <c r="H655" s="34" t="s">
        <v>78</v>
      </c>
      <c r="I655" s="34" t="s">
        <v>131</v>
      </c>
      <c r="J655" s="34" t="s">
        <v>75</v>
      </c>
      <c r="K655" s="37"/>
      <c r="L655" s="36" t="n">
        <f aca="false">IF(A655="","",YEAR(A655)*100+MONTH(A655))</f>
        <v>202609</v>
      </c>
    </row>
    <row r="656" customFormat="false" ht="15" hidden="false" customHeight="false" outlineLevel="0" collapsed="false">
      <c r="A656" s="32" t="n">
        <v>46280</v>
      </c>
      <c r="B656" s="33" t="str">
        <f aca="false">IF(A656="","",TEXT(A656,"yyyy-mm"))</f>
        <v>2026-09</v>
      </c>
      <c r="C656" s="34" t="s">
        <v>95</v>
      </c>
      <c r="D656" s="35" t="n">
        <v>51470</v>
      </c>
      <c r="E656" s="34" t="s">
        <v>89</v>
      </c>
      <c r="F656" s="33" t="str">
        <f aca="false">IF(E656="","",IFERROR(INDEX(카테고리!$B$2:$B$200,MATCH(E656,카테고리!$A$2:$A$200,0)),"미분류"))</f>
        <v>변동비</v>
      </c>
      <c r="G656" s="33" t="str">
        <f aca="false">IF(E656="","",IFERROR(INDEX(카테고리!$C$2:$C$200,MATCH(E656,카테고리!$A$2:$A$200,0)),"N"))</f>
        <v>N</v>
      </c>
      <c r="H656" s="34" t="s">
        <v>73</v>
      </c>
      <c r="I656" s="34" t="s">
        <v>82</v>
      </c>
      <c r="J656" s="34" t="s">
        <v>75</v>
      </c>
      <c r="K656" s="37"/>
      <c r="L656" s="36" t="n">
        <f aca="false">IF(A656="","",YEAR(A656)*100+MONTH(A656))</f>
        <v>202609</v>
      </c>
    </row>
    <row r="657" customFormat="false" ht="15" hidden="false" customHeight="false" outlineLevel="0" collapsed="false">
      <c r="A657" s="32" t="n">
        <v>46280</v>
      </c>
      <c r="B657" s="33" t="str">
        <f aca="false">IF(A657="","",TEXT(A657,"yyyy-mm"))</f>
        <v>2026-09</v>
      </c>
      <c r="C657" s="34" t="s">
        <v>95</v>
      </c>
      <c r="D657" s="35" t="n">
        <v>57600</v>
      </c>
      <c r="E657" s="34" t="s">
        <v>89</v>
      </c>
      <c r="F657" s="33" t="str">
        <f aca="false">IF(E657="","",IFERROR(INDEX(카테고리!$B$2:$B$200,MATCH(E657,카테고리!$A$2:$A$200,0)),"미분류"))</f>
        <v>변동비</v>
      </c>
      <c r="G657" s="33" t="str">
        <f aca="false">IF(E657="","",IFERROR(INDEX(카테고리!$C$2:$C$200,MATCH(E657,카테고리!$A$2:$A$200,0)),"N"))</f>
        <v>N</v>
      </c>
      <c r="H657" s="34" t="s">
        <v>81</v>
      </c>
      <c r="I657" s="34" t="s">
        <v>107</v>
      </c>
      <c r="J657" s="34" t="s">
        <v>75</v>
      </c>
      <c r="K657" s="37"/>
      <c r="L657" s="36" t="n">
        <f aca="false">IF(A657="","",YEAR(A657)*100+MONTH(A657))</f>
        <v>202609</v>
      </c>
    </row>
    <row r="658" customFormat="false" ht="15" hidden="false" customHeight="false" outlineLevel="0" collapsed="false">
      <c r="A658" s="32" t="n">
        <v>46281</v>
      </c>
      <c r="B658" s="33" t="str">
        <f aca="false">IF(A658="","",TEXT(A658,"yyyy-mm"))</f>
        <v>2026-09</v>
      </c>
      <c r="C658" s="34" t="s">
        <v>103</v>
      </c>
      <c r="D658" s="35" t="n">
        <v>73760</v>
      </c>
      <c r="E658" s="34" t="s">
        <v>92</v>
      </c>
      <c r="F658" s="33" t="str">
        <f aca="false">IF(E658="","",IFERROR(INDEX(카테고리!$B$2:$B$200,MATCH(E658,카테고리!$A$2:$A$200,0)),"미분류"))</f>
        <v>변동비</v>
      </c>
      <c r="G658" s="33" t="str">
        <f aca="false">IF(E658="","",IFERROR(INDEX(카테고리!$C$2:$C$200,MATCH(E658,카테고리!$A$2:$A$200,0)),"N"))</f>
        <v>Y</v>
      </c>
      <c r="H658" s="34" t="s">
        <v>81</v>
      </c>
      <c r="I658" s="34" t="s">
        <v>82</v>
      </c>
      <c r="J658" s="34" t="s">
        <v>75</v>
      </c>
      <c r="K658" s="37"/>
      <c r="L658" s="36" t="n">
        <f aca="false">IF(A658="","",YEAR(A658)*100+MONTH(A658))</f>
        <v>202609</v>
      </c>
    </row>
    <row r="659" customFormat="false" ht="15" hidden="false" customHeight="false" outlineLevel="0" collapsed="false">
      <c r="A659" s="32" t="n">
        <v>46282</v>
      </c>
      <c r="B659" s="33" t="str">
        <f aca="false">IF(A659="","",TEXT(A659,"yyyy-mm"))</f>
        <v>2026-09</v>
      </c>
      <c r="C659" s="34" t="s">
        <v>103</v>
      </c>
      <c r="D659" s="35" t="n">
        <v>109010</v>
      </c>
      <c r="E659" s="34" t="s">
        <v>92</v>
      </c>
      <c r="F659" s="33" t="str">
        <f aca="false">IF(E659="","",IFERROR(INDEX(카테고리!$B$2:$B$200,MATCH(E659,카테고리!$A$2:$A$200,0)),"미분류"))</f>
        <v>변동비</v>
      </c>
      <c r="G659" s="33" t="str">
        <f aca="false">IF(E659="","",IFERROR(INDEX(카테고리!$C$2:$C$200,MATCH(E659,카테고리!$A$2:$A$200,0)),"N"))</f>
        <v>Y</v>
      </c>
      <c r="H659" s="34" t="s">
        <v>73</v>
      </c>
      <c r="I659" s="34" t="s">
        <v>82</v>
      </c>
      <c r="J659" s="34" t="s">
        <v>75</v>
      </c>
      <c r="K659" s="37"/>
      <c r="L659" s="36" t="n">
        <f aca="false">IF(A659="","",YEAR(A659)*100+MONTH(A659))</f>
        <v>202609</v>
      </c>
    </row>
    <row r="660" customFormat="false" ht="15" hidden="false" customHeight="false" outlineLevel="0" collapsed="false">
      <c r="A660" s="32" t="n">
        <v>46284</v>
      </c>
      <c r="B660" s="33" t="str">
        <f aca="false">IF(A660="","",TEXT(A660,"yyyy-mm"))</f>
        <v>2026-09</v>
      </c>
      <c r="C660" s="34" t="s">
        <v>95</v>
      </c>
      <c r="D660" s="35" t="n">
        <v>57210</v>
      </c>
      <c r="E660" s="34" t="s">
        <v>89</v>
      </c>
      <c r="F660" s="33" t="str">
        <f aca="false">IF(E660="","",IFERROR(INDEX(카테고리!$B$2:$B$200,MATCH(E660,카테고리!$A$2:$A$200,0)),"미분류"))</f>
        <v>변동비</v>
      </c>
      <c r="G660" s="33" t="str">
        <f aca="false">IF(E660="","",IFERROR(INDEX(카테고리!$C$2:$C$200,MATCH(E660,카테고리!$A$2:$A$200,0)),"N"))</f>
        <v>N</v>
      </c>
      <c r="H660" s="34" t="s">
        <v>73</v>
      </c>
      <c r="I660" s="34" t="s">
        <v>107</v>
      </c>
      <c r="J660" s="34" t="s">
        <v>75</v>
      </c>
      <c r="K660" s="37"/>
      <c r="L660" s="36" t="n">
        <f aca="false">IF(A660="","",YEAR(A660)*100+MONTH(A660))</f>
        <v>202609</v>
      </c>
    </row>
    <row r="661" customFormat="false" ht="15" hidden="false" customHeight="false" outlineLevel="0" collapsed="false">
      <c r="A661" s="32" t="n">
        <v>46284</v>
      </c>
      <c r="B661" s="33" t="str">
        <f aca="false">IF(A661="","",TEXT(A661,"yyyy-mm"))</f>
        <v>2026-09</v>
      </c>
      <c r="C661" s="34" t="s">
        <v>95</v>
      </c>
      <c r="D661" s="35" t="n">
        <v>56780</v>
      </c>
      <c r="E661" s="34" t="s">
        <v>89</v>
      </c>
      <c r="F661" s="33" t="str">
        <f aca="false">IF(E661="","",IFERROR(INDEX(카테고리!$B$2:$B$200,MATCH(E661,카테고리!$A$2:$A$200,0)),"미분류"))</f>
        <v>변동비</v>
      </c>
      <c r="G661" s="33" t="str">
        <f aca="false">IF(E661="","",IFERROR(INDEX(카테고리!$C$2:$C$200,MATCH(E661,카테고리!$A$2:$A$200,0)),"N"))</f>
        <v>N</v>
      </c>
      <c r="H661" s="34" t="s">
        <v>73</v>
      </c>
      <c r="I661" s="34" t="s">
        <v>107</v>
      </c>
      <c r="J661" s="34" t="s">
        <v>75</v>
      </c>
      <c r="K661" s="37"/>
      <c r="L661" s="36" t="n">
        <f aca="false">IF(A661="","",YEAR(A661)*100+MONTH(A661))</f>
        <v>202609</v>
      </c>
    </row>
    <row r="662" customFormat="false" ht="15" hidden="false" customHeight="false" outlineLevel="0" collapsed="false">
      <c r="A662" s="32" t="n">
        <v>46285</v>
      </c>
      <c r="B662" s="33" t="str">
        <f aca="false">IF(A662="","",TEXT(A662,"yyyy-mm"))</f>
        <v>2026-09</v>
      </c>
      <c r="C662" s="34" t="s">
        <v>117</v>
      </c>
      <c r="D662" s="35" t="n">
        <v>262690</v>
      </c>
      <c r="E662" s="34" t="s">
        <v>118</v>
      </c>
      <c r="F662" s="33" t="str">
        <f aca="false">IF(E662="","",IFERROR(INDEX(카테고리!$B$2:$B$200,MATCH(E662,카테고리!$A$2:$A$200,0)),"미분류"))</f>
        <v>고정비</v>
      </c>
      <c r="G662" s="33" t="str">
        <f aca="false">IF(E662="","",IFERROR(INDEX(카테고리!$C$2:$C$200,MATCH(E662,카테고리!$A$2:$A$200,0)),"N"))</f>
        <v>Y</v>
      </c>
      <c r="H662" s="34" t="s">
        <v>81</v>
      </c>
      <c r="I662" s="34" t="s">
        <v>98</v>
      </c>
      <c r="J662" s="34" t="s">
        <v>75</v>
      </c>
      <c r="K662" s="37"/>
      <c r="L662" s="36" t="n">
        <f aca="false">IF(A662="","",YEAR(A662)*100+MONTH(A662))</f>
        <v>202609</v>
      </c>
    </row>
    <row r="663" customFormat="false" ht="15" hidden="false" customHeight="false" outlineLevel="0" collapsed="false">
      <c r="A663" s="32" t="n">
        <v>46286</v>
      </c>
      <c r="B663" s="33" t="str">
        <f aca="false">IF(A663="","",TEXT(A663,"yyyy-mm"))</f>
        <v>2026-09</v>
      </c>
      <c r="C663" s="37" t="s">
        <v>119</v>
      </c>
      <c r="D663" s="35" t="n">
        <v>54000</v>
      </c>
      <c r="E663" s="34" t="s">
        <v>120</v>
      </c>
      <c r="F663" s="33" t="str">
        <f aca="false">IF(E663="","",IFERROR(INDEX(카테고리!$B$2:$B$200,MATCH(E663,카테고리!$A$2:$A$200,0)),"미분류"))</f>
        <v>고정비</v>
      </c>
      <c r="G663" s="33" t="str">
        <f aca="false">IF(E663="","",IFERROR(INDEX(카테고리!$C$2:$C$200,MATCH(E663,카테고리!$A$2:$A$200,0)),"N"))</f>
        <v>Y</v>
      </c>
      <c r="H663" s="34" t="s">
        <v>73</v>
      </c>
      <c r="I663" s="34" t="s">
        <v>90</v>
      </c>
      <c r="J663" s="34" t="s">
        <v>75</v>
      </c>
      <c r="K663" s="37"/>
      <c r="L663" s="36" t="n">
        <f aca="false">IF(A663="","",YEAR(A663)*100+MONTH(A663))</f>
        <v>202609</v>
      </c>
    </row>
    <row r="664" customFormat="false" ht="15" hidden="false" customHeight="false" outlineLevel="0" collapsed="false">
      <c r="A664" s="32" t="n">
        <v>46286</v>
      </c>
      <c r="B664" s="33" t="str">
        <f aca="false">IF(A664="","",TEXT(A664,"yyyy-mm"))</f>
        <v>2026-09</v>
      </c>
      <c r="C664" s="37" t="s">
        <v>121</v>
      </c>
      <c r="D664" s="35" t="n">
        <v>68000</v>
      </c>
      <c r="E664" s="34" t="s">
        <v>120</v>
      </c>
      <c r="F664" s="33" t="str">
        <f aca="false">IF(E664="","",IFERROR(INDEX(카테고리!$B$2:$B$200,MATCH(E664,카테고리!$A$2:$A$200,0)),"미분류"))</f>
        <v>고정비</v>
      </c>
      <c r="G664" s="33" t="str">
        <f aca="false">IF(E664="","",IFERROR(INDEX(카테고리!$C$2:$C$200,MATCH(E664,카테고리!$A$2:$A$200,0)),"N"))</f>
        <v>Y</v>
      </c>
      <c r="H664" s="34" t="s">
        <v>78</v>
      </c>
      <c r="I664" s="34" t="s">
        <v>107</v>
      </c>
      <c r="J664" s="34" t="s">
        <v>75</v>
      </c>
      <c r="K664" s="37"/>
      <c r="L664" s="36" t="n">
        <f aca="false">IF(A664="","",YEAR(A664)*100+MONTH(A664))</f>
        <v>202609</v>
      </c>
    </row>
    <row r="665" customFormat="false" ht="15" hidden="false" customHeight="false" outlineLevel="0" collapsed="false">
      <c r="A665" s="32" t="n">
        <v>46286</v>
      </c>
      <c r="B665" s="33" t="str">
        <f aca="false">IF(A665="","",TEXT(A665,"yyyy-mm"))</f>
        <v>2026-09</v>
      </c>
      <c r="C665" s="34" t="s">
        <v>86</v>
      </c>
      <c r="D665" s="35" t="n">
        <v>84200</v>
      </c>
      <c r="E665" s="34" t="s">
        <v>87</v>
      </c>
      <c r="F665" s="33" t="str">
        <f aca="false">IF(E665="","",IFERROR(INDEX(카테고리!$B$2:$B$200,MATCH(E665,카테고리!$A$2:$A$200,0)),"미분류"))</f>
        <v>변동비</v>
      </c>
      <c r="G665" s="33" t="str">
        <f aca="false">IF(E665="","",IFERROR(INDEX(카테고리!$C$2:$C$200,MATCH(E665,카테고리!$A$2:$A$200,0)),"N"))</f>
        <v>Y</v>
      </c>
      <c r="H665" s="34" t="s">
        <v>81</v>
      </c>
      <c r="I665" s="34" t="s">
        <v>82</v>
      </c>
      <c r="J665" s="34" t="s">
        <v>75</v>
      </c>
      <c r="K665" s="37"/>
      <c r="L665" s="36" t="n">
        <f aca="false">IF(A665="","",YEAR(A665)*100+MONTH(A665))</f>
        <v>202609</v>
      </c>
    </row>
    <row r="666" customFormat="false" ht="15" hidden="false" customHeight="false" outlineLevel="0" collapsed="false">
      <c r="A666" s="32" t="n">
        <v>46286</v>
      </c>
      <c r="B666" s="33" t="str">
        <f aca="false">IF(A666="","",TEXT(A666,"yyyy-mm"))</f>
        <v>2026-09</v>
      </c>
      <c r="C666" s="34" t="s">
        <v>86</v>
      </c>
      <c r="D666" s="35" t="n">
        <v>45250</v>
      </c>
      <c r="E666" s="34" t="s">
        <v>87</v>
      </c>
      <c r="F666" s="33" t="str">
        <f aca="false">IF(E666="","",IFERROR(INDEX(카테고리!$B$2:$B$200,MATCH(E666,카테고리!$A$2:$A$200,0)),"미분류"))</f>
        <v>변동비</v>
      </c>
      <c r="G666" s="33" t="str">
        <f aca="false">IF(E666="","",IFERROR(INDEX(카테고리!$C$2:$C$200,MATCH(E666,카테고리!$A$2:$A$200,0)),"N"))</f>
        <v>Y</v>
      </c>
      <c r="H666" s="34" t="s">
        <v>81</v>
      </c>
      <c r="I666" s="34" t="s">
        <v>82</v>
      </c>
      <c r="J666" s="34" t="s">
        <v>75</v>
      </c>
      <c r="K666" s="37"/>
      <c r="L666" s="36" t="n">
        <f aca="false">IF(A666="","",YEAR(A666)*100+MONTH(A666))</f>
        <v>202609</v>
      </c>
    </row>
    <row r="667" customFormat="false" ht="15" hidden="false" customHeight="false" outlineLevel="0" collapsed="false">
      <c r="A667" s="32" t="n">
        <v>46286</v>
      </c>
      <c r="B667" s="33" t="str">
        <f aca="false">IF(A667="","",TEXT(A667,"yyyy-mm"))</f>
        <v>2026-09</v>
      </c>
      <c r="C667" s="34" t="s">
        <v>122</v>
      </c>
      <c r="D667" s="35" t="n">
        <v>33000</v>
      </c>
      <c r="E667" s="34" t="s">
        <v>120</v>
      </c>
      <c r="F667" s="33" t="str">
        <f aca="false">IF(E667="","",IFERROR(INDEX(카테고리!$B$2:$B$200,MATCH(E667,카테고리!$A$2:$A$200,0)),"미분류"))</f>
        <v>고정비</v>
      </c>
      <c r="G667" s="33" t="str">
        <f aca="false">IF(E667="","",IFERROR(INDEX(카테고리!$C$2:$C$200,MATCH(E667,카테고리!$A$2:$A$200,0)),"N"))</f>
        <v>Y</v>
      </c>
      <c r="H667" s="34" t="s">
        <v>81</v>
      </c>
      <c r="I667" s="34" t="s">
        <v>98</v>
      </c>
      <c r="J667" s="34" t="s">
        <v>75</v>
      </c>
      <c r="K667" s="37"/>
      <c r="L667" s="36" t="n">
        <f aca="false">IF(A667="","",YEAR(A667)*100+MONTH(A667))</f>
        <v>202609</v>
      </c>
    </row>
    <row r="668" customFormat="false" ht="15" hidden="false" customHeight="false" outlineLevel="0" collapsed="false">
      <c r="A668" s="32" t="n">
        <v>46287</v>
      </c>
      <c r="B668" s="33" t="str">
        <f aca="false">IF(A668="","",TEXT(A668,"yyyy-mm"))</f>
        <v>2026-09</v>
      </c>
      <c r="C668" s="34" t="s">
        <v>169</v>
      </c>
      <c r="D668" s="35" t="n">
        <v>680000</v>
      </c>
      <c r="E668" s="34" t="s">
        <v>166</v>
      </c>
      <c r="F668" s="33" t="str">
        <f aca="false">IF(E668="","",IFERROR(INDEX(카테고리!$B$2:$B$200,MATCH(E668,카테고리!$A$2:$A$200,0)),"미분류"))</f>
        <v>비정기비</v>
      </c>
      <c r="G668" s="33" t="str">
        <f aca="false">IF(E668="","",IFERROR(INDEX(카테고리!$C$2:$C$200,MATCH(E668,카테고리!$A$2:$A$200,0)),"N"))</f>
        <v>N</v>
      </c>
      <c r="H668" s="34" t="s">
        <v>81</v>
      </c>
      <c r="I668" s="34" t="s">
        <v>74</v>
      </c>
      <c r="J668" s="34" t="s">
        <v>75</v>
      </c>
      <c r="K668" s="37"/>
      <c r="L668" s="36" t="n">
        <f aca="false">IF(A668="","",YEAR(A668)*100+MONTH(A668))</f>
        <v>202609</v>
      </c>
    </row>
    <row r="669" customFormat="false" ht="15" hidden="false" customHeight="false" outlineLevel="0" collapsed="false">
      <c r="A669" s="32" t="n">
        <v>46288</v>
      </c>
      <c r="B669" s="33" t="str">
        <f aca="false">IF(A669="","",TEXT(A669,"yyyy-mm"))</f>
        <v>2026-09</v>
      </c>
      <c r="C669" s="34" t="s">
        <v>103</v>
      </c>
      <c r="D669" s="35" t="n">
        <v>94250</v>
      </c>
      <c r="E669" s="34" t="s">
        <v>92</v>
      </c>
      <c r="F669" s="33" t="str">
        <f aca="false">IF(E669="","",IFERROR(INDEX(카테고리!$B$2:$B$200,MATCH(E669,카테고리!$A$2:$A$200,0)),"미분류"))</f>
        <v>변동비</v>
      </c>
      <c r="G669" s="33" t="str">
        <f aca="false">IF(E669="","",IFERROR(INDEX(카테고리!$C$2:$C$200,MATCH(E669,카테고리!$A$2:$A$200,0)),"N"))</f>
        <v>Y</v>
      </c>
      <c r="H669" s="34" t="s">
        <v>81</v>
      </c>
      <c r="I669" s="34" t="s">
        <v>82</v>
      </c>
      <c r="J669" s="34" t="s">
        <v>75</v>
      </c>
      <c r="K669" s="37"/>
      <c r="L669" s="36" t="n">
        <f aca="false">IF(A669="","",YEAR(A669)*100+MONTH(A669))</f>
        <v>202609</v>
      </c>
    </row>
    <row r="670" customFormat="false" ht="15" hidden="false" customHeight="false" outlineLevel="0" collapsed="false">
      <c r="A670" s="32" t="n">
        <v>46289</v>
      </c>
      <c r="B670" s="33" t="str">
        <f aca="false">IF(A670="","",TEXT(A670,"yyyy-mm"))</f>
        <v>2026-09</v>
      </c>
      <c r="C670" s="34" t="s">
        <v>125</v>
      </c>
      <c r="D670" s="35" t="n">
        <v>145410</v>
      </c>
      <c r="E670" s="34" t="s">
        <v>126</v>
      </c>
      <c r="F670" s="33" t="str">
        <f aca="false">IF(E670="","",IFERROR(INDEX(카테고리!$B$2:$B$200,MATCH(E670,카테고리!$A$2:$A$200,0)),"미분류"))</f>
        <v>변동비</v>
      </c>
      <c r="G670" s="33" t="str">
        <f aca="false">IF(E670="","",IFERROR(INDEX(카테고리!$C$2:$C$200,MATCH(E670,카테고리!$A$2:$A$200,0)),"N"))</f>
        <v>N</v>
      </c>
      <c r="H670" s="34" t="s">
        <v>78</v>
      </c>
      <c r="I670" s="34" t="s">
        <v>90</v>
      </c>
      <c r="J670" s="34" t="s">
        <v>75</v>
      </c>
      <c r="K670" s="37"/>
      <c r="L670" s="36" t="n">
        <f aca="false">IF(A670="","",YEAR(A670)*100+MONTH(A670))</f>
        <v>202609</v>
      </c>
    </row>
    <row r="671" customFormat="false" ht="15" hidden="false" customHeight="false" outlineLevel="0" collapsed="false">
      <c r="A671" s="32" t="n">
        <v>46289</v>
      </c>
      <c r="B671" s="33" t="str">
        <f aca="false">IF(A671="","",TEXT(A671,"yyyy-mm"))</f>
        <v>2026-09</v>
      </c>
      <c r="C671" s="34" t="s">
        <v>110</v>
      </c>
      <c r="D671" s="35" t="n">
        <v>11150</v>
      </c>
      <c r="E671" s="34" t="s">
        <v>85</v>
      </c>
      <c r="F671" s="33" t="str">
        <f aca="false">IF(E671="","",IFERROR(INDEX(카테고리!$B$2:$B$200,MATCH(E671,카테고리!$A$2:$A$200,0)),"미분류"))</f>
        <v>변동비</v>
      </c>
      <c r="G671" s="33" t="str">
        <f aca="false">IF(E671="","",IFERROR(INDEX(카테고리!$C$2:$C$200,MATCH(E671,카테고리!$A$2:$A$200,0)),"N"))</f>
        <v>Y</v>
      </c>
      <c r="H671" s="34" t="s">
        <v>78</v>
      </c>
      <c r="I671" s="34" t="s">
        <v>107</v>
      </c>
      <c r="J671" s="34" t="s">
        <v>75</v>
      </c>
      <c r="K671" s="37"/>
      <c r="L671" s="36" t="n">
        <f aca="false">IF(A671="","",YEAR(A671)*100+MONTH(A671))</f>
        <v>202609</v>
      </c>
    </row>
    <row r="672" customFormat="false" ht="15" hidden="false" customHeight="false" outlineLevel="0" collapsed="false">
      <c r="A672" s="32" t="n">
        <v>46289</v>
      </c>
      <c r="B672" s="33" t="str">
        <f aca="false">IF(A672="","",TEXT(A672,"yyyy-mm"))</f>
        <v>2026-09</v>
      </c>
      <c r="C672" s="34" t="s">
        <v>110</v>
      </c>
      <c r="D672" s="35" t="n">
        <v>15810</v>
      </c>
      <c r="E672" s="34" t="s">
        <v>85</v>
      </c>
      <c r="F672" s="33" t="str">
        <f aca="false">IF(E672="","",IFERROR(INDEX(카테고리!$B$2:$B$200,MATCH(E672,카테고리!$A$2:$A$200,0)),"미분류"))</f>
        <v>변동비</v>
      </c>
      <c r="G672" s="33" t="str">
        <f aca="false">IF(E672="","",IFERROR(INDEX(카테고리!$C$2:$C$200,MATCH(E672,카테고리!$A$2:$A$200,0)),"N"))</f>
        <v>Y</v>
      </c>
      <c r="H672" s="34" t="s">
        <v>78</v>
      </c>
      <c r="I672" s="34" t="s">
        <v>107</v>
      </c>
      <c r="J672" s="34" t="s">
        <v>75</v>
      </c>
      <c r="K672" s="37"/>
      <c r="L672" s="36" t="n">
        <f aca="false">IF(A672="","",YEAR(A672)*100+MONTH(A672))</f>
        <v>202609</v>
      </c>
    </row>
    <row r="673" customFormat="false" ht="15" hidden="false" customHeight="false" outlineLevel="0" collapsed="false">
      <c r="A673" s="32" t="n">
        <v>46290</v>
      </c>
      <c r="B673" s="33" t="str">
        <f aca="false">IF(A673="","",TEXT(A673,"yyyy-mm"))</f>
        <v>2026-09</v>
      </c>
      <c r="C673" s="34" t="s">
        <v>129</v>
      </c>
      <c r="D673" s="35" t="n">
        <v>3620000</v>
      </c>
      <c r="E673" s="34" t="s">
        <v>130</v>
      </c>
      <c r="F673" s="33" t="str">
        <f aca="false">IF(E673="","",IFERROR(INDEX(카테고리!$B$2:$B$200,MATCH(E673,카테고리!$A$2:$A$200,0)),"미분류"))</f>
        <v>소득</v>
      </c>
      <c r="G673" s="33" t="str">
        <f aca="false">IF(E673="","",IFERROR(INDEX(카테고리!$C$2:$C$200,MATCH(E673,카테고리!$A$2:$A$200,0)),"N"))</f>
        <v>N</v>
      </c>
      <c r="H673" s="34" t="s">
        <v>73</v>
      </c>
      <c r="I673" s="34" t="s">
        <v>131</v>
      </c>
      <c r="J673" s="34" t="s">
        <v>75</v>
      </c>
      <c r="K673" s="37"/>
      <c r="L673" s="36" t="n">
        <f aca="false">IF(A673="","",YEAR(A673)*100+MONTH(A673))</f>
        <v>202609</v>
      </c>
    </row>
    <row r="674" customFormat="false" ht="15" hidden="false" customHeight="false" outlineLevel="0" collapsed="false">
      <c r="A674" s="32" t="n">
        <v>46290</v>
      </c>
      <c r="B674" s="33" t="str">
        <f aca="false">IF(A674="","",TEXT(A674,"yyyy-mm"))</f>
        <v>2026-09</v>
      </c>
      <c r="C674" s="34" t="s">
        <v>93</v>
      </c>
      <c r="D674" s="35" t="n">
        <v>68170</v>
      </c>
      <c r="E674" s="34" t="s">
        <v>92</v>
      </c>
      <c r="F674" s="33" t="str">
        <f aca="false">IF(E674="","",IFERROR(INDEX(카테고리!$B$2:$B$200,MATCH(E674,카테고리!$A$2:$A$200,0)),"미분류"))</f>
        <v>변동비</v>
      </c>
      <c r="G674" s="33" t="str">
        <f aca="false">IF(E674="","",IFERROR(INDEX(카테고리!$C$2:$C$200,MATCH(E674,카테고리!$A$2:$A$200,0)),"N"))</f>
        <v>Y</v>
      </c>
      <c r="H674" s="34" t="s">
        <v>81</v>
      </c>
      <c r="I674" s="34" t="s">
        <v>82</v>
      </c>
      <c r="J674" s="34" t="s">
        <v>75</v>
      </c>
      <c r="K674" s="37"/>
      <c r="L674" s="36" t="n">
        <f aca="false">IF(A674="","",YEAR(A674)*100+MONTH(A674))</f>
        <v>202609</v>
      </c>
    </row>
    <row r="675" customFormat="false" ht="15" hidden="false" customHeight="false" outlineLevel="0" collapsed="false">
      <c r="A675" s="32" t="n">
        <v>46290</v>
      </c>
      <c r="B675" s="33" t="str">
        <f aca="false">IF(A675="","",TEXT(A675,"yyyy-mm"))</f>
        <v>2026-09</v>
      </c>
      <c r="C675" s="34" t="s">
        <v>132</v>
      </c>
      <c r="D675" s="35" t="n">
        <v>4850000</v>
      </c>
      <c r="E675" s="34" t="s">
        <v>130</v>
      </c>
      <c r="F675" s="33" t="str">
        <f aca="false">IF(E675="","",IFERROR(INDEX(카테고리!$B$2:$B$200,MATCH(E675,카테고리!$A$2:$A$200,0)),"미분류"))</f>
        <v>소득</v>
      </c>
      <c r="G675" s="33" t="str">
        <f aca="false">IF(E675="","",IFERROR(INDEX(카테고리!$C$2:$C$200,MATCH(E675,카테고리!$A$2:$A$200,0)),"N"))</f>
        <v>N</v>
      </c>
      <c r="H675" s="34" t="s">
        <v>78</v>
      </c>
      <c r="I675" s="34" t="s">
        <v>131</v>
      </c>
      <c r="J675" s="34" t="s">
        <v>75</v>
      </c>
      <c r="K675" s="37"/>
      <c r="L675" s="36" t="n">
        <f aca="false">IF(A675="","",YEAR(A675)*100+MONTH(A675))</f>
        <v>202609</v>
      </c>
    </row>
    <row r="676" customFormat="false" ht="15" hidden="false" customHeight="false" outlineLevel="0" collapsed="false">
      <c r="A676" s="32" t="n">
        <v>46291</v>
      </c>
      <c r="B676" s="33" t="str">
        <f aca="false">IF(A676="","",TEXT(A676,"yyyy-mm"))</f>
        <v>2026-09</v>
      </c>
      <c r="C676" s="37" t="s">
        <v>133</v>
      </c>
      <c r="D676" s="35" t="n">
        <v>200000</v>
      </c>
      <c r="E676" s="34" t="s">
        <v>134</v>
      </c>
      <c r="F676" s="33" t="str">
        <f aca="false">IF(E676="","",IFERROR(INDEX(카테고리!$B$2:$B$200,MATCH(E676,카테고리!$A$2:$A$200,0)),"미분류"))</f>
        <v>자본이동</v>
      </c>
      <c r="G676" s="33" t="str">
        <f aca="false">IF(E676="","",IFERROR(INDEX(카테고리!$C$2:$C$200,MATCH(E676,카테고리!$A$2:$A$200,0)),"N"))</f>
        <v>N</v>
      </c>
      <c r="H676" s="34" t="s">
        <v>73</v>
      </c>
      <c r="I676" s="34" t="s">
        <v>98</v>
      </c>
      <c r="J676" s="34" t="s">
        <v>75</v>
      </c>
      <c r="K676" s="37"/>
      <c r="L676" s="36" t="n">
        <f aca="false">IF(A676="","",YEAR(A676)*100+MONTH(A676))</f>
        <v>202609</v>
      </c>
    </row>
    <row r="677" customFormat="false" ht="15" hidden="false" customHeight="false" outlineLevel="0" collapsed="false">
      <c r="A677" s="32" t="n">
        <v>46291</v>
      </c>
      <c r="B677" s="33" t="str">
        <f aca="false">IF(A677="","",TEXT(A677,"yyyy-mm"))</f>
        <v>2026-09</v>
      </c>
      <c r="C677" s="34" t="s">
        <v>135</v>
      </c>
      <c r="D677" s="35" t="n">
        <v>650000</v>
      </c>
      <c r="E677" s="34" t="s">
        <v>136</v>
      </c>
      <c r="F677" s="33" t="str">
        <f aca="false">IF(E677="","",IFERROR(INDEX(카테고리!$B$2:$B$200,MATCH(E677,카테고리!$A$2:$A$200,0)),"미분류"))</f>
        <v>자본이동</v>
      </c>
      <c r="G677" s="33" t="str">
        <f aca="false">IF(E677="","",IFERROR(INDEX(카테고리!$C$2:$C$200,MATCH(E677,카테고리!$A$2:$A$200,0)),"N"))</f>
        <v>N</v>
      </c>
      <c r="H677" s="34" t="s">
        <v>73</v>
      </c>
      <c r="I677" s="34" t="s">
        <v>74</v>
      </c>
      <c r="J677" s="34" t="s">
        <v>75</v>
      </c>
      <c r="K677" s="37"/>
      <c r="L677" s="36" t="n">
        <f aca="false">IF(A677="","",YEAR(A677)*100+MONTH(A677))</f>
        <v>202609</v>
      </c>
    </row>
    <row r="678" customFormat="false" ht="15" hidden="false" customHeight="false" outlineLevel="0" collapsed="false">
      <c r="A678" s="32" t="n">
        <v>46291</v>
      </c>
      <c r="B678" s="33" t="str">
        <f aca="false">IF(A678="","",TEXT(A678,"yyyy-mm"))</f>
        <v>2026-09</v>
      </c>
      <c r="C678" s="34" t="s">
        <v>137</v>
      </c>
      <c r="D678" s="35" t="n">
        <v>300000</v>
      </c>
      <c r="E678" s="34" t="s">
        <v>134</v>
      </c>
      <c r="F678" s="33" t="str">
        <f aca="false">IF(E678="","",IFERROR(INDEX(카테고리!$B$2:$B$200,MATCH(E678,카테고리!$A$2:$A$200,0)),"미분류"))</f>
        <v>자본이동</v>
      </c>
      <c r="G678" s="33" t="str">
        <f aca="false">IF(E678="","",IFERROR(INDEX(카테고리!$C$2:$C$200,MATCH(E678,카테고리!$A$2:$A$200,0)),"N"))</f>
        <v>N</v>
      </c>
      <c r="H678" s="34" t="s">
        <v>78</v>
      </c>
      <c r="I678" s="34" t="s">
        <v>98</v>
      </c>
      <c r="J678" s="34" t="s">
        <v>75</v>
      </c>
      <c r="K678" s="37"/>
      <c r="L678" s="36" t="n">
        <f aca="false">IF(A678="","",YEAR(A678)*100+MONTH(A678))</f>
        <v>202609</v>
      </c>
    </row>
    <row r="679" customFormat="false" ht="15" hidden="false" customHeight="false" outlineLevel="0" collapsed="false">
      <c r="A679" s="32" t="n">
        <v>46291</v>
      </c>
      <c r="B679" s="33" t="str">
        <f aca="false">IF(A679="","",TEXT(A679,"yyyy-mm"))</f>
        <v>2026-09</v>
      </c>
      <c r="C679" s="34" t="s">
        <v>138</v>
      </c>
      <c r="D679" s="35" t="n">
        <v>300000</v>
      </c>
      <c r="E679" s="34" t="s">
        <v>139</v>
      </c>
      <c r="F679" s="33" t="str">
        <f aca="false">IF(E679="","",IFERROR(INDEX(카테고리!$B$2:$B$200,MATCH(E679,카테고리!$A$2:$A$200,0)),"미분류"))</f>
        <v>자본이동</v>
      </c>
      <c r="G679" s="33" t="str">
        <f aca="false">IF(E679="","",IFERROR(INDEX(카테고리!$C$2:$C$200,MATCH(E679,카테고리!$A$2:$A$200,0)),"N"))</f>
        <v>N</v>
      </c>
      <c r="H679" s="34" t="s">
        <v>81</v>
      </c>
      <c r="I679" s="34" t="s">
        <v>98</v>
      </c>
      <c r="J679" s="34" t="s">
        <v>75</v>
      </c>
      <c r="K679" s="37"/>
      <c r="L679" s="36" t="n">
        <f aca="false">IF(A679="","",YEAR(A679)*100+MONTH(A679))</f>
        <v>202609</v>
      </c>
    </row>
    <row r="680" customFormat="false" ht="15" hidden="false" customHeight="false" outlineLevel="0" collapsed="false">
      <c r="A680" s="32" t="n">
        <v>46291</v>
      </c>
      <c r="B680" s="33" t="str">
        <f aca="false">IF(A680="","",TEXT(A680,"yyyy-mm"))</f>
        <v>2026-09</v>
      </c>
      <c r="C680" s="34" t="s">
        <v>140</v>
      </c>
      <c r="D680" s="35" t="n">
        <v>100000</v>
      </c>
      <c r="E680" s="34" t="s">
        <v>139</v>
      </c>
      <c r="F680" s="33" t="str">
        <f aca="false">IF(E680="","",IFERROR(INDEX(카테고리!$B$2:$B$200,MATCH(E680,카테고리!$A$2:$A$200,0)),"미분류"))</f>
        <v>자본이동</v>
      </c>
      <c r="G680" s="33" t="str">
        <f aca="false">IF(E680="","",IFERROR(INDEX(카테고리!$C$2:$C$200,MATCH(E680,카테고리!$A$2:$A$200,0)),"N"))</f>
        <v>N</v>
      </c>
      <c r="H680" s="34" t="s">
        <v>78</v>
      </c>
      <c r="I680" s="34" t="s">
        <v>98</v>
      </c>
      <c r="J680" s="34" t="s">
        <v>75</v>
      </c>
      <c r="K680" s="37"/>
      <c r="L680" s="36" t="n">
        <f aca="false">IF(A680="","",YEAR(A680)*100+MONTH(A680))</f>
        <v>202609</v>
      </c>
    </row>
    <row r="681" customFormat="false" ht="15" hidden="false" customHeight="false" outlineLevel="0" collapsed="false">
      <c r="A681" s="32" t="n">
        <v>46291</v>
      </c>
      <c r="B681" s="33" t="str">
        <f aca="false">IF(A681="","",TEXT(A681,"yyyy-mm"))</f>
        <v>2026-09</v>
      </c>
      <c r="C681" s="34" t="s">
        <v>141</v>
      </c>
      <c r="D681" s="35" t="n">
        <v>600000</v>
      </c>
      <c r="E681" s="34" t="s">
        <v>136</v>
      </c>
      <c r="F681" s="33" t="str">
        <f aca="false">IF(E681="","",IFERROR(INDEX(카테고리!$B$2:$B$200,MATCH(E681,카테고리!$A$2:$A$200,0)),"미분류"))</f>
        <v>자본이동</v>
      </c>
      <c r="G681" s="33" t="str">
        <f aca="false">IF(E681="","",IFERROR(INDEX(카테고리!$C$2:$C$200,MATCH(E681,카테고리!$A$2:$A$200,0)),"N"))</f>
        <v>N</v>
      </c>
      <c r="H681" s="34" t="s">
        <v>78</v>
      </c>
      <c r="I681" s="34" t="s">
        <v>74</v>
      </c>
      <c r="J681" s="34" t="s">
        <v>75</v>
      </c>
      <c r="K681" s="37"/>
      <c r="L681" s="36" t="n">
        <f aca="false">IF(A681="","",YEAR(A681)*100+MONTH(A681))</f>
        <v>202609</v>
      </c>
    </row>
    <row r="682" customFormat="false" ht="15" hidden="false" customHeight="false" outlineLevel="0" collapsed="false">
      <c r="A682" s="32" t="n">
        <v>46291</v>
      </c>
      <c r="B682" s="33" t="str">
        <f aca="false">IF(A682="","",TEXT(A682,"yyyy-mm"))</f>
        <v>2026-09</v>
      </c>
      <c r="C682" s="34" t="s">
        <v>142</v>
      </c>
      <c r="D682" s="35" t="n">
        <v>200000</v>
      </c>
      <c r="E682" s="34" t="s">
        <v>136</v>
      </c>
      <c r="F682" s="33" t="str">
        <f aca="false">IF(E682="","",IFERROR(INDEX(카테고리!$B$2:$B$200,MATCH(E682,카테고리!$A$2:$A$200,0)),"미분류"))</f>
        <v>자본이동</v>
      </c>
      <c r="G682" s="33" t="str">
        <f aca="false">IF(E682="","",IFERROR(INDEX(카테고리!$C$2:$C$200,MATCH(E682,카테고리!$A$2:$A$200,0)),"N"))</f>
        <v>N</v>
      </c>
      <c r="H682" s="34" t="s">
        <v>81</v>
      </c>
      <c r="I682" s="34" t="s">
        <v>74</v>
      </c>
      <c r="J682" s="34" t="s">
        <v>75</v>
      </c>
      <c r="K682" s="37"/>
      <c r="L682" s="36" t="n">
        <f aca="false">IF(A682="","",YEAR(A682)*100+MONTH(A682))</f>
        <v>202609</v>
      </c>
    </row>
    <row r="683" customFormat="false" ht="15" hidden="false" customHeight="false" outlineLevel="0" collapsed="false">
      <c r="A683" s="32" t="n">
        <v>46292</v>
      </c>
      <c r="B683" s="33" t="str">
        <f aca="false">IF(A683="","",TEXT(A683,"yyyy-mm"))</f>
        <v>2026-09</v>
      </c>
      <c r="C683" s="34" t="s">
        <v>88</v>
      </c>
      <c r="D683" s="35" t="n">
        <v>55510</v>
      </c>
      <c r="E683" s="34" t="s">
        <v>89</v>
      </c>
      <c r="F683" s="33" t="str">
        <f aca="false">IF(E683="","",IFERROR(INDEX(카테고리!$B$2:$B$200,MATCH(E683,카테고리!$A$2:$A$200,0)),"미분류"))</f>
        <v>변동비</v>
      </c>
      <c r="G683" s="33" t="str">
        <f aca="false">IF(E683="","",IFERROR(INDEX(카테고리!$C$2:$C$200,MATCH(E683,카테고리!$A$2:$A$200,0)),"N"))</f>
        <v>N</v>
      </c>
      <c r="H683" s="34" t="s">
        <v>81</v>
      </c>
      <c r="I683" s="34" t="s">
        <v>90</v>
      </c>
      <c r="J683" s="34" t="s">
        <v>75</v>
      </c>
      <c r="K683" s="37"/>
      <c r="L683" s="36" t="n">
        <f aca="false">IF(A683="","",YEAR(A683)*100+MONTH(A683))</f>
        <v>202609</v>
      </c>
    </row>
    <row r="684" customFormat="false" ht="15" hidden="false" customHeight="false" outlineLevel="0" collapsed="false">
      <c r="A684" s="32" t="n">
        <v>46292</v>
      </c>
      <c r="B684" s="33" t="str">
        <f aca="false">IF(A684="","",TEXT(A684,"yyyy-mm"))</f>
        <v>2026-09</v>
      </c>
      <c r="C684" s="34" t="s">
        <v>154</v>
      </c>
      <c r="D684" s="35" t="n">
        <v>73680</v>
      </c>
      <c r="E684" s="34" t="s">
        <v>126</v>
      </c>
      <c r="F684" s="33" t="str">
        <f aca="false">IF(E684="","",IFERROR(INDEX(카테고리!$B$2:$B$200,MATCH(E684,카테고리!$A$2:$A$200,0)),"미분류"))</f>
        <v>변동비</v>
      </c>
      <c r="G684" s="33" t="str">
        <f aca="false">IF(E684="","",IFERROR(INDEX(카테고리!$C$2:$C$200,MATCH(E684,카테고리!$A$2:$A$200,0)),"N"))</f>
        <v>N</v>
      </c>
      <c r="H684" s="34" t="s">
        <v>73</v>
      </c>
      <c r="I684" s="34" t="s">
        <v>90</v>
      </c>
      <c r="J684" s="34" t="s">
        <v>75</v>
      </c>
      <c r="K684" s="37"/>
      <c r="L684" s="36" t="n">
        <f aca="false">IF(A684="","",YEAR(A684)*100+MONTH(A684))</f>
        <v>202609</v>
      </c>
    </row>
    <row r="685" customFormat="false" ht="15" hidden="false" customHeight="false" outlineLevel="0" collapsed="false">
      <c r="A685" s="32" t="n">
        <v>46292</v>
      </c>
      <c r="B685" s="33" t="str">
        <f aca="false">IF(A685="","",TEXT(A685,"yyyy-mm"))</f>
        <v>2026-09</v>
      </c>
      <c r="C685" s="34" t="s">
        <v>127</v>
      </c>
      <c r="D685" s="35" t="n">
        <v>69880</v>
      </c>
      <c r="E685" s="34" t="s">
        <v>89</v>
      </c>
      <c r="F685" s="33" t="str">
        <f aca="false">IF(E685="","",IFERROR(INDEX(카테고리!$B$2:$B$200,MATCH(E685,카테고리!$A$2:$A$200,0)),"미분류"))</f>
        <v>변동비</v>
      </c>
      <c r="G685" s="33" t="str">
        <f aca="false">IF(E685="","",IFERROR(INDEX(카테고리!$C$2:$C$200,MATCH(E685,카테고리!$A$2:$A$200,0)),"N"))</f>
        <v>N</v>
      </c>
      <c r="H685" s="34" t="s">
        <v>78</v>
      </c>
      <c r="I685" s="34" t="s">
        <v>82</v>
      </c>
      <c r="J685" s="34" t="s">
        <v>75</v>
      </c>
      <c r="K685" s="37"/>
      <c r="L685" s="36" t="n">
        <f aca="false">IF(A685="","",YEAR(A685)*100+MONTH(A685))</f>
        <v>202609</v>
      </c>
    </row>
    <row r="686" customFormat="false" ht="15" hidden="false" customHeight="false" outlineLevel="0" collapsed="false">
      <c r="A686" s="32" t="n">
        <v>46293</v>
      </c>
      <c r="B686" s="33" t="str">
        <f aca="false">IF(A686="","",TEXT(A686,"yyyy-mm"))</f>
        <v>2026-09</v>
      </c>
      <c r="C686" s="34" t="s">
        <v>91</v>
      </c>
      <c r="D686" s="35" t="n">
        <v>105140</v>
      </c>
      <c r="E686" s="34" t="s">
        <v>92</v>
      </c>
      <c r="F686" s="33" t="str">
        <f aca="false">IF(E686="","",IFERROR(INDEX(카테고리!$B$2:$B$200,MATCH(E686,카테고리!$A$2:$A$200,0)),"미분류"))</f>
        <v>변동비</v>
      </c>
      <c r="G686" s="33" t="str">
        <f aca="false">IF(E686="","",IFERROR(INDEX(카테고리!$C$2:$C$200,MATCH(E686,카테고리!$A$2:$A$200,0)),"N"))</f>
        <v>Y</v>
      </c>
      <c r="H686" s="34" t="s">
        <v>73</v>
      </c>
      <c r="I686" s="34" t="s">
        <v>82</v>
      </c>
      <c r="J686" s="34" t="s">
        <v>75</v>
      </c>
      <c r="K686" s="37"/>
      <c r="L686" s="36" t="n">
        <f aca="false">IF(A686="","",YEAR(A686)*100+MONTH(A686))</f>
        <v>202609</v>
      </c>
    </row>
    <row r="687" customFormat="false" ht="15" hidden="false" customHeight="false" outlineLevel="0" collapsed="false">
      <c r="A687" s="32" t="n">
        <v>46293</v>
      </c>
      <c r="B687" s="33" t="str">
        <f aca="false">IF(A687="","",TEXT(A687,"yyyy-mm"))</f>
        <v>2026-09</v>
      </c>
      <c r="C687" s="34" t="s">
        <v>145</v>
      </c>
      <c r="D687" s="35" t="n">
        <v>24430</v>
      </c>
      <c r="E687" s="34" t="s">
        <v>89</v>
      </c>
      <c r="F687" s="33" t="str">
        <f aca="false">IF(E687="","",IFERROR(INDEX(카테고리!$B$2:$B$200,MATCH(E687,카테고리!$A$2:$A$200,0)),"미분류"))</f>
        <v>변동비</v>
      </c>
      <c r="G687" s="33" t="str">
        <f aca="false">IF(E687="","",IFERROR(INDEX(카테고리!$C$2:$C$200,MATCH(E687,카테고리!$A$2:$A$200,0)),"N"))</f>
        <v>N</v>
      </c>
      <c r="H687" s="34" t="s">
        <v>73</v>
      </c>
      <c r="I687" s="34" t="s">
        <v>90</v>
      </c>
      <c r="J687" s="34" t="s">
        <v>75</v>
      </c>
      <c r="K687" s="37"/>
      <c r="L687" s="36" t="n">
        <f aca="false">IF(A687="","",YEAR(A687)*100+MONTH(A687))</f>
        <v>202609</v>
      </c>
    </row>
    <row r="688" customFormat="false" ht="15" hidden="false" customHeight="false" outlineLevel="0" collapsed="false">
      <c r="A688" s="32" t="n">
        <v>46293</v>
      </c>
      <c r="B688" s="33" t="str">
        <f aca="false">IF(A688="","",TEXT(A688,"yyyy-mm"))</f>
        <v>2026-09</v>
      </c>
      <c r="C688" s="34" t="s">
        <v>143</v>
      </c>
      <c r="D688" s="35" t="n">
        <v>30500</v>
      </c>
      <c r="E688" s="34" t="s">
        <v>144</v>
      </c>
      <c r="F688" s="33" t="str">
        <f aca="false">IF(E688="","",IFERROR(INDEX(카테고리!$B$2:$B$200,MATCH(E688,카테고리!$A$2:$A$200,0)),"미분류"))</f>
        <v>소득</v>
      </c>
      <c r="G688" s="33" t="str">
        <f aca="false">IF(E688="","",IFERROR(INDEX(카테고리!$C$2:$C$200,MATCH(E688,카테고리!$A$2:$A$200,0)),"N"))</f>
        <v>N</v>
      </c>
      <c r="H688" s="34" t="s">
        <v>81</v>
      </c>
      <c r="I688" s="34" t="s">
        <v>131</v>
      </c>
      <c r="J688" s="34" t="s">
        <v>75</v>
      </c>
      <c r="K688" s="37"/>
      <c r="L688" s="36" t="n">
        <f aca="false">IF(A688="","",YEAR(A688)*100+MONTH(A688))</f>
        <v>202609</v>
      </c>
    </row>
    <row r="689" customFormat="false" ht="15" hidden="false" customHeight="false" outlineLevel="0" collapsed="false">
      <c r="A689" s="32" t="n">
        <v>46295</v>
      </c>
      <c r="B689" s="33" t="str">
        <f aca="false">IF(A689="","",TEXT(A689,"yyyy-mm"))</f>
        <v>2026-09</v>
      </c>
      <c r="C689" s="34" t="s">
        <v>167</v>
      </c>
      <c r="D689" s="35" t="n">
        <v>410000</v>
      </c>
      <c r="E689" s="34" t="s">
        <v>160</v>
      </c>
      <c r="F689" s="33" t="str">
        <f aca="false">IF(E689="","",IFERROR(INDEX(카테고리!$B$2:$B$200,MATCH(E689,카테고리!$A$2:$A$200,0)),"미분류"))</f>
        <v>비정기비</v>
      </c>
      <c r="G689" s="33" t="str">
        <f aca="false">IF(E689="","",IFERROR(INDEX(카테고리!$C$2:$C$200,MATCH(E689,카테고리!$A$2:$A$200,0)),"N"))</f>
        <v>Y</v>
      </c>
      <c r="H689" s="34" t="s">
        <v>81</v>
      </c>
      <c r="I689" s="34" t="s">
        <v>74</v>
      </c>
      <c r="J689" s="34" t="s">
        <v>75</v>
      </c>
      <c r="K689" s="37"/>
      <c r="L689" s="36" t="n">
        <f aca="false">IF(A689="","",YEAR(A689)*100+MONTH(A689))</f>
        <v>202609</v>
      </c>
    </row>
  </sheetData>
  <autoFilter ref="A1:K689"/>
  <dataValidations count="2">
    <dataValidation allowBlank="true" error="목록에서 선택하세요." errorStyle="stop" errorTitle="입력 확인" operator="between" showDropDown="false" showErrorMessage="false" showInputMessage="false" sqref="E2:E1689" type="list">
      <formula1>카테고리!$A$2:$A$200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H2:H1689" type="list">
      <formula1>설정!$L$3:$L$5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I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7" min="6" style="0" width="9"/>
  </cols>
  <sheetData>
    <row r="1" customFormat="false" ht="15" hidden="false" customHeight="false" outlineLevel="0" collapsed="false">
      <c r="A1" s="29" t="s">
        <v>60</v>
      </c>
      <c r="B1" s="29" t="s">
        <v>170</v>
      </c>
      <c r="C1" s="29" t="s">
        <v>62</v>
      </c>
      <c r="D1" s="30" t="s">
        <v>171</v>
      </c>
      <c r="E1" s="30" t="s">
        <v>172</v>
      </c>
      <c r="F1" s="30" t="s">
        <v>173</v>
      </c>
      <c r="G1" s="30" t="s">
        <v>174</v>
      </c>
      <c r="I1" s="31" t="s">
        <v>175</v>
      </c>
    </row>
    <row r="2" customFormat="false" ht="15" hidden="false" customHeight="false" outlineLevel="0" collapsed="false">
      <c r="A2" s="38" t="s">
        <v>176</v>
      </c>
      <c r="B2" s="37" t="s">
        <v>177</v>
      </c>
      <c r="C2" s="35" t="n">
        <v>2240000</v>
      </c>
      <c r="D2" s="33" t="str">
        <f aca="false">IF(B2="","",IFERROR(INDEX(계좌!$B$2:$B$41,MATCH(B2,계좌!$A$2:$A$41,0)),"?"))</f>
        <v>급여통장(본인)</v>
      </c>
      <c r="E2" s="33" t="str">
        <f aca="false">IF(B2="","",IFERROR(INDEX(계좌!$D$2:$D$41,MATCH(B2,계좌!$A$2:$A$41,0)),"?"))</f>
        <v>현금성</v>
      </c>
      <c r="F2" s="33" t="str">
        <f aca="false">IF(B2="","",IFERROR(INDEX(계좌!$E$2:$E$41,MATCH(B2,계좌!$A$2:$A$41,0)),"?"))</f>
        <v>본인</v>
      </c>
      <c r="G2" s="33" t="str">
        <f aca="false">IF(B2="","",IFERROR(INDEX(계좌!$F$2:$F$41,MATCH(B2,계좌!$A$2:$A$41,0)),"?"))</f>
        <v>즉시</v>
      </c>
    </row>
    <row r="3" customFormat="false" ht="15" hidden="false" customHeight="false" outlineLevel="0" collapsed="false">
      <c r="A3" s="38" t="s">
        <v>176</v>
      </c>
      <c r="B3" s="37" t="s">
        <v>178</v>
      </c>
      <c r="C3" s="35" t="n">
        <v>1561000</v>
      </c>
      <c r="D3" s="33" t="str">
        <f aca="false">IF(B3="","",IFERROR(INDEX(계좌!$B$2:$B$41,MATCH(B3,계좌!$A$2:$A$41,0)),"?"))</f>
        <v>급여통장(배우자)</v>
      </c>
      <c r="E3" s="33" t="str">
        <f aca="false">IF(B3="","",IFERROR(INDEX(계좌!$D$2:$D$41,MATCH(B3,계좌!$A$2:$A$41,0)),"?"))</f>
        <v>현금성</v>
      </c>
      <c r="F3" s="33" t="str">
        <f aca="false">IF(B3="","",IFERROR(INDEX(계좌!$E$2:$E$41,MATCH(B3,계좌!$A$2:$A$41,0)),"?"))</f>
        <v>배우자</v>
      </c>
      <c r="G3" s="33" t="str">
        <f aca="false">IF(B3="","",IFERROR(INDEX(계좌!$F$2:$F$41,MATCH(B3,계좌!$A$2:$A$41,0)),"?"))</f>
        <v>즉시</v>
      </c>
    </row>
    <row r="4" customFormat="false" ht="15" hidden="false" customHeight="false" outlineLevel="0" collapsed="false">
      <c r="A4" s="38" t="s">
        <v>176</v>
      </c>
      <c r="B4" s="37" t="s">
        <v>179</v>
      </c>
      <c r="C4" s="35" t="n">
        <v>1724000</v>
      </c>
      <c r="D4" s="33" t="str">
        <f aca="false">IF(B4="","",IFERROR(INDEX(계좌!$B$2:$B$41,MATCH(B4,계좌!$A$2:$A$41,0)),"?"))</f>
        <v>생활비통장</v>
      </c>
      <c r="E4" s="33" t="str">
        <f aca="false">IF(B4="","",IFERROR(INDEX(계좌!$D$2:$D$41,MATCH(B4,계좌!$A$2:$A$41,0)),"?"))</f>
        <v>현금성</v>
      </c>
      <c r="F4" s="33" t="str">
        <f aca="false">IF(B4="","",IFERROR(INDEX(계좌!$E$2:$E$41,MATCH(B4,계좌!$A$2:$A$41,0)),"?"))</f>
        <v>공동</v>
      </c>
      <c r="G4" s="33" t="str">
        <f aca="false">IF(B4="","",IFERROR(INDEX(계좌!$F$2:$F$41,MATCH(B4,계좌!$A$2:$A$41,0)),"?"))</f>
        <v>즉시</v>
      </c>
    </row>
    <row r="5" customFormat="false" ht="15" hidden="false" customHeight="false" outlineLevel="0" collapsed="false">
      <c r="A5" s="38" t="s">
        <v>176</v>
      </c>
      <c r="B5" s="37" t="s">
        <v>180</v>
      </c>
      <c r="C5" s="35" t="n">
        <v>9000000</v>
      </c>
      <c r="D5" s="33" t="str">
        <f aca="false">IF(B5="","",IFERROR(INDEX(계좌!$B$2:$B$41,MATCH(B5,계좌!$A$2:$A$41,0)),"?"))</f>
        <v>비상금 파킹통장</v>
      </c>
      <c r="E5" s="33" t="str">
        <f aca="false">IF(B5="","",IFERROR(INDEX(계좌!$D$2:$D$41,MATCH(B5,계좌!$A$2:$A$41,0)),"?"))</f>
        <v>현금성</v>
      </c>
      <c r="F5" s="33" t="str">
        <f aca="false">IF(B5="","",IFERROR(INDEX(계좌!$E$2:$E$41,MATCH(B5,계좌!$A$2:$A$41,0)),"?"))</f>
        <v>공동</v>
      </c>
      <c r="G5" s="33" t="str">
        <f aca="false">IF(B5="","",IFERROR(INDEX(계좌!$F$2:$F$41,MATCH(B5,계좌!$A$2:$A$41,0)),"?"))</f>
        <v>즉시</v>
      </c>
    </row>
    <row r="6" customFormat="false" ht="15" hidden="false" customHeight="false" outlineLevel="0" collapsed="false">
      <c r="A6" s="38" t="s">
        <v>176</v>
      </c>
      <c r="B6" s="37" t="s">
        <v>181</v>
      </c>
      <c r="C6" s="35" t="n">
        <v>12900000</v>
      </c>
      <c r="D6" s="33" t="str">
        <f aca="false">IF(B6="","",IFERROR(INDEX(계좌!$B$2:$B$41,MATCH(B6,계좌!$A$2:$A$41,0)),"?"))</f>
        <v>주택청약종합저축</v>
      </c>
      <c r="E6" s="33" t="str">
        <f aca="false">IF(B6="","",IFERROR(INDEX(계좌!$D$2:$D$41,MATCH(B6,계좌!$A$2:$A$41,0)),"?"))</f>
        <v>현금성</v>
      </c>
      <c r="F6" s="33" t="str">
        <f aca="false">IF(B6="","",IFERROR(INDEX(계좌!$E$2:$E$41,MATCH(B6,계좌!$A$2:$A$41,0)),"?"))</f>
        <v>본인</v>
      </c>
      <c r="G6" s="33" t="str">
        <f aca="false">IF(B6="","",IFERROR(INDEX(계좌!$F$2:$F$41,MATCH(B6,계좌!$A$2:$A$41,0)),"?"))</f>
        <v>장기</v>
      </c>
    </row>
    <row r="7" customFormat="false" ht="15" hidden="false" customHeight="false" outlineLevel="0" collapsed="false">
      <c r="A7" s="38" t="s">
        <v>176</v>
      </c>
      <c r="B7" s="37" t="s">
        <v>182</v>
      </c>
      <c r="C7" s="35" t="n">
        <v>3000000</v>
      </c>
      <c r="D7" s="33" t="str">
        <f aca="false">IF(B7="","",IFERROR(INDEX(계좌!$B$2:$B$41,MATCH(B7,계좌!$A$2:$A$41,0)),"?"))</f>
        <v>정기적금</v>
      </c>
      <c r="E7" s="33" t="str">
        <f aca="false">IF(B7="","",IFERROR(INDEX(계좌!$D$2:$D$41,MATCH(B7,계좌!$A$2:$A$41,0)),"?"))</f>
        <v>현금성</v>
      </c>
      <c r="F7" s="33" t="str">
        <f aca="false">IF(B7="","",IFERROR(INDEX(계좌!$E$2:$E$41,MATCH(B7,계좌!$A$2:$A$41,0)),"?"))</f>
        <v>공동</v>
      </c>
      <c r="G7" s="33" t="str">
        <f aca="false">IF(B7="","",IFERROR(INDEX(계좌!$F$2:$F$41,MATCH(B7,계좌!$A$2:$A$41,0)),"?"))</f>
        <v>1년내</v>
      </c>
    </row>
    <row r="8" customFormat="false" ht="15" hidden="false" customHeight="false" outlineLevel="0" collapsed="false">
      <c r="A8" s="38" t="s">
        <v>176</v>
      </c>
      <c r="B8" s="37" t="s">
        <v>183</v>
      </c>
      <c r="C8" s="35" t="n">
        <v>31973000</v>
      </c>
      <c r="D8" s="33" t="str">
        <f aca="false">IF(B8="","",IFERROR(INDEX(계좌!$B$2:$B$41,MATCH(B8,계좌!$A$2:$A$41,0)),"?"))</f>
        <v>주식계좌</v>
      </c>
      <c r="E8" s="33" t="str">
        <f aca="false">IF(B8="","",IFERROR(INDEX(계좌!$D$2:$D$41,MATCH(B8,계좌!$A$2:$A$41,0)),"?"))</f>
        <v>투자</v>
      </c>
      <c r="F8" s="33" t="str">
        <f aca="false">IF(B8="","",IFERROR(INDEX(계좌!$E$2:$E$41,MATCH(B8,계좌!$A$2:$A$41,0)),"?"))</f>
        <v>본인</v>
      </c>
      <c r="G8" s="33" t="str">
        <f aca="false">IF(B8="","",IFERROR(INDEX(계좌!$F$2:$F$41,MATCH(B8,계좌!$A$2:$A$41,0)),"?"))</f>
        <v>즉시</v>
      </c>
    </row>
    <row r="9" customFormat="false" ht="15" hidden="false" customHeight="false" outlineLevel="0" collapsed="false">
      <c r="A9" s="38" t="s">
        <v>176</v>
      </c>
      <c r="B9" s="37" t="s">
        <v>184</v>
      </c>
      <c r="C9" s="35" t="n">
        <v>18270000</v>
      </c>
      <c r="D9" s="33" t="str">
        <f aca="false">IF(B9="","",IFERROR(INDEX(계좌!$B$2:$B$41,MATCH(B9,계좌!$A$2:$A$41,0)),"?"))</f>
        <v>ISA(중개형)</v>
      </c>
      <c r="E9" s="33" t="str">
        <f aca="false">IF(B9="","",IFERROR(INDEX(계좌!$D$2:$D$41,MATCH(B9,계좌!$A$2:$A$41,0)),"?"))</f>
        <v>투자</v>
      </c>
      <c r="F9" s="33" t="str">
        <f aca="false">IF(B9="","",IFERROR(INDEX(계좌!$E$2:$E$41,MATCH(B9,계좌!$A$2:$A$41,0)),"?"))</f>
        <v>배우자</v>
      </c>
      <c r="G9" s="33" t="str">
        <f aca="false">IF(B9="","",IFERROR(INDEX(계좌!$F$2:$F$41,MATCH(B9,계좌!$A$2:$A$41,0)),"?"))</f>
        <v>장기</v>
      </c>
    </row>
    <row r="10" customFormat="false" ht="15" hidden="false" customHeight="false" outlineLevel="0" collapsed="false">
      <c r="A10" s="38" t="s">
        <v>176</v>
      </c>
      <c r="B10" s="37" t="s">
        <v>185</v>
      </c>
      <c r="C10" s="35" t="n">
        <v>13708000</v>
      </c>
      <c r="D10" s="33" t="str">
        <f aca="false">IF(B10="","",IFERROR(INDEX(계좌!$B$2:$B$41,MATCH(B10,계좌!$A$2:$A$41,0)),"?"))</f>
        <v>해외주식계좌</v>
      </c>
      <c r="E10" s="33" t="str">
        <f aca="false">IF(B10="","",IFERROR(INDEX(계좌!$D$2:$D$41,MATCH(B10,계좌!$A$2:$A$41,0)),"?"))</f>
        <v>투자</v>
      </c>
      <c r="F10" s="33" t="str">
        <f aca="false">IF(B10="","",IFERROR(INDEX(계좌!$E$2:$E$41,MATCH(B10,계좌!$A$2:$A$41,0)),"?"))</f>
        <v>공동</v>
      </c>
      <c r="G10" s="33" t="str">
        <f aca="false">IF(B10="","",IFERROR(INDEX(계좌!$F$2:$F$41,MATCH(B10,계좌!$A$2:$A$41,0)),"?"))</f>
        <v>즉시</v>
      </c>
    </row>
    <row r="11" customFormat="false" ht="15" hidden="false" customHeight="false" outlineLevel="0" collapsed="false">
      <c r="A11" s="38" t="s">
        <v>176</v>
      </c>
      <c r="B11" s="37" t="s">
        <v>186</v>
      </c>
      <c r="C11" s="35" t="n">
        <v>21608000</v>
      </c>
      <c r="D11" s="33" t="str">
        <f aca="false">IF(B11="","",IFERROR(INDEX(계좌!$B$2:$B$41,MATCH(B11,계좌!$A$2:$A$41,0)),"?"))</f>
        <v>연금저축펀드</v>
      </c>
      <c r="E11" s="33" t="str">
        <f aca="false">IF(B11="","",IFERROR(INDEX(계좌!$D$2:$D$41,MATCH(B11,계좌!$A$2:$A$41,0)),"?"))</f>
        <v>연금</v>
      </c>
      <c r="F11" s="33" t="str">
        <f aca="false">IF(B11="","",IFERROR(INDEX(계좌!$E$2:$E$41,MATCH(B11,계좌!$A$2:$A$41,0)),"?"))</f>
        <v>본인</v>
      </c>
      <c r="G11" s="33" t="str">
        <f aca="false">IF(B11="","",IFERROR(INDEX(계좌!$F$2:$F$41,MATCH(B11,계좌!$A$2:$A$41,0)),"?"))</f>
        <v>장기</v>
      </c>
    </row>
    <row r="12" customFormat="false" ht="15" hidden="false" customHeight="false" outlineLevel="0" collapsed="false">
      <c r="A12" s="38" t="s">
        <v>176</v>
      </c>
      <c r="B12" s="37" t="s">
        <v>187</v>
      </c>
      <c r="C12" s="35" t="n">
        <v>11702000</v>
      </c>
      <c r="D12" s="33" t="str">
        <f aca="false">IF(B12="","",IFERROR(INDEX(계좌!$B$2:$B$41,MATCH(B12,계좌!$A$2:$A$41,0)),"?"))</f>
        <v>IRP</v>
      </c>
      <c r="E12" s="33" t="str">
        <f aca="false">IF(B12="","",IFERROR(INDEX(계좌!$D$2:$D$41,MATCH(B12,계좌!$A$2:$A$41,0)),"?"))</f>
        <v>연금</v>
      </c>
      <c r="F12" s="33" t="str">
        <f aca="false">IF(B12="","",IFERROR(INDEX(계좌!$E$2:$E$41,MATCH(B12,계좌!$A$2:$A$41,0)),"?"))</f>
        <v>배우자</v>
      </c>
      <c r="G12" s="33" t="str">
        <f aca="false">IF(B12="","",IFERROR(INDEX(계좌!$F$2:$F$41,MATCH(B12,계좌!$A$2:$A$41,0)),"?"))</f>
        <v>장기</v>
      </c>
    </row>
    <row r="13" customFormat="false" ht="15" hidden="false" customHeight="false" outlineLevel="0" collapsed="false">
      <c r="A13" s="38" t="s">
        <v>176</v>
      </c>
      <c r="B13" s="37" t="s">
        <v>188</v>
      </c>
      <c r="C13" s="35" t="n">
        <v>37472000</v>
      </c>
      <c r="D13" s="33" t="str">
        <f aca="false">IF(B13="","",IFERROR(INDEX(계좌!$B$2:$B$41,MATCH(B13,계좌!$A$2:$A$41,0)),"?"))</f>
        <v>퇴직연금(DC)</v>
      </c>
      <c r="E13" s="33" t="str">
        <f aca="false">IF(B13="","",IFERROR(INDEX(계좌!$D$2:$D$41,MATCH(B13,계좌!$A$2:$A$41,0)),"?"))</f>
        <v>연금</v>
      </c>
      <c r="F13" s="33" t="str">
        <f aca="false">IF(B13="","",IFERROR(INDEX(계좌!$E$2:$E$41,MATCH(B13,계좌!$A$2:$A$41,0)),"?"))</f>
        <v>본인</v>
      </c>
      <c r="G13" s="33" t="str">
        <f aca="false">IF(B13="","",IFERROR(INDEX(계좌!$F$2:$F$41,MATCH(B13,계좌!$A$2:$A$41,0)),"?"))</f>
        <v>장기</v>
      </c>
    </row>
    <row r="14" customFormat="false" ht="15" hidden="false" customHeight="false" outlineLevel="0" collapsed="false">
      <c r="A14" s="38" t="s">
        <v>176</v>
      </c>
      <c r="B14" s="37" t="s">
        <v>189</v>
      </c>
      <c r="C14" s="35" t="n">
        <v>780000000</v>
      </c>
      <c r="D14" s="33" t="str">
        <f aca="false">IF(B14="","",IFERROR(INDEX(계좌!$B$2:$B$41,MATCH(B14,계좌!$A$2:$A$41,0)),"?"))</f>
        <v>아파트(실거주)</v>
      </c>
      <c r="E14" s="33" t="str">
        <f aca="false">IF(B14="","",IFERROR(INDEX(계좌!$D$2:$D$41,MATCH(B14,계좌!$A$2:$A$41,0)),"?"))</f>
        <v>부동산</v>
      </c>
      <c r="F14" s="33" t="str">
        <f aca="false">IF(B14="","",IFERROR(INDEX(계좌!$E$2:$E$41,MATCH(B14,계좌!$A$2:$A$41,0)),"?"))</f>
        <v>공동</v>
      </c>
      <c r="G14" s="33" t="str">
        <f aca="false">IF(B14="","",IFERROR(INDEX(계좌!$F$2:$F$41,MATCH(B14,계좌!$A$2:$A$41,0)),"?"))</f>
        <v>장기</v>
      </c>
    </row>
    <row r="15" customFormat="false" ht="15" hidden="false" customHeight="false" outlineLevel="0" collapsed="false">
      <c r="A15" s="38" t="s">
        <v>176</v>
      </c>
      <c r="B15" s="37" t="s">
        <v>190</v>
      </c>
      <c r="C15" s="35" t="n">
        <v>24000000</v>
      </c>
      <c r="D15" s="33" t="str">
        <f aca="false">IF(B15="","",IFERROR(INDEX(계좌!$B$2:$B$41,MATCH(B15,계좌!$A$2:$A$41,0)),"?"))</f>
        <v>자동차</v>
      </c>
      <c r="E15" s="33" t="str">
        <f aca="false">IF(B15="","",IFERROR(INDEX(계좌!$D$2:$D$41,MATCH(B15,계좌!$A$2:$A$41,0)),"?"))</f>
        <v>기타자산</v>
      </c>
      <c r="F15" s="33" t="str">
        <f aca="false">IF(B15="","",IFERROR(INDEX(계좌!$E$2:$E$41,MATCH(B15,계좌!$A$2:$A$41,0)),"?"))</f>
        <v>공동</v>
      </c>
      <c r="G15" s="33" t="str">
        <f aca="false">IF(B15="","",IFERROR(INDEX(계좌!$F$2:$F$41,MATCH(B15,계좌!$A$2:$A$41,0)),"?"))</f>
        <v>장기</v>
      </c>
    </row>
    <row r="16" customFormat="false" ht="15" hidden="false" customHeight="false" outlineLevel="0" collapsed="false">
      <c r="A16" s="38" t="s">
        <v>176</v>
      </c>
      <c r="B16" s="37" t="s">
        <v>191</v>
      </c>
      <c r="C16" s="35" t="n">
        <v>292000000</v>
      </c>
      <c r="D16" s="33" t="str">
        <f aca="false">IF(B16="","",IFERROR(INDEX(계좌!$B$2:$B$41,MATCH(B16,계좌!$A$2:$A$41,0)),"?"))</f>
        <v>주택담보대출</v>
      </c>
      <c r="E16" s="33" t="str">
        <f aca="false">IF(B16="","",IFERROR(INDEX(계좌!$D$2:$D$41,MATCH(B16,계좌!$A$2:$A$41,0)),"?"))</f>
        <v>부채</v>
      </c>
      <c r="F16" s="33" t="str">
        <f aca="false">IF(B16="","",IFERROR(INDEX(계좌!$E$2:$E$41,MATCH(B16,계좌!$A$2:$A$41,0)),"?"))</f>
        <v>공동</v>
      </c>
      <c r="G16" s="33" t="str">
        <f aca="false">IF(B16="","",IFERROR(INDEX(계좌!$F$2:$F$41,MATCH(B16,계좌!$A$2:$A$41,0)),"?"))</f>
        <v>장기</v>
      </c>
    </row>
    <row r="17" customFormat="false" ht="15" hidden="false" customHeight="false" outlineLevel="0" collapsed="false">
      <c r="A17" s="38" t="s">
        <v>176</v>
      </c>
      <c r="B17" s="37" t="s">
        <v>192</v>
      </c>
      <c r="C17" s="35" t="n">
        <v>18000000</v>
      </c>
      <c r="D17" s="33" t="str">
        <f aca="false">IF(B17="","",IFERROR(INDEX(계좌!$B$2:$B$41,MATCH(B17,계좌!$A$2:$A$41,0)),"?"))</f>
        <v>신용대출</v>
      </c>
      <c r="E17" s="33" t="str">
        <f aca="false">IF(B17="","",IFERROR(INDEX(계좌!$D$2:$D$41,MATCH(B17,계좌!$A$2:$A$41,0)),"?"))</f>
        <v>부채</v>
      </c>
      <c r="F17" s="33" t="str">
        <f aca="false">IF(B17="","",IFERROR(INDEX(계좌!$E$2:$E$41,MATCH(B17,계좌!$A$2:$A$41,0)),"?"))</f>
        <v>본인</v>
      </c>
      <c r="G17" s="33" t="str">
        <f aca="false">IF(B17="","",IFERROR(INDEX(계좌!$F$2:$F$41,MATCH(B17,계좌!$A$2:$A$41,0)),"?"))</f>
        <v>장기</v>
      </c>
    </row>
    <row r="18" customFormat="false" ht="15" hidden="false" customHeight="false" outlineLevel="0" collapsed="false">
      <c r="A18" s="38" t="s">
        <v>176</v>
      </c>
      <c r="B18" s="37" t="s">
        <v>193</v>
      </c>
      <c r="C18" s="35" t="n">
        <v>3452000</v>
      </c>
      <c r="D18" s="33" t="str">
        <f aca="false">IF(B18="","",IFERROR(INDEX(계좌!$B$2:$B$41,MATCH(B18,계좌!$A$2:$A$41,0)),"?"))</f>
        <v>카드 결제예정액</v>
      </c>
      <c r="E18" s="33" t="str">
        <f aca="false">IF(B18="","",IFERROR(INDEX(계좌!$D$2:$D$41,MATCH(B18,계좌!$A$2:$A$41,0)),"?"))</f>
        <v>부채</v>
      </c>
      <c r="F18" s="33" t="str">
        <f aca="false">IF(B18="","",IFERROR(INDEX(계좌!$E$2:$E$41,MATCH(B18,계좌!$A$2:$A$41,0)),"?"))</f>
        <v>공동</v>
      </c>
      <c r="G18" s="33" t="str">
        <f aca="false">IF(B18="","",IFERROR(INDEX(계좌!$F$2:$F$41,MATCH(B18,계좌!$A$2:$A$41,0)),"?"))</f>
        <v>즉시</v>
      </c>
    </row>
    <row r="19" customFormat="false" ht="15" hidden="false" customHeight="false" outlineLevel="0" collapsed="false">
      <c r="A19" s="38" t="s">
        <v>194</v>
      </c>
      <c r="B19" s="37" t="s">
        <v>177</v>
      </c>
      <c r="C19" s="35" t="n">
        <v>2894000</v>
      </c>
      <c r="D19" s="33" t="str">
        <f aca="false">IF(B19="","",IFERROR(INDEX(계좌!$B$2:$B$41,MATCH(B19,계좌!$A$2:$A$41,0)),"?"))</f>
        <v>급여통장(본인)</v>
      </c>
      <c r="E19" s="33" t="str">
        <f aca="false">IF(B19="","",IFERROR(INDEX(계좌!$D$2:$D$41,MATCH(B19,계좌!$A$2:$A$41,0)),"?"))</f>
        <v>현금성</v>
      </c>
      <c r="F19" s="33" t="str">
        <f aca="false">IF(B19="","",IFERROR(INDEX(계좌!$E$2:$E$41,MATCH(B19,계좌!$A$2:$A$41,0)),"?"))</f>
        <v>본인</v>
      </c>
      <c r="G19" s="33" t="str">
        <f aca="false">IF(B19="","",IFERROR(INDEX(계좌!$F$2:$F$41,MATCH(B19,계좌!$A$2:$A$41,0)),"?"))</f>
        <v>즉시</v>
      </c>
    </row>
    <row r="20" customFormat="false" ht="15" hidden="false" customHeight="false" outlineLevel="0" collapsed="false">
      <c r="A20" s="38" t="s">
        <v>194</v>
      </c>
      <c r="B20" s="37" t="s">
        <v>178</v>
      </c>
      <c r="C20" s="35" t="n">
        <v>2032000</v>
      </c>
      <c r="D20" s="33" t="str">
        <f aca="false">IF(B20="","",IFERROR(INDEX(계좌!$B$2:$B$41,MATCH(B20,계좌!$A$2:$A$41,0)),"?"))</f>
        <v>급여통장(배우자)</v>
      </c>
      <c r="E20" s="33" t="str">
        <f aca="false">IF(B20="","",IFERROR(INDEX(계좌!$D$2:$D$41,MATCH(B20,계좌!$A$2:$A$41,0)),"?"))</f>
        <v>현금성</v>
      </c>
      <c r="F20" s="33" t="str">
        <f aca="false">IF(B20="","",IFERROR(INDEX(계좌!$E$2:$E$41,MATCH(B20,계좌!$A$2:$A$41,0)),"?"))</f>
        <v>배우자</v>
      </c>
      <c r="G20" s="33" t="str">
        <f aca="false">IF(B20="","",IFERROR(INDEX(계좌!$F$2:$F$41,MATCH(B20,계좌!$A$2:$A$41,0)),"?"))</f>
        <v>즉시</v>
      </c>
    </row>
    <row r="21" customFormat="false" ht="15" hidden="false" customHeight="false" outlineLevel="0" collapsed="false">
      <c r="A21" s="38" t="s">
        <v>194</v>
      </c>
      <c r="B21" s="37" t="s">
        <v>179</v>
      </c>
      <c r="C21" s="35" t="n">
        <v>2786000</v>
      </c>
      <c r="D21" s="33" t="str">
        <f aca="false">IF(B21="","",IFERROR(INDEX(계좌!$B$2:$B$41,MATCH(B21,계좌!$A$2:$A$41,0)),"?"))</f>
        <v>생활비통장</v>
      </c>
      <c r="E21" s="33" t="str">
        <f aca="false">IF(B21="","",IFERROR(INDEX(계좌!$D$2:$D$41,MATCH(B21,계좌!$A$2:$A$41,0)),"?"))</f>
        <v>현금성</v>
      </c>
      <c r="F21" s="33" t="str">
        <f aca="false">IF(B21="","",IFERROR(INDEX(계좌!$E$2:$E$41,MATCH(B21,계좌!$A$2:$A$41,0)),"?"))</f>
        <v>공동</v>
      </c>
      <c r="G21" s="33" t="str">
        <f aca="false">IF(B21="","",IFERROR(INDEX(계좌!$F$2:$F$41,MATCH(B21,계좌!$A$2:$A$41,0)),"?"))</f>
        <v>즉시</v>
      </c>
    </row>
    <row r="22" customFormat="false" ht="15" hidden="false" customHeight="false" outlineLevel="0" collapsed="false">
      <c r="A22" s="38" t="s">
        <v>194</v>
      </c>
      <c r="B22" s="37" t="s">
        <v>180</v>
      </c>
      <c r="C22" s="35" t="n">
        <v>9550000</v>
      </c>
      <c r="D22" s="33" t="str">
        <f aca="false">IF(B22="","",IFERROR(INDEX(계좌!$B$2:$B$41,MATCH(B22,계좌!$A$2:$A$41,0)),"?"))</f>
        <v>비상금 파킹통장</v>
      </c>
      <c r="E22" s="33" t="str">
        <f aca="false">IF(B22="","",IFERROR(INDEX(계좌!$D$2:$D$41,MATCH(B22,계좌!$A$2:$A$41,0)),"?"))</f>
        <v>현금성</v>
      </c>
      <c r="F22" s="33" t="str">
        <f aca="false">IF(B22="","",IFERROR(INDEX(계좌!$E$2:$E$41,MATCH(B22,계좌!$A$2:$A$41,0)),"?"))</f>
        <v>공동</v>
      </c>
      <c r="G22" s="33" t="str">
        <f aca="false">IF(B22="","",IFERROR(INDEX(계좌!$F$2:$F$41,MATCH(B22,계좌!$A$2:$A$41,0)),"?"))</f>
        <v>즉시</v>
      </c>
    </row>
    <row r="23" customFormat="false" ht="15" hidden="false" customHeight="false" outlineLevel="0" collapsed="false">
      <c r="A23" s="38" t="s">
        <v>194</v>
      </c>
      <c r="B23" s="37" t="s">
        <v>181</v>
      </c>
      <c r="C23" s="35" t="n">
        <v>13000000</v>
      </c>
      <c r="D23" s="33" t="str">
        <f aca="false">IF(B23="","",IFERROR(INDEX(계좌!$B$2:$B$41,MATCH(B23,계좌!$A$2:$A$41,0)),"?"))</f>
        <v>주택청약종합저축</v>
      </c>
      <c r="E23" s="33" t="str">
        <f aca="false">IF(B23="","",IFERROR(INDEX(계좌!$D$2:$D$41,MATCH(B23,계좌!$A$2:$A$41,0)),"?"))</f>
        <v>현금성</v>
      </c>
      <c r="F23" s="33" t="str">
        <f aca="false">IF(B23="","",IFERROR(INDEX(계좌!$E$2:$E$41,MATCH(B23,계좌!$A$2:$A$41,0)),"?"))</f>
        <v>본인</v>
      </c>
      <c r="G23" s="33" t="str">
        <f aca="false">IF(B23="","",IFERROR(INDEX(계좌!$F$2:$F$41,MATCH(B23,계좌!$A$2:$A$41,0)),"?"))</f>
        <v>장기</v>
      </c>
    </row>
    <row r="24" customFormat="false" ht="15" hidden="false" customHeight="false" outlineLevel="0" collapsed="false">
      <c r="A24" s="38" t="s">
        <v>194</v>
      </c>
      <c r="B24" s="37" t="s">
        <v>182</v>
      </c>
      <c r="C24" s="35" t="n">
        <v>3300000</v>
      </c>
      <c r="D24" s="33" t="str">
        <f aca="false">IF(B24="","",IFERROR(INDEX(계좌!$B$2:$B$41,MATCH(B24,계좌!$A$2:$A$41,0)),"?"))</f>
        <v>정기적금</v>
      </c>
      <c r="E24" s="33" t="str">
        <f aca="false">IF(B24="","",IFERROR(INDEX(계좌!$D$2:$D$41,MATCH(B24,계좌!$A$2:$A$41,0)),"?"))</f>
        <v>현금성</v>
      </c>
      <c r="F24" s="33" t="str">
        <f aca="false">IF(B24="","",IFERROR(INDEX(계좌!$E$2:$E$41,MATCH(B24,계좌!$A$2:$A$41,0)),"?"))</f>
        <v>공동</v>
      </c>
      <c r="G24" s="33" t="str">
        <f aca="false">IF(B24="","",IFERROR(INDEX(계좌!$F$2:$F$41,MATCH(B24,계좌!$A$2:$A$41,0)),"?"))</f>
        <v>1년내</v>
      </c>
    </row>
    <row r="25" customFormat="false" ht="15" hidden="false" customHeight="false" outlineLevel="0" collapsed="false">
      <c r="A25" s="38" t="s">
        <v>194</v>
      </c>
      <c r="B25" s="37" t="s">
        <v>183</v>
      </c>
      <c r="C25" s="35" t="n">
        <v>33143000</v>
      </c>
      <c r="D25" s="33" t="str">
        <f aca="false">IF(B25="","",IFERROR(INDEX(계좌!$B$2:$B$41,MATCH(B25,계좌!$A$2:$A$41,0)),"?"))</f>
        <v>주식계좌</v>
      </c>
      <c r="E25" s="33" t="str">
        <f aca="false">IF(B25="","",IFERROR(INDEX(계좌!$D$2:$D$41,MATCH(B25,계좌!$A$2:$A$41,0)),"?"))</f>
        <v>투자</v>
      </c>
      <c r="F25" s="33" t="str">
        <f aca="false">IF(B25="","",IFERROR(INDEX(계좌!$E$2:$E$41,MATCH(B25,계좌!$A$2:$A$41,0)),"?"))</f>
        <v>본인</v>
      </c>
      <c r="G25" s="33" t="str">
        <f aca="false">IF(B25="","",IFERROR(INDEX(계좌!$F$2:$F$41,MATCH(B25,계좌!$A$2:$A$41,0)),"?"))</f>
        <v>즉시</v>
      </c>
    </row>
    <row r="26" customFormat="false" ht="15" hidden="false" customHeight="false" outlineLevel="0" collapsed="false">
      <c r="A26" s="38" t="s">
        <v>194</v>
      </c>
      <c r="B26" s="37" t="s">
        <v>184</v>
      </c>
      <c r="C26" s="35" t="n">
        <v>19071000</v>
      </c>
      <c r="D26" s="33" t="str">
        <f aca="false">IF(B26="","",IFERROR(INDEX(계좌!$B$2:$B$41,MATCH(B26,계좌!$A$2:$A$41,0)),"?"))</f>
        <v>ISA(중개형)</v>
      </c>
      <c r="E26" s="33" t="str">
        <f aca="false">IF(B26="","",IFERROR(INDEX(계좌!$D$2:$D$41,MATCH(B26,계좌!$A$2:$A$41,0)),"?"))</f>
        <v>투자</v>
      </c>
      <c r="F26" s="33" t="str">
        <f aca="false">IF(B26="","",IFERROR(INDEX(계좌!$E$2:$E$41,MATCH(B26,계좌!$A$2:$A$41,0)),"?"))</f>
        <v>배우자</v>
      </c>
      <c r="G26" s="33" t="str">
        <f aca="false">IF(B26="","",IFERROR(INDEX(계좌!$F$2:$F$41,MATCH(B26,계좌!$A$2:$A$41,0)),"?"))</f>
        <v>장기</v>
      </c>
    </row>
    <row r="27" customFormat="false" ht="15" hidden="false" customHeight="false" outlineLevel="0" collapsed="false">
      <c r="A27" s="38" t="s">
        <v>194</v>
      </c>
      <c r="B27" s="37" t="s">
        <v>185</v>
      </c>
      <c r="C27" s="35" t="n">
        <v>14003000</v>
      </c>
      <c r="D27" s="33" t="str">
        <f aca="false">IF(B27="","",IFERROR(INDEX(계좌!$B$2:$B$41,MATCH(B27,계좌!$A$2:$A$41,0)),"?"))</f>
        <v>해외주식계좌</v>
      </c>
      <c r="E27" s="33" t="str">
        <f aca="false">IF(B27="","",IFERROR(INDEX(계좌!$D$2:$D$41,MATCH(B27,계좌!$A$2:$A$41,0)),"?"))</f>
        <v>투자</v>
      </c>
      <c r="F27" s="33" t="str">
        <f aca="false">IF(B27="","",IFERROR(INDEX(계좌!$E$2:$E$41,MATCH(B27,계좌!$A$2:$A$41,0)),"?"))</f>
        <v>공동</v>
      </c>
      <c r="G27" s="33" t="str">
        <f aca="false">IF(B27="","",IFERROR(INDEX(계좌!$F$2:$F$41,MATCH(B27,계좌!$A$2:$A$41,0)),"?"))</f>
        <v>즉시</v>
      </c>
    </row>
    <row r="28" customFormat="false" ht="15" hidden="false" customHeight="false" outlineLevel="0" collapsed="false">
      <c r="A28" s="38" t="s">
        <v>194</v>
      </c>
      <c r="B28" s="37" t="s">
        <v>186</v>
      </c>
      <c r="C28" s="35" t="n">
        <v>22244000</v>
      </c>
      <c r="D28" s="33" t="str">
        <f aca="false">IF(B28="","",IFERROR(INDEX(계좌!$B$2:$B$41,MATCH(B28,계좌!$A$2:$A$41,0)),"?"))</f>
        <v>연금저축펀드</v>
      </c>
      <c r="E28" s="33" t="str">
        <f aca="false">IF(B28="","",IFERROR(INDEX(계좌!$D$2:$D$41,MATCH(B28,계좌!$A$2:$A$41,0)),"?"))</f>
        <v>연금</v>
      </c>
      <c r="F28" s="33" t="str">
        <f aca="false">IF(B28="","",IFERROR(INDEX(계좌!$E$2:$E$41,MATCH(B28,계좌!$A$2:$A$41,0)),"?"))</f>
        <v>본인</v>
      </c>
      <c r="G28" s="33" t="str">
        <f aca="false">IF(B28="","",IFERROR(INDEX(계좌!$F$2:$F$41,MATCH(B28,계좌!$A$2:$A$41,0)),"?"))</f>
        <v>장기</v>
      </c>
    </row>
    <row r="29" customFormat="false" ht="15" hidden="false" customHeight="false" outlineLevel="0" collapsed="false">
      <c r="A29" s="38" t="s">
        <v>194</v>
      </c>
      <c r="B29" s="37" t="s">
        <v>187</v>
      </c>
      <c r="C29" s="35" t="n">
        <v>11967000</v>
      </c>
      <c r="D29" s="33" t="str">
        <f aca="false">IF(B29="","",IFERROR(INDEX(계좌!$B$2:$B$41,MATCH(B29,계좌!$A$2:$A$41,0)),"?"))</f>
        <v>IRP</v>
      </c>
      <c r="E29" s="33" t="str">
        <f aca="false">IF(B29="","",IFERROR(INDEX(계좌!$D$2:$D$41,MATCH(B29,계좌!$A$2:$A$41,0)),"?"))</f>
        <v>연금</v>
      </c>
      <c r="F29" s="33" t="str">
        <f aca="false">IF(B29="","",IFERROR(INDEX(계좌!$E$2:$E$41,MATCH(B29,계좌!$A$2:$A$41,0)),"?"))</f>
        <v>배우자</v>
      </c>
      <c r="G29" s="33" t="str">
        <f aca="false">IF(B29="","",IFERROR(INDEX(계좌!$F$2:$F$41,MATCH(B29,계좌!$A$2:$A$41,0)),"?"))</f>
        <v>장기</v>
      </c>
    </row>
    <row r="30" customFormat="false" ht="15" hidden="false" customHeight="false" outlineLevel="0" collapsed="false">
      <c r="A30" s="38" t="s">
        <v>194</v>
      </c>
      <c r="B30" s="37" t="s">
        <v>188</v>
      </c>
      <c r="C30" s="35" t="n">
        <v>38215000</v>
      </c>
      <c r="D30" s="33" t="str">
        <f aca="false">IF(B30="","",IFERROR(INDEX(계좌!$B$2:$B$41,MATCH(B30,계좌!$A$2:$A$41,0)),"?"))</f>
        <v>퇴직연금(DC)</v>
      </c>
      <c r="E30" s="33" t="str">
        <f aca="false">IF(B30="","",IFERROR(INDEX(계좌!$D$2:$D$41,MATCH(B30,계좌!$A$2:$A$41,0)),"?"))</f>
        <v>연금</v>
      </c>
      <c r="F30" s="33" t="str">
        <f aca="false">IF(B30="","",IFERROR(INDEX(계좌!$E$2:$E$41,MATCH(B30,계좌!$A$2:$A$41,0)),"?"))</f>
        <v>본인</v>
      </c>
      <c r="G30" s="33" t="str">
        <f aca="false">IF(B30="","",IFERROR(INDEX(계좌!$F$2:$F$41,MATCH(B30,계좌!$A$2:$A$41,0)),"?"))</f>
        <v>장기</v>
      </c>
    </row>
    <row r="31" customFormat="false" ht="15" hidden="false" customHeight="false" outlineLevel="0" collapsed="false">
      <c r="A31" s="38" t="s">
        <v>194</v>
      </c>
      <c r="B31" s="37" t="s">
        <v>189</v>
      </c>
      <c r="C31" s="35" t="n">
        <v>782000000</v>
      </c>
      <c r="D31" s="33" t="str">
        <f aca="false">IF(B31="","",IFERROR(INDEX(계좌!$B$2:$B$41,MATCH(B31,계좌!$A$2:$A$41,0)),"?"))</f>
        <v>아파트(실거주)</v>
      </c>
      <c r="E31" s="33" t="str">
        <f aca="false">IF(B31="","",IFERROR(INDEX(계좌!$D$2:$D$41,MATCH(B31,계좌!$A$2:$A$41,0)),"?"))</f>
        <v>부동산</v>
      </c>
      <c r="F31" s="33" t="str">
        <f aca="false">IF(B31="","",IFERROR(INDEX(계좌!$E$2:$E$41,MATCH(B31,계좌!$A$2:$A$41,0)),"?"))</f>
        <v>공동</v>
      </c>
      <c r="G31" s="33" t="str">
        <f aca="false">IF(B31="","",IFERROR(INDEX(계좌!$F$2:$F$41,MATCH(B31,계좌!$A$2:$A$41,0)),"?"))</f>
        <v>장기</v>
      </c>
    </row>
    <row r="32" customFormat="false" ht="15" hidden="false" customHeight="false" outlineLevel="0" collapsed="false">
      <c r="A32" s="38" t="s">
        <v>194</v>
      </c>
      <c r="B32" s="37" t="s">
        <v>190</v>
      </c>
      <c r="C32" s="35" t="n">
        <v>23750000</v>
      </c>
      <c r="D32" s="33" t="str">
        <f aca="false">IF(B32="","",IFERROR(INDEX(계좌!$B$2:$B$41,MATCH(B32,계좌!$A$2:$A$41,0)),"?"))</f>
        <v>자동차</v>
      </c>
      <c r="E32" s="33" t="str">
        <f aca="false">IF(B32="","",IFERROR(INDEX(계좌!$D$2:$D$41,MATCH(B32,계좌!$A$2:$A$41,0)),"?"))</f>
        <v>기타자산</v>
      </c>
      <c r="F32" s="33" t="str">
        <f aca="false">IF(B32="","",IFERROR(INDEX(계좌!$E$2:$E$41,MATCH(B32,계좌!$A$2:$A$41,0)),"?"))</f>
        <v>공동</v>
      </c>
      <c r="G32" s="33" t="str">
        <f aca="false">IF(B32="","",IFERROR(INDEX(계좌!$F$2:$F$41,MATCH(B32,계좌!$A$2:$A$41,0)),"?"))</f>
        <v>장기</v>
      </c>
    </row>
    <row r="33" customFormat="false" ht="15" hidden="false" customHeight="false" outlineLevel="0" collapsed="false">
      <c r="A33" s="38" t="s">
        <v>194</v>
      </c>
      <c r="B33" s="37" t="s">
        <v>191</v>
      </c>
      <c r="C33" s="35" t="n">
        <v>291400000</v>
      </c>
      <c r="D33" s="33" t="str">
        <f aca="false">IF(B33="","",IFERROR(INDEX(계좌!$B$2:$B$41,MATCH(B33,계좌!$A$2:$A$41,0)),"?"))</f>
        <v>주택담보대출</v>
      </c>
      <c r="E33" s="33" t="str">
        <f aca="false">IF(B33="","",IFERROR(INDEX(계좌!$D$2:$D$41,MATCH(B33,계좌!$A$2:$A$41,0)),"?"))</f>
        <v>부채</v>
      </c>
      <c r="F33" s="33" t="str">
        <f aca="false">IF(B33="","",IFERROR(INDEX(계좌!$E$2:$E$41,MATCH(B33,계좌!$A$2:$A$41,0)),"?"))</f>
        <v>공동</v>
      </c>
      <c r="G33" s="33" t="str">
        <f aca="false">IF(B33="","",IFERROR(INDEX(계좌!$F$2:$F$41,MATCH(B33,계좌!$A$2:$A$41,0)),"?"))</f>
        <v>장기</v>
      </c>
    </row>
    <row r="34" customFormat="false" ht="15" hidden="false" customHeight="false" outlineLevel="0" collapsed="false">
      <c r="A34" s="38" t="s">
        <v>194</v>
      </c>
      <c r="B34" s="37" t="s">
        <v>192</v>
      </c>
      <c r="C34" s="35" t="n">
        <v>17700000</v>
      </c>
      <c r="D34" s="33" t="str">
        <f aca="false">IF(B34="","",IFERROR(INDEX(계좌!$B$2:$B$41,MATCH(B34,계좌!$A$2:$A$41,0)),"?"))</f>
        <v>신용대출</v>
      </c>
      <c r="E34" s="33" t="str">
        <f aca="false">IF(B34="","",IFERROR(INDEX(계좌!$D$2:$D$41,MATCH(B34,계좌!$A$2:$A$41,0)),"?"))</f>
        <v>부채</v>
      </c>
      <c r="F34" s="33" t="str">
        <f aca="false">IF(B34="","",IFERROR(INDEX(계좌!$E$2:$E$41,MATCH(B34,계좌!$A$2:$A$41,0)),"?"))</f>
        <v>본인</v>
      </c>
      <c r="G34" s="33" t="str">
        <f aca="false">IF(B34="","",IFERROR(INDEX(계좌!$F$2:$F$41,MATCH(B34,계좌!$A$2:$A$41,0)),"?"))</f>
        <v>장기</v>
      </c>
    </row>
    <row r="35" customFormat="false" ht="15" hidden="false" customHeight="false" outlineLevel="0" collapsed="false">
      <c r="A35" s="38" t="s">
        <v>194</v>
      </c>
      <c r="B35" s="37" t="s">
        <v>193</v>
      </c>
      <c r="C35" s="35" t="n">
        <v>3498000</v>
      </c>
      <c r="D35" s="33" t="str">
        <f aca="false">IF(B35="","",IFERROR(INDEX(계좌!$B$2:$B$41,MATCH(B35,계좌!$A$2:$A$41,0)),"?"))</f>
        <v>카드 결제예정액</v>
      </c>
      <c r="E35" s="33" t="str">
        <f aca="false">IF(B35="","",IFERROR(INDEX(계좌!$D$2:$D$41,MATCH(B35,계좌!$A$2:$A$41,0)),"?"))</f>
        <v>부채</v>
      </c>
      <c r="F35" s="33" t="str">
        <f aca="false">IF(B35="","",IFERROR(INDEX(계좌!$E$2:$E$41,MATCH(B35,계좌!$A$2:$A$41,0)),"?"))</f>
        <v>공동</v>
      </c>
      <c r="G35" s="33" t="str">
        <f aca="false">IF(B35="","",IFERROR(INDEX(계좌!$F$2:$F$41,MATCH(B35,계좌!$A$2:$A$41,0)),"?"))</f>
        <v>즉시</v>
      </c>
    </row>
    <row r="36" customFormat="false" ht="15" hidden="false" customHeight="false" outlineLevel="0" collapsed="false">
      <c r="A36" s="38" t="s">
        <v>195</v>
      </c>
      <c r="B36" s="37" t="s">
        <v>177</v>
      </c>
      <c r="C36" s="35" t="n">
        <v>2058000</v>
      </c>
      <c r="D36" s="33" t="str">
        <f aca="false">IF(B36="","",IFERROR(INDEX(계좌!$B$2:$B$41,MATCH(B36,계좌!$A$2:$A$41,0)),"?"))</f>
        <v>급여통장(본인)</v>
      </c>
      <c r="E36" s="33" t="str">
        <f aca="false">IF(B36="","",IFERROR(INDEX(계좌!$D$2:$D$41,MATCH(B36,계좌!$A$2:$A$41,0)),"?"))</f>
        <v>현금성</v>
      </c>
      <c r="F36" s="33" t="str">
        <f aca="false">IF(B36="","",IFERROR(INDEX(계좌!$E$2:$E$41,MATCH(B36,계좌!$A$2:$A$41,0)),"?"))</f>
        <v>본인</v>
      </c>
      <c r="G36" s="33" t="str">
        <f aca="false">IF(B36="","",IFERROR(INDEX(계좌!$F$2:$F$41,MATCH(B36,계좌!$A$2:$A$41,0)),"?"))</f>
        <v>즉시</v>
      </c>
    </row>
    <row r="37" customFormat="false" ht="15" hidden="false" customHeight="false" outlineLevel="0" collapsed="false">
      <c r="A37" s="38" t="s">
        <v>195</v>
      </c>
      <c r="B37" s="37" t="s">
        <v>178</v>
      </c>
      <c r="C37" s="35" t="n">
        <v>1725000</v>
      </c>
      <c r="D37" s="33" t="str">
        <f aca="false">IF(B37="","",IFERROR(INDEX(계좌!$B$2:$B$41,MATCH(B37,계좌!$A$2:$A$41,0)),"?"))</f>
        <v>급여통장(배우자)</v>
      </c>
      <c r="E37" s="33" t="str">
        <f aca="false">IF(B37="","",IFERROR(INDEX(계좌!$D$2:$D$41,MATCH(B37,계좌!$A$2:$A$41,0)),"?"))</f>
        <v>현금성</v>
      </c>
      <c r="F37" s="33" t="str">
        <f aca="false">IF(B37="","",IFERROR(INDEX(계좌!$E$2:$E$41,MATCH(B37,계좌!$A$2:$A$41,0)),"?"))</f>
        <v>배우자</v>
      </c>
      <c r="G37" s="33" t="str">
        <f aca="false">IF(B37="","",IFERROR(INDEX(계좌!$F$2:$F$41,MATCH(B37,계좌!$A$2:$A$41,0)),"?"))</f>
        <v>즉시</v>
      </c>
    </row>
    <row r="38" customFormat="false" ht="15" hidden="false" customHeight="false" outlineLevel="0" collapsed="false">
      <c r="A38" s="38" t="s">
        <v>195</v>
      </c>
      <c r="B38" s="37" t="s">
        <v>179</v>
      </c>
      <c r="C38" s="35" t="n">
        <v>1860000</v>
      </c>
      <c r="D38" s="33" t="str">
        <f aca="false">IF(B38="","",IFERROR(INDEX(계좌!$B$2:$B$41,MATCH(B38,계좌!$A$2:$A$41,0)),"?"))</f>
        <v>생활비통장</v>
      </c>
      <c r="E38" s="33" t="str">
        <f aca="false">IF(B38="","",IFERROR(INDEX(계좌!$D$2:$D$41,MATCH(B38,계좌!$A$2:$A$41,0)),"?"))</f>
        <v>현금성</v>
      </c>
      <c r="F38" s="33" t="str">
        <f aca="false">IF(B38="","",IFERROR(INDEX(계좌!$E$2:$E$41,MATCH(B38,계좌!$A$2:$A$41,0)),"?"))</f>
        <v>공동</v>
      </c>
      <c r="G38" s="33" t="str">
        <f aca="false">IF(B38="","",IFERROR(INDEX(계좌!$F$2:$F$41,MATCH(B38,계좌!$A$2:$A$41,0)),"?"))</f>
        <v>즉시</v>
      </c>
    </row>
    <row r="39" customFormat="false" ht="15" hidden="false" customHeight="false" outlineLevel="0" collapsed="false">
      <c r="A39" s="38" t="s">
        <v>195</v>
      </c>
      <c r="B39" s="37" t="s">
        <v>180</v>
      </c>
      <c r="C39" s="35" t="n">
        <v>10100000</v>
      </c>
      <c r="D39" s="33" t="str">
        <f aca="false">IF(B39="","",IFERROR(INDEX(계좌!$B$2:$B$41,MATCH(B39,계좌!$A$2:$A$41,0)),"?"))</f>
        <v>비상금 파킹통장</v>
      </c>
      <c r="E39" s="33" t="str">
        <f aca="false">IF(B39="","",IFERROR(INDEX(계좌!$D$2:$D$41,MATCH(B39,계좌!$A$2:$A$41,0)),"?"))</f>
        <v>현금성</v>
      </c>
      <c r="F39" s="33" t="str">
        <f aca="false">IF(B39="","",IFERROR(INDEX(계좌!$E$2:$E$41,MATCH(B39,계좌!$A$2:$A$41,0)),"?"))</f>
        <v>공동</v>
      </c>
      <c r="G39" s="33" t="str">
        <f aca="false">IF(B39="","",IFERROR(INDEX(계좌!$F$2:$F$41,MATCH(B39,계좌!$A$2:$A$41,0)),"?"))</f>
        <v>즉시</v>
      </c>
    </row>
    <row r="40" customFormat="false" ht="15" hidden="false" customHeight="false" outlineLevel="0" collapsed="false">
      <c r="A40" s="38" t="s">
        <v>195</v>
      </c>
      <c r="B40" s="37" t="s">
        <v>181</v>
      </c>
      <c r="C40" s="35" t="n">
        <v>13100000</v>
      </c>
      <c r="D40" s="33" t="str">
        <f aca="false">IF(B40="","",IFERROR(INDEX(계좌!$B$2:$B$41,MATCH(B40,계좌!$A$2:$A$41,0)),"?"))</f>
        <v>주택청약종합저축</v>
      </c>
      <c r="E40" s="33" t="str">
        <f aca="false">IF(B40="","",IFERROR(INDEX(계좌!$D$2:$D$41,MATCH(B40,계좌!$A$2:$A$41,0)),"?"))</f>
        <v>현금성</v>
      </c>
      <c r="F40" s="33" t="str">
        <f aca="false">IF(B40="","",IFERROR(INDEX(계좌!$E$2:$E$41,MATCH(B40,계좌!$A$2:$A$41,0)),"?"))</f>
        <v>본인</v>
      </c>
      <c r="G40" s="33" t="str">
        <f aca="false">IF(B40="","",IFERROR(INDEX(계좌!$F$2:$F$41,MATCH(B40,계좌!$A$2:$A$41,0)),"?"))</f>
        <v>장기</v>
      </c>
    </row>
    <row r="41" customFormat="false" ht="15" hidden="false" customHeight="false" outlineLevel="0" collapsed="false">
      <c r="A41" s="38" t="s">
        <v>195</v>
      </c>
      <c r="B41" s="37" t="s">
        <v>182</v>
      </c>
      <c r="C41" s="35" t="n">
        <v>3600000</v>
      </c>
      <c r="D41" s="33" t="str">
        <f aca="false">IF(B41="","",IFERROR(INDEX(계좌!$B$2:$B$41,MATCH(B41,계좌!$A$2:$A$41,0)),"?"))</f>
        <v>정기적금</v>
      </c>
      <c r="E41" s="33" t="str">
        <f aca="false">IF(B41="","",IFERROR(INDEX(계좌!$D$2:$D$41,MATCH(B41,계좌!$A$2:$A$41,0)),"?"))</f>
        <v>현금성</v>
      </c>
      <c r="F41" s="33" t="str">
        <f aca="false">IF(B41="","",IFERROR(INDEX(계좌!$E$2:$E$41,MATCH(B41,계좌!$A$2:$A$41,0)),"?"))</f>
        <v>공동</v>
      </c>
      <c r="G41" s="33" t="str">
        <f aca="false">IF(B41="","",IFERROR(INDEX(계좌!$F$2:$F$41,MATCH(B41,계좌!$A$2:$A$41,0)),"?"))</f>
        <v>1년내</v>
      </c>
    </row>
    <row r="42" customFormat="false" ht="15" hidden="false" customHeight="false" outlineLevel="0" collapsed="false">
      <c r="A42" s="38" t="s">
        <v>195</v>
      </c>
      <c r="B42" s="37" t="s">
        <v>183</v>
      </c>
      <c r="C42" s="35" t="n">
        <v>34376000</v>
      </c>
      <c r="D42" s="33" t="str">
        <f aca="false">IF(B42="","",IFERROR(INDEX(계좌!$B$2:$B$41,MATCH(B42,계좌!$A$2:$A$41,0)),"?"))</f>
        <v>주식계좌</v>
      </c>
      <c r="E42" s="33" t="str">
        <f aca="false">IF(B42="","",IFERROR(INDEX(계좌!$D$2:$D$41,MATCH(B42,계좌!$A$2:$A$41,0)),"?"))</f>
        <v>투자</v>
      </c>
      <c r="F42" s="33" t="str">
        <f aca="false">IF(B42="","",IFERROR(INDEX(계좌!$E$2:$E$41,MATCH(B42,계좌!$A$2:$A$41,0)),"?"))</f>
        <v>본인</v>
      </c>
      <c r="G42" s="33" t="str">
        <f aca="false">IF(B42="","",IFERROR(INDEX(계좌!$F$2:$F$41,MATCH(B42,계좌!$A$2:$A$41,0)),"?"))</f>
        <v>즉시</v>
      </c>
    </row>
    <row r="43" customFormat="false" ht="15" hidden="false" customHeight="false" outlineLevel="0" collapsed="false">
      <c r="A43" s="38" t="s">
        <v>195</v>
      </c>
      <c r="B43" s="37" t="s">
        <v>184</v>
      </c>
      <c r="C43" s="35" t="n">
        <v>20066000</v>
      </c>
      <c r="D43" s="33" t="str">
        <f aca="false">IF(B43="","",IFERROR(INDEX(계좌!$B$2:$B$41,MATCH(B43,계좌!$A$2:$A$41,0)),"?"))</f>
        <v>ISA(중개형)</v>
      </c>
      <c r="E43" s="33" t="str">
        <f aca="false">IF(B43="","",IFERROR(INDEX(계좌!$D$2:$D$41,MATCH(B43,계좌!$A$2:$A$41,0)),"?"))</f>
        <v>투자</v>
      </c>
      <c r="F43" s="33" t="str">
        <f aca="false">IF(B43="","",IFERROR(INDEX(계좌!$E$2:$E$41,MATCH(B43,계좌!$A$2:$A$41,0)),"?"))</f>
        <v>배우자</v>
      </c>
      <c r="G43" s="33" t="str">
        <f aca="false">IF(B43="","",IFERROR(INDEX(계좌!$F$2:$F$41,MATCH(B43,계좌!$A$2:$A$41,0)),"?"))</f>
        <v>장기</v>
      </c>
    </row>
    <row r="44" customFormat="false" ht="15" hidden="false" customHeight="false" outlineLevel="0" collapsed="false">
      <c r="A44" s="38" t="s">
        <v>195</v>
      </c>
      <c r="B44" s="37" t="s">
        <v>185</v>
      </c>
      <c r="C44" s="35" t="n">
        <v>14435000</v>
      </c>
      <c r="D44" s="33" t="str">
        <f aca="false">IF(B44="","",IFERROR(INDEX(계좌!$B$2:$B$41,MATCH(B44,계좌!$A$2:$A$41,0)),"?"))</f>
        <v>해외주식계좌</v>
      </c>
      <c r="E44" s="33" t="str">
        <f aca="false">IF(B44="","",IFERROR(INDEX(계좌!$D$2:$D$41,MATCH(B44,계좌!$A$2:$A$41,0)),"?"))</f>
        <v>투자</v>
      </c>
      <c r="F44" s="33" t="str">
        <f aca="false">IF(B44="","",IFERROR(INDEX(계좌!$E$2:$E$41,MATCH(B44,계좌!$A$2:$A$41,0)),"?"))</f>
        <v>공동</v>
      </c>
      <c r="G44" s="33" t="str">
        <f aca="false">IF(B44="","",IFERROR(INDEX(계좌!$F$2:$F$41,MATCH(B44,계좌!$A$2:$A$41,0)),"?"))</f>
        <v>즉시</v>
      </c>
    </row>
    <row r="45" customFormat="false" ht="15" hidden="false" customHeight="false" outlineLevel="0" collapsed="false">
      <c r="A45" s="38" t="s">
        <v>195</v>
      </c>
      <c r="B45" s="37" t="s">
        <v>186</v>
      </c>
      <c r="C45" s="35" t="n">
        <v>22571000</v>
      </c>
      <c r="D45" s="33" t="str">
        <f aca="false">IF(B45="","",IFERROR(INDEX(계좌!$B$2:$B$41,MATCH(B45,계좌!$A$2:$A$41,0)),"?"))</f>
        <v>연금저축펀드</v>
      </c>
      <c r="E45" s="33" t="str">
        <f aca="false">IF(B45="","",IFERROR(INDEX(계좌!$D$2:$D$41,MATCH(B45,계좌!$A$2:$A$41,0)),"?"))</f>
        <v>연금</v>
      </c>
      <c r="F45" s="33" t="str">
        <f aca="false">IF(B45="","",IFERROR(INDEX(계좌!$E$2:$E$41,MATCH(B45,계좌!$A$2:$A$41,0)),"?"))</f>
        <v>본인</v>
      </c>
      <c r="G45" s="33" t="str">
        <f aca="false">IF(B45="","",IFERROR(INDEX(계좌!$F$2:$F$41,MATCH(B45,계좌!$A$2:$A$41,0)),"?"))</f>
        <v>장기</v>
      </c>
    </row>
    <row r="46" customFormat="false" ht="15" hidden="false" customHeight="false" outlineLevel="0" collapsed="false">
      <c r="A46" s="38" t="s">
        <v>195</v>
      </c>
      <c r="B46" s="37" t="s">
        <v>187</v>
      </c>
      <c r="C46" s="35" t="n">
        <v>12259000</v>
      </c>
      <c r="D46" s="33" t="str">
        <f aca="false">IF(B46="","",IFERROR(INDEX(계좌!$B$2:$B$41,MATCH(B46,계좌!$A$2:$A$41,0)),"?"))</f>
        <v>IRP</v>
      </c>
      <c r="E46" s="33" t="str">
        <f aca="false">IF(B46="","",IFERROR(INDEX(계좌!$D$2:$D$41,MATCH(B46,계좌!$A$2:$A$41,0)),"?"))</f>
        <v>연금</v>
      </c>
      <c r="F46" s="33" t="str">
        <f aca="false">IF(B46="","",IFERROR(INDEX(계좌!$E$2:$E$41,MATCH(B46,계좌!$A$2:$A$41,0)),"?"))</f>
        <v>배우자</v>
      </c>
      <c r="G46" s="33" t="str">
        <f aca="false">IF(B46="","",IFERROR(INDEX(계좌!$F$2:$F$41,MATCH(B46,계좌!$A$2:$A$41,0)),"?"))</f>
        <v>장기</v>
      </c>
    </row>
    <row r="47" customFormat="false" ht="15" hidden="false" customHeight="false" outlineLevel="0" collapsed="false">
      <c r="A47" s="38" t="s">
        <v>195</v>
      </c>
      <c r="B47" s="37" t="s">
        <v>188</v>
      </c>
      <c r="C47" s="35" t="n">
        <v>38755000</v>
      </c>
      <c r="D47" s="33" t="str">
        <f aca="false">IF(B47="","",IFERROR(INDEX(계좌!$B$2:$B$41,MATCH(B47,계좌!$A$2:$A$41,0)),"?"))</f>
        <v>퇴직연금(DC)</v>
      </c>
      <c r="E47" s="33" t="str">
        <f aca="false">IF(B47="","",IFERROR(INDEX(계좌!$D$2:$D$41,MATCH(B47,계좌!$A$2:$A$41,0)),"?"))</f>
        <v>연금</v>
      </c>
      <c r="F47" s="33" t="str">
        <f aca="false">IF(B47="","",IFERROR(INDEX(계좌!$E$2:$E$41,MATCH(B47,계좌!$A$2:$A$41,0)),"?"))</f>
        <v>본인</v>
      </c>
      <c r="G47" s="33" t="str">
        <f aca="false">IF(B47="","",IFERROR(INDEX(계좌!$F$2:$F$41,MATCH(B47,계좌!$A$2:$A$41,0)),"?"))</f>
        <v>장기</v>
      </c>
    </row>
    <row r="48" customFormat="false" ht="15" hidden="false" customHeight="false" outlineLevel="0" collapsed="false">
      <c r="A48" s="38" t="s">
        <v>195</v>
      </c>
      <c r="B48" s="37" t="s">
        <v>189</v>
      </c>
      <c r="C48" s="35" t="n">
        <v>784000000</v>
      </c>
      <c r="D48" s="33" t="str">
        <f aca="false">IF(B48="","",IFERROR(INDEX(계좌!$B$2:$B$41,MATCH(B48,계좌!$A$2:$A$41,0)),"?"))</f>
        <v>아파트(실거주)</v>
      </c>
      <c r="E48" s="33" t="str">
        <f aca="false">IF(B48="","",IFERROR(INDEX(계좌!$D$2:$D$41,MATCH(B48,계좌!$A$2:$A$41,0)),"?"))</f>
        <v>부동산</v>
      </c>
      <c r="F48" s="33" t="str">
        <f aca="false">IF(B48="","",IFERROR(INDEX(계좌!$E$2:$E$41,MATCH(B48,계좌!$A$2:$A$41,0)),"?"))</f>
        <v>공동</v>
      </c>
      <c r="G48" s="33" t="str">
        <f aca="false">IF(B48="","",IFERROR(INDEX(계좌!$F$2:$F$41,MATCH(B48,계좌!$A$2:$A$41,0)),"?"))</f>
        <v>장기</v>
      </c>
    </row>
    <row r="49" customFormat="false" ht="15" hidden="false" customHeight="false" outlineLevel="0" collapsed="false">
      <c r="A49" s="38" t="s">
        <v>195</v>
      </c>
      <c r="B49" s="37" t="s">
        <v>190</v>
      </c>
      <c r="C49" s="35" t="n">
        <v>23500000</v>
      </c>
      <c r="D49" s="33" t="str">
        <f aca="false">IF(B49="","",IFERROR(INDEX(계좌!$B$2:$B$41,MATCH(B49,계좌!$A$2:$A$41,0)),"?"))</f>
        <v>자동차</v>
      </c>
      <c r="E49" s="33" t="str">
        <f aca="false">IF(B49="","",IFERROR(INDEX(계좌!$D$2:$D$41,MATCH(B49,계좌!$A$2:$A$41,0)),"?"))</f>
        <v>기타자산</v>
      </c>
      <c r="F49" s="33" t="str">
        <f aca="false">IF(B49="","",IFERROR(INDEX(계좌!$E$2:$E$41,MATCH(B49,계좌!$A$2:$A$41,0)),"?"))</f>
        <v>공동</v>
      </c>
      <c r="G49" s="33" t="str">
        <f aca="false">IF(B49="","",IFERROR(INDEX(계좌!$F$2:$F$41,MATCH(B49,계좌!$A$2:$A$41,0)),"?"))</f>
        <v>장기</v>
      </c>
    </row>
    <row r="50" customFormat="false" ht="15" hidden="false" customHeight="false" outlineLevel="0" collapsed="false">
      <c r="A50" s="38" t="s">
        <v>195</v>
      </c>
      <c r="B50" s="37" t="s">
        <v>191</v>
      </c>
      <c r="C50" s="35" t="n">
        <v>290800000</v>
      </c>
      <c r="D50" s="33" t="str">
        <f aca="false">IF(B50="","",IFERROR(INDEX(계좌!$B$2:$B$41,MATCH(B50,계좌!$A$2:$A$41,0)),"?"))</f>
        <v>주택담보대출</v>
      </c>
      <c r="E50" s="33" t="str">
        <f aca="false">IF(B50="","",IFERROR(INDEX(계좌!$D$2:$D$41,MATCH(B50,계좌!$A$2:$A$41,0)),"?"))</f>
        <v>부채</v>
      </c>
      <c r="F50" s="33" t="str">
        <f aca="false">IF(B50="","",IFERROR(INDEX(계좌!$E$2:$E$41,MATCH(B50,계좌!$A$2:$A$41,0)),"?"))</f>
        <v>공동</v>
      </c>
      <c r="G50" s="33" t="str">
        <f aca="false">IF(B50="","",IFERROR(INDEX(계좌!$F$2:$F$41,MATCH(B50,계좌!$A$2:$A$41,0)),"?"))</f>
        <v>장기</v>
      </c>
    </row>
    <row r="51" customFormat="false" ht="15" hidden="false" customHeight="false" outlineLevel="0" collapsed="false">
      <c r="A51" s="38" t="s">
        <v>195</v>
      </c>
      <c r="B51" s="37" t="s">
        <v>192</v>
      </c>
      <c r="C51" s="35" t="n">
        <v>17400000</v>
      </c>
      <c r="D51" s="33" t="str">
        <f aca="false">IF(B51="","",IFERROR(INDEX(계좌!$B$2:$B$41,MATCH(B51,계좌!$A$2:$A$41,0)),"?"))</f>
        <v>신용대출</v>
      </c>
      <c r="E51" s="33" t="str">
        <f aca="false">IF(B51="","",IFERROR(INDEX(계좌!$D$2:$D$41,MATCH(B51,계좌!$A$2:$A$41,0)),"?"))</f>
        <v>부채</v>
      </c>
      <c r="F51" s="33" t="str">
        <f aca="false">IF(B51="","",IFERROR(INDEX(계좌!$E$2:$E$41,MATCH(B51,계좌!$A$2:$A$41,0)),"?"))</f>
        <v>본인</v>
      </c>
      <c r="G51" s="33" t="str">
        <f aca="false">IF(B51="","",IFERROR(INDEX(계좌!$F$2:$F$41,MATCH(B51,계좌!$A$2:$A$41,0)),"?"))</f>
        <v>장기</v>
      </c>
    </row>
    <row r="52" customFormat="false" ht="15" hidden="false" customHeight="false" outlineLevel="0" collapsed="false">
      <c r="A52" s="38" t="s">
        <v>195</v>
      </c>
      <c r="B52" s="37" t="s">
        <v>193</v>
      </c>
      <c r="C52" s="35" t="n">
        <v>3184000</v>
      </c>
      <c r="D52" s="33" t="str">
        <f aca="false">IF(B52="","",IFERROR(INDEX(계좌!$B$2:$B$41,MATCH(B52,계좌!$A$2:$A$41,0)),"?"))</f>
        <v>카드 결제예정액</v>
      </c>
      <c r="E52" s="33" t="str">
        <f aca="false">IF(B52="","",IFERROR(INDEX(계좌!$D$2:$D$41,MATCH(B52,계좌!$A$2:$A$41,0)),"?"))</f>
        <v>부채</v>
      </c>
      <c r="F52" s="33" t="str">
        <f aca="false">IF(B52="","",IFERROR(INDEX(계좌!$E$2:$E$41,MATCH(B52,계좌!$A$2:$A$41,0)),"?"))</f>
        <v>공동</v>
      </c>
      <c r="G52" s="33" t="str">
        <f aca="false">IF(B52="","",IFERROR(INDEX(계좌!$F$2:$F$41,MATCH(B52,계좌!$A$2:$A$41,0)),"?"))</f>
        <v>즉시</v>
      </c>
    </row>
    <row r="53" customFormat="false" ht="15" hidden="false" customHeight="false" outlineLevel="0" collapsed="false">
      <c r="A53" s="38" t="s">
        <v>196</v>
      </c>
      <c r="B53" s="37" t="s">
        <v>177</v>
      </c>
      <c r="C53" s="35" t="n">
        <v>2314000</v>
      </c>
      <c r="D53" s="33" t="str">
        <f aca="false">IF(B53="","",IFERROR(INDEX(계좌!$B$2:$B$41,MATCH(B53,계좌!$A$2:$A$41,0)),"?"))</f>
        <v>급여통장(본인)</v>
      </c>
      <c r="E53" s="33" t="str">
        <f aca="false">IF(B53="","",IFERROR(INDEX(계좌!$D$2:$D$41,MATCH(B53,계좌!$A$2:$A$41,0)),"?"))</f>
        <v>현금성</v>
      </c>
      <c r="F53" s="33" t="str">
        <f aca="false">IF(B53="","",IFERROR(INDEX(계좌!$E$2:$E$41,MATCH(B53,계좌!$A$2:$A$41,0)),"?"))</f>
        <v>본인</v>
      </c>
      <c r="G53" s="33" t="str">
        <f aca="false">IF(B53="","",IFERROR(INDEX(계좌!$F$2:$F$41,MATCH(B53,계좌!$A$2:$A$41,0)),"?"))</f>
        <v>즉시</v>
      </c>
    </row>
    <row r="54" customFormat="false" ht="15" hidden="false" customHeight="false" outlineLevel="0" collapsed="false">
      <c r="A54" s="38" t="s">
        <v>196</v>
      </c>
      <c r="B54" s="37" t="s">
        <v>178</v>
      </c>
      <c r="C54" s="35" t="n">
        <v>1539000</v>
      </c>
      <c r="D54" s="33" t="str">
        <f aca="false">IF(B54="","",IFERROR(INDEX(계좌!$B$2:$B$41,MATCH(B54,계좌!$A$2:$A$41,0)),"?"))</f>
        <v>급여통장(배우자)</v>
      </c>
      <c r="E54" s="33" t="str">
        <f aca="false">IF(B54="","",IFERROR(INDEX(계좌!$D$2:$D$41,MATCH(B54,계좌!$A$2:$A$41,0)),"?"))</f>
        <v>현금성</v>
      </c>
      <c r="F54" s="33" t="str">
        <f aca="false">IF(B54="","",IFERROR(INDEX(계좌!$E$2:$E$41,MATCH(B54,계좌!$A$2:$A$41,0)),"?"))</f>
        <v>배우자</v>
      </c>
      <c r="G54" s="33" t="str">
        <f aca="false">IF(B54="","",IFERROR(INDEX(계좌!$F$2:$F$41,MATCH(B54,계좌!$A$2:$A$41,0)),"?"))</f>
        <v>즉시</v>
      </c>
    </row>
    <row r="55" customFormat="false" ht="15" hidden="false" customHeight="false" outlineLevel="0" collapsed="false">
      <c r="A55" s="38" t="s">
        <v>196</v>
      </c>
      <c r="B55" s="37" t="s">
        <v>179</v>
      </c>
      <c r="C55" s="35" t="n">
        <v>2068000</v>
      </c>
      <c r="D55" s="33" t="str">
        <f aca="false">IF(B55="","",IFERROR(INDEX(계좌!$B$2:$B$41,MATCH(B55,계좌!$A$2:$A$41,0)),"?"))</f>
        <v>생활비통장</v>
      </c>
      <c r="E55" s="33" t="str">
        <f aca="false">IF(B55="","",IFERROR(INDEX(계좌!$D$2:$D$41,MATCH(B55,계좌!$A$2:$A$41,0)),"?"))</f>
        <v>현금성</v>
      </c>
      <c r="F55" s="33" t="str">
        <f aca="false">IF(B55="","",IFERROR(INDEX(계좌!$E$2:$E$41,MATCH(B55,계좌!$A$2:$A$41,0)),"?"))</f>
        <v>공동</v>
      </c>
      <c r="G55" s="33" t="str">
        <f aca="false">IF(B55="","",IFERROR(INDEX(계좌!$F$2:$F$41,MATCH(B55,계좌!$A$2:$A$41,0)),"?"))</f>
        <v>즉시</v>
      </c>
    </row>
    <row r="56" customFormat="false" ht="15" hidden="false" customHeight="false" outlineLevel="0" collapsed="false">
      <c r="A56" s="38" t="s">
        <v>196</v>
      </c>
      <c r="B56" s="37" t="s">
        <v>180</v>
      </c>
      <c r="C56" s="35" t="n">
        <v>10650000</v>
      </c>
      <c r="D56" s="33" t="str">
        <f aca="false">IF(B56="","",IFERROR(INDEX(계좌!$B$2:$B$41,MATCH(B56,계좌!$A$2:$A$41,0)),"?"))</f>
        <v>비상금 파킹통장</v>
      </c>
      <c r="E56" s="33" t="str">
        <f aca="false">IF(B56="","",IFERROR(INDEX(계좌!$D$2:$D$41,MATCH(B56,계좌!$A$2:$A$41,0)),"?"))</f>
        <v>현금성</v>
      </c>
      <c r="F56" s="33" t="str">
        <f aca="false">IF(B56="","",IFERROR(INDEX(계좌!$E$2:$E$41,MATCH(B56,계좌!$A$2:$A$41,0)),"?"))</f>
        <v>공동</v>
      </c>
      <c r="G56" s="33" t="str">
        <f aca="false">IF(B56="","",IFERROR(INDEX(계좌!$F$2:$F$41,MATCH(B56,계좌!$A$2:$A$41,0)),"?"))</f>
        <v>즉시</v>
      </c>
    </row>
    <row r="57" customFormat="false" ht="15" hidden="false" customHeight="false" outlineLevel="0" collapsed="false">
      <c r="A57" s="38" t="s">
        <v>196</v>
      </c>
      <c r="B57" s="37" t="s">
        <v>181</v>
      </c>
      <c r="C57" s="35" t="n">
        <v>13200000</v>
      </c>
      <c r="D57" s="33" t="str">
        <f aca="false">IF(B57="","",IFERROR(INDEX(계좌!$B$2:$B$41,MATCH(B57,계좌!$A$2:$A$41,0)),"?"))</f>
        <v>주택청약종합저축</v>
      </c>
      <c r="E57" s="33" t="str">
        <f aca="false">IF(B57="","",IFERROR(INDEX(계좌!$D$2:$D$41,MATCH(B57,계좌!$A$2:$A$41,0)),"?"))</f>
        <v>현금성</v>
      </c>
      <c r="F57" s="33" t="str">
        <f aca="false">IF(B57="","",IFERROR(INDEX(계좌!$E$2:$E$41,MATCH(B57,계좌!$A$2:$A$41,0)),"?"))</f>
        <v>본인</v>
      </c>
      <c r="G57" s="33" t="str">
        <f aca="false">IF(B57="","",IFERROR(INDEX(계좌!$F$2:$F$41,MATCH(B57,계좌!$A$2:$A$41,0)),"?"))</f>
        <v>장기</v>
      </c>
    </row>
    <row r="58" customFormat="false" ht="15" hidden="false" customHeight="false" outlineLevel="0" collapsed="false">
      <c r="A58" s="38" t="s">
        <v>196</v>
      </c>
      <c r="B58" s="37" t="s">
        <v>182</v>
      </c>
      <c r="C58" s="35" t="n">
        <v>3900000</v>
      </c>
      <c r="D58" s="33" t="str">
        <f aca="false">IF(B58="","",IFERROR(INDEX(계좌!$B$2:$B$41,MATCH(B58,계좌!$A$2:$A$41,0)),"?"))</f>
        <v>정기적금</v>
      </c>
      <c r="E58" s="33" t="str">
        <f aca="false">IF(B58="","",IFERROR(INDEX(계좌!$D$2:$D$41,MATCH(B58,계좌!$A$2:$A$41,0)),"?"))</f>
        <v>현금성</v>
      </c>
      <c r="F58" s="33" t="str">
        <f aca="false">IF(B58="","",IFERROR(INDEX(계좌!$E$2:$E$41,MATCH(B58,계좌!$A$2:$A$41,0)),"?"))</f>
        <v>공동</v>
      </c>
      <c r="G58" s="33" t="str">
        <f aca="false">IF(B58="","",IFERROR(INDEX(계좌!$F$2:$F$41,MATCH(B58,계좌!$A$2:$A$41,0)),"?"))</f>
        <v>1년내</v>
      </c>
    </row>
    <row r="59" customFormat="false" ht="15" hidden="false" customHeight="false" outlineLevel="0" collapsed="false">
      <c r="A59" s="38" t="s">
        <v>196</v>
      </c>
      <c r="B59" s="37" t="s">
        <v>183</v>
      </c>
      <c r="C59" s="35" t="n">
        <v>35605000</v>
      </c>
      <c r="D59" s="33" t="str">
        <f aca="false">IF(B59="","",IFERROR(INDEX(계좌!$B$2:$B$41,MATCH(B59,계좌!$A$2:$A$41,0)),"?"))</f>
        <v>주식계좌</v>
      </c>
      <c r="E59" s="33" t="str">
        <f aca="false">IF(B59="","",IFERROR(INDEX(계좌!$D$2:$D$41,MATCH(B59,계좌!$A$2:$A$41,0)),"?"))</f>
        <v>투자</v>
      </c>
      <c r="F59" s="33" t="str">
        <f aca="false">IF(B59="","",IFERROR(INDEX(계좌!$E$2:$E$41,MATCH(B59,계좌!$A$2:$A$41,0)),"?"))</f>
        <v>본인</v>
      </c>
      <c r="G59" s="33" t="str">
        <f aca="false">IF(B59="","",IFERROR(INDEX(계좌!$F$2:$F$41,MATCH(B59,계좌!$A$2:$A$41,0)),"?"))</f>
        <v>즉시</v>
      </c>
    </row>
    <row r="60" customFormat="false" ht="15" hidden="false" customHeight="false" outlineLevel="0" collapsed="false">
      <c r="A60" s="38" t="s">
        <v>196</v>
      </c>
      <c r="B60" s="37" t="s">
        <v>184</v>
      </c>
      <c r="C60" s="35" t="n">
        <v>20829000</v>
      </c>
      <c r="D60" s="33" t="str">
        <f aca="false">IF(B60="","",IFERROR(INDEX(계좌!$B$2:$B$41,MATCH(B60,계좌!$A$2:$A$41,0)),"?"))</f>
        <v>ISA(중개형)</v>
      </c>
      <c r="E60" s="33" t="str">
        <f aca="false">IF(B60="","",IFERROR(INDEX(계좌!$D$2:$D$41,MATCH(B60,계좌!$A$2:$A$41,0)),"?"))</f>
        <v>투자</v>
      </c>
      <c r="F60" s="33" t="str">
        <f aca="false">IF(B60="","",IFERROR(INDEX(계좌!$E$2:$E$41,MATCH(B60,계좌!$A$2:$A$41,0)),"?"))</f>
        <v>배우자</v>
      </c>
      <c r="G60" s="33" t="str">
        <f aca="false">IF(B60="","",IFERROR(INDEX(계좌!$F$2:$F$41,MATCH(B60,계좌!$A$2:$A$41,0)),"?"))</f>
        <v>장기</v>
      </c>
    </row>
    <row r="61" customFormat="false" ht="15" hidden="false" customHeight="false" outlineLevel="0" collapsed="false">
      <c r="A61" s="38" t="s">
        <v>196</v>
      </c>
      <c r="B61" s="37" t="s">
        <v>185</v>
      </c>
      <c r="C61" s="35" t="n">
        <v>14409000</v>
      </c>
      <c r="D61" s="33" t="str">
        <f aca="false">IF(B61="","",IFERROR(INDEX(계좌!$B$2:$B$41,MATCH(B61,계좌!$A$2:$A$41,0)),"?"))</f>
        <v>해외주식계좌</v>
      </c>
      <c r="E61" s="33" t="str">
        <f aca="false">IF(B61="","",IFERROR(INDEX(계좌!$D$2:$D$41,MATCH(B61,계좌!$A$2:$A$41,0)),"?"))</f>
        <v>투자</v>
      </c>
      <c r="F61" s="33" t="str">
        <f aca="false">IF(B61="","",IFERROR(INDEX(계좌!$E$2:$E$41,MATCH(B61,계좌!$A$2:$A$41,0)),"?"))</f>
        <v>공동</v>
      </c>
      <c r="G61" s="33" t="str">
        <f aca="false">IF(B61="","",IFERROR(INDEX(계좌!$F$2:$F$41,MATCH(B61,계좌!$A$2:$A$41,0)),"?"))</f>
        <v>즉시</v>
      </c>
    </row>
    <row r="62" customFormat="false" ht="15" hidden="false" customHeight="false" outlineLevel="0" collapsed="false">
      <c r="A62" s="38" t="s">
        <v>196</v>
      </c>
      <c r="B62" s="37" t="s">
        <v>186</v>
      </c>
      <c r="C62" s="35" t="n">
        <v>22905000</v>
      </c>
      <c r="D62" s="33" t="str">
        <f aca="false">IF(B62="","",IFERROR(INDEX(계좌!$B$2:$B$41,MATCH(B62,계좌!$A$2:$A$41,0)),"?"))</f>
        <v>연금저축펀드</v>
      </c>
      <c r="E62" s="33" t="str">
        <f aca="false">IF(B62="","",IFERROR(INDEX(계좌!$D$2:$D$41,MATCH(B62,계좌!$A$2:$A$41,0)),"?"))</f>
        <v>연금</v>
      </c>
      <c r="F62" s="33" t="str">
        <f aca="false">IF(B62="","",IFERROR(INDEX(계좌!$E$2:$E$41,MATCH(B62,계좌!$A$2:$A$41,0)),"?"))</f>
        <v>본인</v>
      </c>
      <c r="G62" s="33" t="str">
        <f aca="false">IF(B62="","",IFERROR(INDEX(계좌!$F$2:$F$41,MATCH(B62,계좌!$A$2:$A$41,0)),"?"))</f>
        <v>장기</v>
      </c>
    </row>
    <row r="63" customFormat="false" ht="15" hidden="false" customHeight="false" outlineLevel="0" collapsed="false">
      <c r="A63" s="38" t="s">
        <v>196</v>
      </c>
      <c r="B63" s="37" t="s">
        <v>187</v>
      </c>
      <c r="C63" s="35" t="n">
        <v>12494000</v>
      </c>
      <c r="D63" s="33" t="str">
        <f aca="false">IF(B63="","",IFERROR(INDEX(계좌!$B$2:$B$41,MATCH(B63,계좌!$A$2:$A$41,0)),"?"))</f>
        <v>IRP</v>
      </c>
      <c r="E63" s="33" t="str">
        <f aca="false">IF(B63="","",IFERROR(INDEX(계좌!$D$2:$D$41,MATCH(B63,계좌!$A$2:$A$41,0)),"?"))</f>
        <v>연금</v>
      </c>
      <c r="F63" s="33" t="str">
        <f aca="false">IF(B63="","",IFERROR(INDEX(계좌!$E$2:$E$41,MATCH(B63,계좌!$A$2:$A$41,0)),"?"))</f>
        <v>배우자</v>
      </c>
      <c r="G63" s="33" t="str">
        <f aca="false">IF(B63="","",IFERROR(INDEX(계좌!$F$2:$F$41,MATCH(B63,계좌!$A$2:$A$41,0)),"?"))</f>
        <v>장기</v>
      </c>
    </row>
    <row r="64" customFormat="false" ht="15" hidden="false" customHeight="false" outlineLevel="0" collapsed="false">
      <c r="A64" s="38" t="s">
        <v>196</v>
      </c>
      <c r="B64" s="37" t="s">
        <v>188</v>
      </c>
      <c r="C64" s="35" t="n">
        <v>39619000</v>
      </c>
      <c r="D64" s="33" t="str">
        <f aca="false">IF(B64="","",IFERROR(INDEX(계좌!$B$2:$B$41,MATCH(B64,계좌!$A$2:$A$41,0)),"?"))</f>
        <v>퇴직연금(DC)</v>
      </c>
      <c r="E64" s="33" t="str">
        <f aca="false">IF(B64="","",IFERROR(INDEX(계좌!$D$2:$D$41,MATCH(B64,계좌!$A$2:$A$41,0)),"?"))</f>
        <v>연금</v>
      </c>
      <c r="F64" s="33" t="str">
        <f aca="false">IF(B64="","",IFERROR(INDEX(계좌!$E$2:$E$41,MATCH(B64,계좌!$A$2:$A$41,0)),"?"))</f>
        <v>본인</v>
      </c>
      <c r="G64" s="33" t="str">
        <f aca="false">IF(B64="","",IFERROR(INDEX(계좌!$F$2:$F$41,MATCH(B64,계좌!$A$2:$A$41,0)),"?"))</f>
        <v>장기</v>
      </c>
    </row>
    <row r="65" customFormat="false" ht="15" hidden="false" customHeight="false" outlineLevel="0" collapsed="false">
      <c r="A65" s="38" t="s">
        <v>196</v>
      </c>
      <c r="B65" s="37" t="s">
        <v>189</v>
      </c>
      <c r="C65" s="35" t="n">
        <v>786000000</v>
      </c>
      <c r="D65" s="33" t="str">
        <f aca="false">IF(B65="","",IFERROR(INDEX(계좌!$B$2:$B$41,MATCH(B65,계좌!$A$2:$A$41,0)),"?"))</f>
        <v>아파트(실거주)</v>
      </c>
      <c r="E65" s="33" t="str">
        <f aca="false">IF(B65="","",IFERROR(INDEX(계좌!$D$2:$D$41,MATCH(B65,계좌!$A$2:$A$41,0)),"?"))</f>
        <v>부동산</v>
      </c>
      <c r="F65" s="33" t="str">
        <f aca="false">IF(B65="","",IFERROR(INDEX(계좌!$E$2:$E$41,MATCH(B65,계좌!$A$2:$A$41,0)),"?"))</f>
        <v>공동</v>
      </c>
      <c r="G65" s="33" t="str">
        <f aca="false">IF(B65="","",IFERROR(INDEX(계좌!$F$2:$F$41,MATCH(B65,계좌!$A$2:$A$41,0)),"?"))</f>
        <v>장기</v>
      </c>
    </row>
    <row r="66" customFormat="false" ht="15" hidden="false" customHeight="false" outlineLevel="0" collapsed="false">
      <c r="A66" s="38" t="s">
        <v>196</v>
      </c>
      <c r="B66" s="37" t="s">
        <v>190</v>
      </c>
      <c r="C66" s="35" t="n">
        <v>23250000</v>
      </c>
      <c r="D66" s="33" t="str">
        <f aca="false">IF(B66="","",IFERROR(INDEX(계좌!$B$2:$B$41,MATCH(B66,계좌!$A$2:$A$41,0)),"?"))</f>
        <v>자동차</v>
      </c>
      <c r="E66" s="33" t="str">
        <f aca="false">IF(B66="","",IFERROR(INDEX(계좌!$D$2:$D$41,MATCH(B66,계좌!$A$2:$A$41,0)),"?"))</f>
        <v>기타자산</v>
      </c>
      <c r="F66" s="33" t="str">
        <f aca="false">IF(B66="","",IFERROR(INDEX(계좌!$E$2:$E$41,MATCH(B66,계좌!$A$2:$A$41,0)),"?"))</f>
        <v>공동</v>
      </c>
      <c r="G66" s="33" t="str">
        <f aca="false">IF(B66="","",IFERROR(INDEX(계좌!$F$2:$F$41,MATCH(B66,계좌!$A$2:$A$41,0)),"?"))</f>
        <v>장기</v>
      </c>
    </row>
    <row r="67" customFormat="false" ht="15" hidden="false" customHeight="false" outlineLevel="0" collapsed="false">
      <c r="A67" s="38" t="s">
        <v>196</v>
      </c>
      <c r="B67" s="37" t="s">
        <v>191</v>
      </c>
      <c r="C67" s="35" t="n">
        <v>290200000</v>
      </c>
      <c r="D67" s="33" t="str">
        <f aca="false">IF(B67="","",IFERROR(INDEX(계좌!$B$2:$B$41,MATCH(B67,계좌!$A$2:$A$41,0)),"?"))</f>
        <v>주택담보대출</v>
      </c>
      <c r="E67" s="33" t="str">
        <f aca="false">IF(B67="","",IFERROR(INDEX(계좌!$D$2:$D$41,MATCH(B67,계좌!$A$2:$A$41,0)),"?"))</f>
        <v>부채</v>
      </c>
      <c r="F67" s="33" t="str">
        <f aca="false">IF(B67="","",IFERROR(INDEX(계좌!$E$2:$E$41,MATCH(B67,계좌!$A$2:$A$41,0)),"?"))</f>
        <v>공동</v>
      </c>
      <c r="G67" s="33" t="str">
        <f aca="false">IF(B67="","",IFERROR(INDEX(계좌!$F$2:$F$41,MATCH(B67,계좌!$A$2:$A$41,0)),"?"))</f>
        <v>장기</v>
      </c>
    </row>
    <row r="68" customFormat="false" ht="15" hidden="false" customHeight="false" outlineLevel="0" collapsed="false">
      <c r="A68" s="38" t="s">
        <v>196</v>
      </c>
      <c r="B68" s="37" t="s">
        <v>192</v>
      </c>
      <c r="C68" s="35" t="n">
        <v>17100000</v>
      </c>
      <c r="D68" s="33" t="str">
        <f aca="false">IF(B68="","",IFERROR(INDEX(계좌!$B$2:$B$41,MATCH(B68,계좌!$A$2:$A$41,0)),"?"))</f>
        <v>신용대출</v>
      </c>
      <c r="E68" s="33" t="str">
        <f aca="false">IF(B68="","",IFERROR(INDEX(계좌!$D$2:$D$41,MATCH(B68,계좌!$A$2:$A$41,0)),"?"))</f>
        <v>부채</v>
      </c>
      <c r="F68" s="33" t="str">
        <f aca="false">IF(B68="","",IFERROR(INDEX(계좌!$E$2:$E$41,MATCH(B68,계좌!$A$2:$A$41,0)),"?"))</f>
        <v>본인</v>
      </c>
      <c r="G68" s="33" t="str">
        <f aca="false">IF(B68="","",IFERROR(INDEX(계좌!$F$2:$F$41,MATCH(B68,계좌!$A$2:$A$41,0)),"?"))</f>
        <v>장기</v>
      </c>
    </row>
    <row r="69" customFormat="false" ht="15" hidden="false" customHeight="false" outlineLevel="0" collapsed="false">
      <c r="A69" s="38" t="s">
        <v>196</v>
      </c>
      <c r="B69" s="37" t="s">
        <v>193</v>
      </c>
      <c r="C69" s="35" t="n">
        <v>3017000</v>
      </c>
      <c r="D69" s="33" t="str">
        <f aca="false">IF(B69="","",IFERROR(INDEX(계좌!$B$2:$B$41,MATCH(B69,계좌!$A$2:$A$41,0)),"?"))</f>
        <v>카드 결제예정액</v>
      </c>
      <c r="E69" s="33" t="str">
        <f aca="false">IF(B69="","",IFERROR(INDEX(계좌!$D$2:$D$41,MATCH(B69,계좌!$A$2:$A$41,0)),"?"))</f>
        <v>부채</v>
      </c>
      <c r="F69" s="33" t="str">
        <f aca="false">IF(B69="","",IFERROR(INDEX(계좌!$E$2:$E$41,MATCH(B69,계좌!$A$2:$A$41,0)),"?"))</f>
        <v>공동</v>
      </c>
      <c r="G69" s="33" t="str">
        <f aca="false">IF(B69="","",IFERROR(INDEX(계좌!$F$2:$F$41,MATCH(B69,계좌!$A$2:$A$41,0)),"?"))</f>
        <v>즉시</v>
      </c>
    </row>
    <row r="70" customFormat="false" ht="15" hidden="false" customHeight="false" outlineLevel="0" collapsed="false">
      <c r="A70" s="38" t="s">
        <v>197</v>
      </c>
      <c r="B70" s="37" t="s">
        <v>177</v>
      </c>
      <c r="C70" s="35" t="n">
        <v>2583000</v>
      </c>
      <c r="D70" s="33" t="str">
        <f aca="false">IF(B70="","",IFERROR(INDEX(계좌!$B$2:$B$41,MATCH(B70,계좌!$A$2:$A$41,0)),"?"))</f>
        <v>급여통장(본인)</v>
      </c>
      <c r="E70" s="33" t="str">
        <f aca="false">IF(B70="","",IFERROR(INDEX(계좌!$D$2:$D$41,MATCH(B70,계좌!$A$2:$A$41,0)),"?"))</f>
        <v>현금성</v>
      </c>
      <c r="F70" s="33" t="str">
        <f aca="false">IF(B70="","",IFERROR(INDEX(계좌!$E$2:$E$41,MATCH(B70,계좌!$A$2:$A$41,0)),"?"))</f>
        <v>본인</v>
      </c>
      <c r="G70" s="33" t="str">
        <f aca="false">IF(B70="","",IFERROR(INDEX(계좌!$F$2:$F$41,MATCH(B70,계좌!$A$2:$A$41,0)),"?"))</f>
        <v>즉시</v>
      </c>
    </row>
    <row r="71" customFormat="false" ht="15" hidden="false" customHeight="false" outlineLevel="0" collapsed="false">
      <c r="A71" s="38" t="s">
        <v>197</v>
      </c>
      <c r="B71" s="37" t="s">
        <v>178</v>
      </c>
      <c r="C71" s="35" t="n">
        <v>1590000</v>
      </c>
      <c r="D71" s="33" t="str">
        <f aca="false">IF(B71="","",IFERROR(INDEX(계좌!$B$2:$B$41,MATCH(B71,계좌!$A$2:$A$41,0)),"?"))</f>
        <v>급여통장(배우자)</v>
      </c>
      <c r="E71" s="33" t="str">
        <f aca="false">IF(B71="","",IFERROR(INDEX(계좌!$D$2:$D$41,MATCH(B71,계좌!$A$2:$A$41,0)),"?"))</f>
        <v>현금성</v>
      </c>
      <c r="F71" s="33" t="str">
        <f aca="false">IF(B71="","",IFERROR(INDEX(계좌!$E$2:$E$41,MATCH(B71,계좌!$A$2:$A$41,0)),"?"))</f>
        <v>배우자</v>
      </c>
      <c r="G71" s="33" t="str">
        <f aca="false">IF(B71="","",IFERROR(INDEX(계좌!$F$2:$F$41,MATCH(B71,계좌!$A$2:$A$41,0)),"?"))</f>
        <v>즉시</v>
      </c>
    </row>
    <row r="72" customFormat="false" ht="15" hidden="false" customHeight="false" outlineLevel="0" collapsed="false">
      <c r="A72" s="38" t="s">
        <v>197</v>
      </c>
      <c r="B72" s="37" t="s">
        <v>179</v>
      </c>
      <c r="C72" s="35" t="n">
        <v>1730000</v>
      </c>
      <c r="D72" s="33" t="str">
        <f aca="false">IF(B72="","",IFERROR(INDEX(계좌!$B$2:$B$41,MATCH(B72,계좌!$A$2:$A$41,0)),"?"))</f>
        <v>생활비통장</v>
      </c>
      <c r="E72" s="33" t="str">
        <f aca="false">IF(B72="","",IFERROR(INDEX(계좌!$D$2:$D$41,MATCH(B72,계좌!$A$2:$A$41,0)),"?"))</f>
        <v>현금성</v>
      </c>
      <c r="F72" s="33" t="str">
        <f aca="false">IF(B72="","",IFERROR(INDEX(계좌!$E$2:$E$41,MATCH(B72,계좌!$A$2:$A$41,0)),"?"))</f>
        <v>공동</v>
      </c>
      <c r="G72" s="33" t="str">
        <f aca="false">IF(B72="","",IFERROR(INDEX(계좌!$F$2:$F$41,MATCH(B72,계좌!$A$2:$A$41,0)),"?"))</f>
        <v>즉시</v>
      </c>
    </row>
    <row r="73" customFormat="false" ht="15" hidden="false" customHeight="false" outlineLevel="0" collapsed="false">
      <c r="A73" s="38" t="s">
        <v>197</v>
      </c>
      <c r="B73" s="37" t="s">
        <v>180</v>
      </c>
      <c r="C73" s="35" t="n">
        <v>11200000</v>
      </c>
      <c r="D73" s="33" t="str">
        <f aca="false">IF(B73="","",IFERROR(INDEX(계좌!$B$2:$B$41,MATCH(B73,계좌!$A$2:$A$41,0)),"?"))</f>
        <v>비상금 파킹통장</v>
      </c>
      <c r="E73" s="33" t="str">
        <f aca="false">IF(B73="","",IFERROR(INDEX(계좌!$D$2:$D$41,MATCH(B73,계좌!$A$2:$A$41,0)),"?"))</f>
        <v>현금성</v>
      </c>
      <c r="F73" s="33" t="str">
        <f aca="false">IF(B73="","",IFERROR(INDEX(계좌!$E$2:$E$41,MATCH(B73,계좌!$A$2:$A$41,0)),"?"))</f>
        <v>공동</v>
      </c>
      <c r="G73" s="33" t="str">
        <f aca="false">IF(B73="","",IFERROR(INDEX(계좌!$F$2:$F$41,MATCH(B73,계좌!$A$2:$A$41,0)),"?"))</f>
        <v>즉시</v>
      </c>
    </row>
    <row r="74" customFormat="false" ht="15" hidden="false" customHeight="false" outlineLevel="0" collapsed="false">
      <c r="A74" s="38" t="s">
        <v>197</v>
      </c>
      <c r="B74" s="37" t="s">
        <v>181</v>
      </c>
      <c r="C74" s="35" t="n">
        <v>13300000</v>
      </c>
      <c r="D74" s="33" t="str">
        <f aca="false">IF(B74="","",IFERROR(INDEX(계좌!$B$2:$B$41,MATCH(B74,계좌!$A$2:$A$41,0)),"?"))</f>
        <v>주택청약종합저축</v>
      </c>
      <c r="E74" s="33" t="str">
        <f aca="false">IF(B74="","",IFERROR(INDEX(계좌!$D$2:$D$41,MATCH(B74,계좌!$A$2:$A$41,0)),"?"))</f>
        <v>현금성</v>
      </c>
      <c r="F74" s="33" t="str">
        <f aca="false">IF(B74="","",IFERROR(INDEX(계좌!$E$2:$E$41,MATCH(B74,계좌!$A$2:$A$41,0)),"?"))</f>
        <v>본인</v>
      </c>
      <c r="G74" s="33" t="str">
        <f aca="false">IF(B74="","",IFERROR(INDEX(계좌!$F$2:$F$41,MATCH(B74,계좌!$A$2:$A$41,0)),"?"))</f>
        <v>장기</v>
      </c>
    </row>
    <row r="75" customFormat="false" ht="15" hidden="false" customHeight="false" outlineLevel="0" collapsed="false">
      <c r="A75" s="38" t="s">
        <v>197</v>
      </c>
      <c r="B75" s="37" t="s">
        <v>182</v>
      </c>
      <c r="C75" s="35" t="n">
        <v>4200000</v>
      </c>
      <c r="D75" s="33" t="str">
        <f aca="false">IF(B75="","",IFERROR(INDEX(계좌!$B$2:$B$41,MATCH(B75,계좌!$A$2:$A$41,0)),"?"))</f>
        <v>정기적금</v>
      </c>
      <c r="E75" s="33" t="str">
        <f aca="false">IF(B75="","",IFERROR(INDEX(계좌!$D$2:$D$41,MATCH(B75,계좌!$A$2:$A$41,0)),"?"))</f>
        <v>현금성</v>
      </c>
      <c r="F75" s="33" t="str">
        <f aca="false">IF(B75="","",IFERROR(INDEX(계좌!$E$2:$E$41,MATCH(B75,계좌!$A$2:$A$41,0)),"?"))</f>
        <v>공동</v>
      </c>
      <c r="G75" s="33" t="str">
        <f aca="false">IF(B75="","",IFERROR(INDEX(계좌!$F$2:$F$41,MATCH(B75,계좌!$A$2:$A$41,0)),"?"))</f>
        <v>1년내</v>
      </c>
    </row>
    <row r="76" customFormat="false" ht="15" hidden="false" customHeight="false" outlineLevel="0" collapsed="false">
      <c r="A76" s="38" t="s">
        <v>197</v>
      </c>
      <c r="B76" s="37" t="s">
        <v>183</v>
      </c>
      <c r="C76" s="35" t="n">
        <v>37064000</v>
      </c>
      <c r="D76" s="33" t="str">
        <f aca="false">IF(B76="","",IFERROR(INDEX(계좌!$B$2:$B$41,MATCH(B76,계좌!$A$2:$A$41,0)),"?"))</f>
        <v>주식계좌</v>
      </c>
      <c r="E76" s="33" t="str">
        <f aca="false">IF(B76="","",IFERROR(INDEX(계좌!$D$2:$D$41,MATCH(B76,계좌!$A$2:$A$41,0)),"?"))</f>
        <v>투자</v>
      </c>
      <c r="F76" s="33" t="str">
        <f aca="false">IF(B76="","",IFERROR(INDEX(계좌!$E$2:$E$41,MATCH(B76,계좌!$A$2:$A$41,0)),"?"))</f>
        <v>본인</v>
      </c>
      <c r="G76" s="33" t="str">
        <f aca="false">IF(B76="","",IFERROR(INDEX(계좌!$F$2:$F$41,MATCH(B76,계좌!$A$2:$A$41,0)),"?"))</f>
        <v>즉시</v>
      </c>
    </row>
    <row r="77" customFormat="false" ht="15" hidden="false" customHeight="false" outlineLevel="0" collapsed="false">
      <c r="A77" s="38" t="s">
        <v>197</v>
      </c>
      <c r="B77" s="37" t="s">
        <v>184</v>
      </c>
      <c r="C77" s="35" t="n">
        <v>21977000</v>
      </c>
      <c r="D77" s="33" t="str">
        <f aca="false">IF(B77="","",IFERROR(INDEX(계좌!$B$2:$B$41,MATCH(B77,계좌!$A$2:$A$41,0)),"?"))</f>
        <v>ISA(중개형)</v>
      </c>
      <c r="E77" s="33" t="str">
        <f aca="false">IF(B77="","",IFERROR(INDEX(계좌!$D$2:$D$41,MATCH(B77,계좌!$A$2:$A$41,0)),"?"))</f>
        <v>투자</v>
      </c>
      <c r="F77" s="33" t="str">
        <f aca="false">IF(B77="","",IFERROR(INDEX(계좌!$E$2:$E$41,MATCH(B77,계좌!$A$2:$A$41,0)),"?"))</f>
        <v>배우자</v>
      </c>
      <c r="G77" s="33" t="str">
        <f aca="false">IF(B77="","",IFERROR(INDEX(계좌!$F$2:$F$41,MATCH(B77,계좌!$A$2:$A$41,0)),"?"))</f>
        <v>장기</v>
      </c>
    </row>
    <row r="78" customFormat="false" ht="15" hidden="false" customHeight="false" outlineLevel="0" collapsed="false">
      <c r="A78" s="38" t="s">
        <v>197</v>
      </c>
      <c r="B78" s="37" t="s">
        <v>185</v>
      </c>
      <c r="C78" s="35" t="n">
        <v>14764000</v>
      </c>
      <c r="D78" s="33" t="str">
        <f aca="false">IF(B78="","",IFERROR(INDEX(계좌!$B$2:$B$41,MATCH(B78,계좌!$A$2:$A$41,0)),"?"))</f>
        <v>해외주식계좌</v>
      </c>
      <c r="E78" s="33" t="str">
        <f aca="false">IF(B78="","",IFERROR(INDEX(계좌!$D$2:$D$41,MATCH(B78,계좌!$A$2:$A$41,0)),"?"))</f>
        <v>투자</v>
      </c>
      <c r="F78" s="33" t="str">
        <f aca="false">IF(B78="","",IFERROR(INDEX(계좌!$E$2:$E$41,MATCH(B78,계좌!$A$2:$A$41,0)),"?"))</f>
        <v>공동</v>
      </c>
      <c r="G78" s="33" t="str">
        <f aca="false">IF(B78="","",IFERROR(INDEX(계좌!$F$2:$F$41,MATCH(B78,계좌!$A$2:$A$41,0)),"?"))</f>
        <v>즉시</v>
      </c>
    </row>
    <row r="79" customFormat="false" ht="15" hidden="false" customHeight="false" outlineLevel="0" collapsed="false">
      <c r="A79" s="38" t="s">
        <v>197</v>
      </c>
      <c r="B79" s="37" t="s">
        <v>186</v>
      </c>
      <c r="C79" s="35" t="n">
        <v>23340000</v>
      </c>
      <c r="D79" s="33" t="str">
        <f aca="false">IF(B79="","",IFERROR(INDEX(계좌!$B$2:$B$41,MATCH(B79,계좌!$A$2:$A$41,0)),"?"))</f>
        <v>연금저축펀드</v>
      </c>
      <c r="E79" s="33" t="str">
        <f aca="false">IF(B79="","",IFERROR(INDEX(계좌!$D$2:$D$41,MATCH(B79,계좌!$A$2:$A$41,0)),"?"))</f>
        <v>연금</v>
      </c>
      <c r="F79" s="33" t="str">
        <f aca="false">IF(B79="","",IFERROR(INDEX(계좌!$E$2:$E$41,MATCH(B79,계좌!$A$2:$A$41,0)),"?"))</f>
        <v>본인</v>
      </c>
      <c r="G79" s="33" t="str">
        <f aca="false">IF(B79="","",IFERROR(INDEX(계좌!$F$2:$F$41,MATCH(B79,계좌!$A$2:$A$41,0)),"?"))</f>
        <v>장기</v>
      </c>
    </row>
    <row r="80" customFormat="false" ht="15" hidden="false" customHeight="false" outlineLevel="0" collapsed="false">
      <c r="A80" s="38" t="s">
        <v>197</v>
      </c>
      <c r="B80" s="37" t="s">
        <v>187</v>
      </c>
      <c r="C80" s="35" t="n">
        <v>12798000</v>
      </c>
      <c r="D80" s="33" t="str">
        <f aca="false">IF(B80="","",IFERROR(INDEX(계좌!$B$2:$B$41,MATCH(B80,계좌!$A$2:$A$41,0)),"?"))</f>
        <v>IRP</v>
      </c>
      <c r="E80" s="33" t="str">
        <f aca="false">IF(B80="","",IFERROR(INDEX(계좌!$D$2:$D$41,MATCH(B80,계좌!$A$2:$A$41,0)),"?"))</f>
        <v>연금</v>
      </c>
      <c r="F80" s="33" t="str">
        <f aca="false">IF(B80="","",IFERROR(INDEX(계좌!$E$2:$E$41,MATCH(B80,계좌!$A$2:$A$41,0)),"?"))</f>
        <v>배우자</v>
      </c>
      <c r="G80" s="33" t="str">
        <f aca="false">IF(B80="","",IFERROR(INDEX(계좌!$F$2:$F$41,MATCH(B80,계좌!$A$2:$A$41,0)),"?"))</f>
        <v>장기</v>
      </c>
    </row>
    <row r="81" customFormat="false" ht="15" hidden="false" customHeight="false" outlineLevel="0" collapsed="false">
      <c r="A81" s="38" t="s">
        <v>197</v>
      </c>
      <c r="B81" s="37" t="s">
        <v>188</v>
      </c>
      <c r="C81" s="35" t="n">
        <v>40225000</v>
      </c>
      <c r="D81" s="33" t="str">
        <f aca="false">IF(B81="","",IFERROR(INDEX(계좌!$B$2:$B$41,MATCH(B81,계좌!$A$2:$A$41,0)),"?"))</f>
        <v>퇴직연금(DC)</v>
      </c>
      <c r="E81" s="33" t="str">
        <f aca="false">IF(B81="","",IFERROR(INDEX(계좌!$D$2:$D$41,MATCH(B81,계좌!$A$2:$A$41,0)),"?"))</f>
        <v>연금</v>
      </c>
      <c r="F81" s="33" t="str">
        <f aca="false">IF(B81="","",IFERROR(INDEX(계좌!$E$2:$E$41,MATCH(B81,계좌!$A$2:$A$41,0)),"?"))</f>
        <v>본인</v>
      </c>
      <c r="G81" s="33" t="str">
        <f aca="false">IF(B81="","",IFERROR(INDEX(계좌!$F$2:$F$41,MATCH(B81,계좌!$A$2:$A$41,0)),"?"))</f>
        <v>장기</v>
      </c>
    </row>
    <row r="82" customFormat="false" ht="15" hidden="false" customHeight="false" outlineLevel="0" collapsed="false">
      <c r="A82" s="38" t="s">
        <v>197</v>
      </c>
      <c r="B82" s="37" t="s">
        <v>189</v>
      </c>
      <c r="C82" s="35" t="n">
        <v>788000000</v>
      </c>
      <c r="D82" s="33" t="str">
        <f aca="false">IF(B82="","",IFERROR(INDEX(계좌!$B$2:$B$41,MATCH(B82,계좌!$A$2:$A$41,0)),"?"))</f>
        <v>아파트(실거주)</v>
      </c>
      <c r="E82" s="33" t="str">
        <f aca="false">IF(B82="","",IFERROR(INDEX(계좌!$D$2:$D$41,MATCH(B82,계좌!$A$2:$A$41,0)),"?"))</f>
        <v>부동산</v>
      </c>
      <c r="F82" s="33" t="str">
        <f aca="false">IF(B82="","",IFERROR(INDEX(계좌!$E$2:$E$41,MATCH(B82,계좌!$A$2:$A$41,0)),"?"))</f>
        <v>공동</v>
      </c>
      <c r="G82" s="33" t="str">
        <f aca="false">IF(B82="","",IFERROR(INDEX(계좌!$F$2:$F$41,MATCH(B82,계좌!$A$2:$A$41,0)),"?"))</f>
        <v>장기</v>
      </c>
    </row>
    <row r="83" customFormat="false" ht="15" hidden="false" customHeight="false" outlineLevel="0" collapsed="false">
      <c r="A83" s="38" t="s">
        <v>197</v>
      </c>
      <c r="B83" s="37" t="s">
        <v>190</v>
      </c>
      <c r="C83" s="35" t="n">
        <v>23000000</v>
      </c>
      <c r="D83" s="33" t="str">
        <f aca="false">IF(B83="","",IFERROR(INDEX(계좌!$B$2:$B$41,MATCH(B83,계좌!$A$2:$A$41,0)),"?"))</f>
        <v>자동차</v>
      </c>
      <c r="E83" s="33" t="str">
        <f aca="false">IF(B83="","",IFERROR(INDEX(계좌!$D$2:$D$41,MATCH(B83,계좌!$A$2:$A$41,0)),"?"))</f>
        <v>기타자산</v>
      </c>
      <c r="F83" s="33" t="str">
        <f aca="false">IF(B83="","",IFERROR(INDEX(계좌!$E$2:$E$41,MATCH(B83,계좌!$A$2:$A$41,0)),"?"))</f>
        <v>공동</v>
      </c>
      <c r="G83" s="33" t="str">
        <f aca="false">IF(B83="","",IFERROR(INDEX(계좌!$F$2:$F$41,MATCH(B83,계좌!$A$2:$A$41,0)),"?"))</f>
        <v>장기</v>
      </c>
    </row>
    <row r="84" customFormat="false" ht="15" hidden="false" customHeight="false" outlineLevel="0" collapsed="false">
      <c r="A84" s="38" t="s">
        <v>197</v>
      </c>
      <c r="B84" s="37" t="s">
        <v>191</v>
      </c>
      <c r="C84" s="35" t="n">
        <v>289600000</v>
      </c>
      <c r="D84" s="33" t="str">
        <f aca="false">IF(B84="","",IFERROR(INDEX(계좌!$B$2:$B$41,MATCH(B84,계좌!$A$2:$A$41,0)),"?"))</f>
        <v>주택담보대출</v>
      </c>
      <c r="E84" s="33" t="str">
        <f aca="false">IF(B84="","",IFERROR(INDEX(계좌!$D$2:$D$41,MATCH(B84,계좌!$A$2:$A$41,0)),"?"))</f>
        <v>부채</v>
      </c>
      <c r="F84" s="33" t="str">
        <f aca="false">IF(B84="","",IFERROR(INDEX(계좌!$E$2:$E$41,MATCH(B84,계좌!$A$2:$A$41,0)),"?"))</f>
        <v>공동</v>
      </c>
      <c r="G84" s="33" t="str">
        <f aca="false">IF(B84="","",IFERROR(INDEX(계좌!$F$2:$F$41,MATCH(B84,계좌!$A$2:$A$41,0)),"?"))</f>
        <v>장기</v>
      </c>
    </row>
    <row r="85" customFormat="false" ht="15" hidden="false" customHeight="false" outlineLevel="0" collapsed="false">
      <c r="A85" s="38" t="s">
        <v>197</v>
      </c>
      <c r="B85" s="37" t="s">
        <v>192</v>
      </c>
      <c r="C85" s="35" t="n">
        <v>16800000</v>
      </c>
      <c r="D85" s="33" t="str">
        <f aca="false">IF(B85="","",IFERROR(INDEX(계좌!$B$2:$B$41,MATCH(B85,계좌!$A$2:$A$41,0)),"?"))</f>
        <v>신용대출</v>
      </c>
      <c r="E85" s="33" t="str">
        <f aca="false">IF(B85="","",IFERROR(INDEX(계좌!$D$2:$D$41,MATCH(B85,계좌!$A$2:$A$41,0)),"?"))</f>
        <v>부채</v>
      </c>
      <c r="F85" s="33" t="str">
        <f aca="false">IF(B85="","",IFERROR(INDEX(계좌!$E$2:$E$41,MATCH(B85,계좌!$A$2:$A$41,0)),"?"))</f>
        <v>본인</v>
      </c>
      <c r="G85" s="33" t="str">
        <f aca="false">IF(B85="","",IFERROR(INDEX(계좌!$F$2:$F$41,MATCH(B85,계좌!$A$2:$A$41,0)),"?"))</f>
        <v>장기</v>
      </c>
    </row>
    <row r="86" customFormat="false" ht="15" hidden="false" customHeight="false" outlineLevel="0" collapsed="false">
      <c r="A86" s="38" t="s">
        <v>197</v>
      </c>
      <c r="B86" s="37" t="s">
        <v>193</v>
      </c>
      <c r="C86" s="35" t="n">
        <v>2874000</v>
      </c>
      <c r="D86" s="33" t="str">
        <f aca="false">IF(B86="","",IFERROR(INDEX(계좌!$B$2:$B$41,MATCH(B86,계좌!$A$2:$A$41,0)),"?"))</f>
        <v>카드 결제예정액</v>
      </c>
      <c r="E86" s="33" t="str">
        <f aca="false">IF(B86="","",IFERROR(INDEX(계좌!$D$2:$D$41,MATCH(B86,계좌!$A$2:$A$41,0)),"?"))</f>
        <v>부채</v>
      </c>
      <c r="F86" s="33" t="str">
        <f aca="false">IF(B86="","",IFERROR(INDEX(계좌!$E$2:$E$41,MATCH(B86,계좌!$A$2:$A$41,0)),"?"))</f>
        <v>공동</v>
      </c>
      <c r="G86" s="33" t="str">
        <f aca="false">IF(B86="","",IFERROR(INDEX(계좌!$F$2:$F$41,MATCH(B86,계좌!$A$2:$A$41,0)),"?"))</f>
        <v>즉시</v>
      </c>
    </row>
    <row r="87" customFormat="false" ht="15" hidden="false" customHeight="false" outlineLevel="0" collapsed="false">
      <c r="A87" s="38" t="s">
        <v>198</v>
      </c>
      <c r="B87" s="37" t="s">
        <v>177</v>
      </c>
      <c r="C87" s="35" t="n">
        <v>1951000</v>
      </c>
      <c r="D87" s="33" t="str">
        <f aca="false">IF(B87="","",IFERROR(INDEX(계좌!$B$2:$B$41,MATCH(B87,계좌!$A$2:$A$41,0)),"?"))</f>
        <v>급여통장(본인)</v>
      </c>
      <c r="E87" s="33" t="str">
        <f aca="false">IF(B87="","",IFERROR(INDEX(계좌!$D$2:$D$41,MATCH(B87,계좌!$A$2:$A$41,0)),"?"))</f>
        <v>현금성</v>
      </c>
      <c r="F87" s="33" t="str">
        <f aca="false">IF(B87="","",IFERROR(INDEX(계좌!$E$2:$E$41,MATCH(B87,계좌!$A$2:$A$41,0)),"?"))</f>
        <v>본인</v>
      </c>
      <c r="G87" s="33" t="str">
        <f aca="false">IF(B87="","",IFERROR(INDEX(계좌!$F$2:$F$41,MATCH(B87,계좌!$A$2:$A$41,0)),"?"))</f>
        <v>즉시</v>
      </c>
    </row>
    <row r="88" customFormat="false" ht="15" hidden="false" customHeight="false" outlineLevel="0" collapsed="false">
      <c r="A88" s="38" t="s">
        <v>198</v>
      </c>
      <c r="B88" s="37" t="s">
        <v>178</v>
      </c>
      <c r="C88" s="35" t="n">
        <v>1955000</v>
      </c>
      <c r="D88" s="33" t="str">
        <f aca="false">IF(B88="","",IFERROR(INDEX(계좌!$B$2:$B$41,MATCH(B88,계좌!$A$2:$A$41,0)),"?"))</f>
        <v>급여통장(배우자)</v>
      </c>
      <c r="E88" s="33" t="str">
        <f aca="false">IF(B88="","",IFERROR(INDEX(계좌!$D$2:$D$41,MATCH(B88,계좌!$A$2:$A$41,0)),"?"))</f>
        <v>현금성</v>
      </c>
      <c r="F88" s="33" t="str">
        <f aca="false">IF(B88="","",IFERROR(INDEX(계좌!$E$2:$E$41,MATCH(B88,계좌!$A$2:$A$41,0)),"?"))</f>
        <v>배우자</v>
      </c>
      <c r="G88" s="33" t="str">
        <f aca="false">IF(B88="","",IFERROR(INDEX(계좌!$F$2:$F$41,MATCH(B88,계좌!$A$2:$A$41,0)),"?"))</f>
        <v>즉시</v>
      </c>
    </row>
    <row r="89" customFormat="false" ht="15" hidden="false" customHeight="false" outlineLevel="0" collapsed="false">
      <c r="A89" s="38" t="s">
        <v>198</v>
      </c>
      <c r="B89" s="37" t="s">
        <v>179</v>
      </c>
      <c r="C89" s="35" t="n">
        <v>2432000</v>
      </c>
      <c r="D89" s="33" t="str">
        <f aca="false">IF(B89="","",IFERROR(INDEX(계좌!$B$2:$B$41,MATCH(B89,계좌!$A$2:$A$41,0)),"?"))</f>
        <v>생활비통장</v>
      </c>
      <c r="E89" s="33" t="str">
        <f aca="false">IF(B89="","",IFERROR(INDEX(계좌!$D$2:$D$41,MATCH(B89,계좌!$A$2:$A$41,0)),"?"))</f>
        <v>현금성</v>
      </c>
      <c r="F89" s="33" t="str">
        <f aca="false">IF(B89="","",IFERROR(INDEX(계좌!$E$2:$E$41,MATCH(B89,계좌!$A$2:$A$41,0)),"?"))</f>
        <v>공동</v>
      </c>
      <c r="G89" s="33" t="str">
        <f aca="false">IF(B89="","",IFERROR(INDEX(계좌!$F$2:$F$41,MATCH(B89,계좌!$A$2:$A$41,0)),"?"))</f>
        <v>즉시</v>
      </c>
    </row>
    <row r="90" customFormat="false" ht="15" hidden="false" customHeight="false" outlineLevel="0" collapsed="false">
      <c r="A90" s="38" t="s">
        <v>198</v>
      </c>
      <c r="B90" s="37" t="s">
        <v>180</v>
      </c>
      <c r="C90" s="35" t="n">
        <v>11750000</v>
      </c>
      <c r="D90" s="33" t="str">
        <f aca="false">IF(B90="","",IFERROR(INDEX(계좌!$B$2:$B$41,MATCH(B90,계좌!$A$2:$A$41,0)),"?"))</f>
        <v>비상금 파킹통장</v>
      </c>
      <c r="E90" s="33" t="str">
        <f aca="false">IF(B90="","",IFERROR(INDEX(계좌!$D$2:$D$41,MATCH(B90,계좌!$A$2:$A$41,0)),"?"))</f>
        <v>현금성</v>
      </c>
      <c r="F90" s="33" t="str">
        <f aca="false">IF(B90="","",IFERROR(INDEX(계좌!$E$2:$E$41,MATCH(B90,계좌!$A$2:$A$41,0)),"?"))</f>
        <v>공동</v>
      </c>
      <c r="G90" s="33" t="str">
        <f aca="false">IF(B90="","",IFERROR(INDEX(계좌!$F$2:$F$41,MATCH(B90,계좌!$A$2:$A$41,0)),"?"))</f>
        <v>즉시</v>
      </c>
    </row>
    <row r="91" customFormat="false" ht="15" hidden="false" customHeight="false" outlineLevel="0" collapsed="false">
      <c r="A91" s="38" t="s">
        <v>198</v>
      </c>
      <c r="B91" s="37" t="s">
        <v>181</v>
      </c>
      <c r="C91" s="35" t="n">
        <v>13400000</v>
      </c>
      <c r="D91" s="33" t="str">
        <f aca="false">IF(B91="","",IFERROR(INDEX(계좌!$B$2:$B$41,MATCH(B91,계좌!$A$2:$A$41,0)),"?"))</f>
        <v>주택청약종합저축</v>
      </c>
      <c r="E91" s="33" t="str">
        <f aca="false">IF(B91="","",IFERROR(INDEX(계좌!$D$2:$D$41,MATCH(B91,계좌!$A$2:$A$41,0)),"?"))</f>
        <v>현금성</v>
      </c>
      <c r="F91" s="33" t="str">
        <f aca="false">IF(B91="","",IFERROR(INDEX(계좌!$E$2:$E$41,MATCH(B91,계좌!$A$2:$A$41,0)),"?"))</f>
        <v>본인</v>
      </c>
      <c r="G91" s="33" t="str">
        <f aca="false">IF(B91="","",IFERROR(INDEX(계좌!$F$2:$F$41,MATCH(B91,계좌!$A$2:$A$41,0)),"?"))</f>
        <v>장기</v>
      </c>
    </row>
    <row r="92" customFormat="false" ht="15" hidden="false" customHeight="false" outlineLevel="0" collapsed="false">
      <c r="A92" s="38" t="s">
        <v>198</v>
      </c>
      <c r="B92" s="37" t="s">
        <v>182</v>
      </c>
      <c r="C92" s="35" t="n">
        <v>4500000</v>
      </c>
      <c r="D92" s="33" t="str">
        <f aca="false">IF(B92="","",IFERROR(INDEX(계좌!$B$2:$B$41,MATCH(B92,계좌!$A$2:$A$41,0)),"?"))</f>
        <v>정기적금</v>
      </c>
      <c r="E92" s="33" t="str">
        <f aca="false">IF(B92="","",IFERROR(INDEX(계좌!$D$2:$D$41,MATCH(B92,계좌!$A$2:$A$41,0)),"?"))</f>
        <v>현금성</v>
      </c>
      <c r="F92" s="33" t="str">
        <f aca="false">IF(B92="","",IFERROR(INDEX(계좌!$E$2:$E$41,MATCH(B92,계좌!$A$2:$A$41,0)),"?"))</f>
        <v>공동</v>
      </c>
      <c r="G92" s="33" t="str">
        <f aca="false">IF(B92="","",IFERROR(INDEX(계좌!$F$2:$F$41,MATCH(B92,계좌!$A$2:$A$41,0)),"?"))</f>
        <v>1년내</v>
      </c>
    </row>
    <row r="93" customFormat="false" ht="15" hidden="false" customHeight="false" outlineLevel="0" collapsed="false">
      <c r="A93" s="38" t="s">
        <v>198</v>
      </c>
      <c r="B93" s="37" t="s">
        <v>183</v>
      </c>
      <c r="C93" s="35" t="n">
        <v>37474000</v>
      </c>
      <c r="D93" s="33" t="str">
        <f aca="false">IF(B93="","",IFERROR(INDEX(계좌!$B$2:$B$41,MATCH(B93,계좌!$A$2:$A$41,0)),"?"))</f>
        <v>주식계좌</v>
      </c>
      <c r="E93" s="33" t="str">
        <f aca="false">IF(B93="","",IFERROR(INDEX(계좌!$D$2:$D$41,MATCH(B93,계좌!$A$2:$A$41,0)),"?"))</f>
        <v>투자</v>
      </c>
      <c r="F93" s="33" t="str">
        <f aca="false">IF(B93="","",IFERROR(INDEX(계좌!$E$2:$E$41,MATCH(B93,계좌!$A$2:$A$41,0)),"?"))</f>
        <v>본인</v>
      </c>
      <c r="G93" s="33" t="str">
        <f aca="false">IF(B93="","",IFERROR(INDEX(계좌!$F$2:$F$41,MATCH(B93,계좌!$A$2:$A$41,0)),"?"))</f>
        <v>즉시</v>
      </c>
    </row>
    <row r="94" customFormat="false" ht="15" hidden="false" customHeight="false" outlineLevel="0" collapsed="false">
      <c r="A94" s="38" t="s">
        <v>198</v>
      </c>
      <c r="B94" s="37" t="s">
        <v>184</v>
      </c>
      <c r="C94" s="35" t="n">
        <v>22660000</v>
      </c>
      <c r="D94" s="33" t="str">
        <f aca="false">IF(B94="","",IFERROR(INDEX(계좌!$B$2:$B$41,MATCH(B94,계좌!$A$2:$A$41,0)),"?"))</f>
        <v>ISA(중개형)</v>
      </c>
      <c r="E94" s="33" t="str">
        <f aca="false">IF(B94="","",IFERROR(INDEX(계좌!$D$2:$D$41,MATCH(B94,계좌!$A$2:$A$41,0)),"?"))</f>
        <v>투자</v>
      </c>
      <c r="F94" s="33" t="str">
        <f aca="false">IF(B94="","",IFERROR(INDEX(계좌!$E$2:$E$41,MATCH(B94,계좌!$A$2:$A$41,0)),"?"))</f>
        <v>배우자</v>
      </c>
      <c r="G94" s="33" t="str">
        <f aca="false">IF(B94="","",IFERROR(INDEX(계좌!$F$2:$F$41,MATCH(B94,계좌!$A$2:$A$41,0)),"?"))</f>
        <v>장기</v>
      </c>
    </row>
    <row r="95" customFormat="false" ht="15" hidden="false" customHeight="false" outlineLevel="0" collapsed="false">
      <c r="A95" s="38" t="s">
        <v>198</v>
      </c>
      <c r="B95" s="37" t="s">
        <v>185</v>
      </c>
      <c r="C95" s="35" t="n">
        <v>14815000</v>
      </c>
      <c r="D95" s="33" t="str">
        <f aca="false">IF(B95="","",IFERROR(INDEX(계좌!$B$2:$B$41,MATCH(B95,계좌!$A$2:$A$41,0)),"?"))</f>
        <v>해외주식계좌</v>
      </c>
      <c r="E95" s="33" t="str">
        <f aca="false">IF(B95="","",IFERROR(INDEX(계좌!$D$2:$D$41,MATCH(B95,계좌!$A$2:$A$41,0)),"?"))</f>
        <v>투자</v>
      </c>
      <c r="F95" s="33" t="str">
        <f aca="false">IF(B95="","",IFERROR(INDEX(계좌!$E$2:$E$41,MATCH(B95,계좌!$A$2:$A$41,0)),"?"))</f>
        <v>공동</v>
      </c>
      <c r="G95" s="33" t="str">
        <f aca="false">IF(B95="","",IFERROR(INDEX(계좌!$F$2:$F$41,MATCH(B95,계좌!$A$2:$A$41,0)),"?"))</f>
        <v>즉시</v>
      </c>
    </row>
    <row r="96" customFormat="false" ht="15" hidden="false" customHeight="false" outlineLevel="0" collapsed="false">
      <c r="A96" s="38" t="s">
        <v>198</v>
      </c>
      <c r="B96" s="37" t="s">
        <v>186</v>
      </c>
      <c r="C96" s="35" t="n">
        <v>23988000</v>
      </c>
      <c r="D96" s="33" t="str">
        <f aca="false">IF(B96="","",IFERROR(INDEX(계좌!$B$2:$B$41,MATCH(B96,계좌!$A$2:$A$41,0)),"?"))</f>
        <v>연금저축펀드</v>
      </c>
      <c r="E96" s="33" t="str">
        <f aca="false">IF(B96="","",IFERROR(INDEX(계좌!$D$2:$D$41,MATCH(B96,계좌!$A$2:$A$41,0)),"?"))</f>
        <v>연금</v>
      </c>
      <c r="F96" s="33" t="str">
        <f aca="false">IF(B96="","",IFERROR(INDEX(계좌!$E$2:$E$41,MATCH(B96,계좌!$A$2:$A$41,0)),"?"))</f>
        <v>본인</v>
      </c>
      <c r="G96" s="33" t="str">
        <f aca="false">IF(B96="","",IFERROR(INDEX(계좌!$F$2:$F$41,MATCH(B96,계좌!$A$2:$A$41,0)),"?"))</f>
        <v>장기</v>
      </c>
    </row>
    <row r="97" customFormat="false" ht="15" hidden="false" customHeight="false" outlineLevel="0" collapsed="false">
      <c r="A97" s="38" t="s">
        <v>198</v>
      </c>
      <c r="B97" s="37" t="s">
        <v>187</v>
      </c>
      <c r="C97" s="35" t="n">
        <v>13149000</v>
      </c>
      <c r="D97" s="33" t="str">
        <f aca="false">IF(B97="","",IFERROR(INDEX(계좌!$B$2:$B$41,MATCH(B97,계좌!$A$2:$A$41,0)),"?"))</f>
        <v>IRP</v>
      </c>
      <c r="E97" s="33" t="str">
        <f aca="false">IF(B97="","",IFERROR(INDEX(계좌!$D$2:$D$41,MATCH(B97,계좌!$A$2:$A$41,0)),"?"))</f>
        <v>연금</v>
      </c>
      <c r="F97" s="33" t="str">
        <f aca="false">IF(B97="","",IFERROR(INDEX(계좌!$E$2:$E$41,MATCH(B97,계좌!$A$2:$A$41,0)),"?"))</f>
        <v>배우자</v>
      </c>
      <c r="G97" s="33" t="str">
        <f aca="false">IF(B97="","",IFERROR(INDEX(계좌!$F$2:$F$41,MATCH(B97,계좌!$A$2:$A$41,0)),"?"))</f>
        <v>장기</v>
      </c>
    </row>
    <row r="98" customFormat="false" ht="15" hidden="false" customHeight="false" outlineLevel="0" collapsed="false">
      <c r="A98" s="38" t="s">
        <v>198</v>
      </c>
      <c r="B98" s="37" t="s">
        <v>188</v>
      </c>
      <c r="C98" s="35" t="n">
        <v>40621000</v>
      </c>
      <c r="D98" s="33" t="str">
        <f aca="false">IF(B98="","",IFERROR(INDEX(계좌!$B$2:$B$41,MATCH(B98,계좌!$A$2:$A$41,0)),"?"))</f>
        <v>퇴직연금(DC)</v>
      </c>
      <c r="E98" s="33" t="str">
        <f aca="false">IF(B98="","",IFERROR(INDEX(계좌!$D$2:$D$41,MATCH(B98,계좌!$A$2:$A$41,0)),"?"))</f>
        <v>연금</v>
      </c>
      <c r="F98" s="33" t="str">
        <f aca="false">IF(B98="","",IFERROR(INDEX(계좌!$E$2:$E$41,MATCH(B98,계좌!$A$2:$A$41,0)),"?"))</f>
        <v>본인</v>
      </c>
      <c r="G98" s="33" t="str">
        <f aca="false">IF(B98="","",IFERROR(INDEX(계좌!$F$2:$F$41,MATCH(B98,계좌!$A$2:$A$41,0)),"?"))</f>
        <v>장기</v>
      </c>
    </row>
    <row r="99" customFormat="false" ht="15" hidden="false" customHeight="false" outlineLevel="0" collapsed="false">
      <c r="A99" s="38" t="s">
        <v>198</v>
      </c>
      <c r="B99" s="37" t="s">
        <v>189</v>
      </c>
      <c r="C99" s="35" t="n">
        <v>790000000</v>
      </c>
      <c r="D99" s="33" t="str">
        <f aca="false">IF(B99="","",IFERROR(INDEX(계좌!$B$2:$B$41,MATCH(B99,계좌!$A$2:$A$41,0)),"?"))</f>
        <v>아파트(실거주)</v>
      </c>
      <c r="E99" s="33" t="str">
        <f aca="false">IF(B99="","",IFERROR(INDEX(계좌!$D$2:$D$41,MATCH(B99,계좌!$A$2:$A$41,0)),"?"))</f>
        <v>부동산</v>
      </c>
      <c r="F99" s="33" t="str">
        <f aca="false">IF(B99="","",IFERROR(INDEX(계좌!$E$2:$E$41,MATCH(B99,계좌!$A$2:$A$41,0)),"?"))</f>
        <v>공동</v>
      </c>
      <c r="G99" s="33" t="str">
        <f aca="false">IF(B99="","",IFERROR(INDEX(계좌!$F$2:$F$41,MATCH(B99,계좌!$A$2:$A$41,0)),"?"))</f>
        <v>장기</v>
      </c>
    </row>
    <row r="100" customFormat="false" ht="15" hidden="false" customHeight="false" outlineLevel="0" collapsed="false">
      <c r="A100" s="38" t="s">
        <v>198</v>
      </c>
      <c r="B100" s="37" t="s">
        <v>190</v>
      </c>
      <c r="C100" s="35" t="n">
        <v>22750000</v>
      </c>
      <c r="D100" s="33" t="str">
        <f aca="false">IF(B100="","",IFERROR(INDEX(계좌!$B$2:$B$41,MATCH(B100,계좌!$A$2:$A$41,0)),"?"))</f>
        <v>자동차</v>
      </c>
      <c r="E100" s="33" t="str">
        <f aca="false">IF(B100="","",IFERROR(INDEX(계좌!$D$2:$D$41,MATCH(B100,계좌!$A$2:$A$41,0)),"?"))</f>
        <v>기타자산</v>
      </c>
      <c r="F100" s="33" t="str">
        <f aca="false">IF(B100="","",IFERROR(INDEX(계좌!$E$2:$E$41,MATCH(B100,계좌!$A$2:$A$41,0)),"?"))</f>
        <v>공동</v>
      </c>
      <c r="G100" s="33" t="str">
        <f aca="false">IF(B100="","",IFERROR(INDEX(계좌!$F$2:$F$41,MATCH(B100,계좌!$A$2:$A$41,0)),"?"))</f>
        <v>장기</v>
      </c>
    </row>
    <row r="101" customFormat="false" ht="15" hidden="false" customHeight="false" outlineLevel="0" collapsed="false">
      <c r="A101" s="38" t="s">
        <v>198</v>
      </c>
      <c r="B101" s="37" t="s">
        <v>191</v>
      </c>
      <c r="C101" s="35" t="n">
        <v>289000000</v>
      </c>
      <c r="D101" s="33" t="str">
        <f aca="false">IF(B101="","",IFERROR(INDEX(계좌!$B$2:$B$41,MATCH(B101,계좌!$A$2:$A$41,0)),"?"))</f>
        <v>주택담보대출</v>
      </c>
      <c r="E101" s="33" t="str">
        <f aca="false">IF(B101="","",IFERROR(INDEX(계좌!$D$2:$D$41,MATCH(B101,계좌!$A$2:$A$41,0)),"?"))</f>
        <v>부채</v>
      </c>
      <c r="F101" s="33" t="str">
        <f aca="false">IF(B101="","",IFERROR(INDEX(계좌!$E$2:$E$41,MATCH(B101,계좌!$A$2:$A$41,0)),"?"))</f>
        <v>공동</v>
      </c>
      <c r="G101" s="33" t="str">
        <f aca="false">IF(B101="","",IFERROR(INDEX(계좌!$F$2:$F$41,MATCH(B101,계좌!$A$2:$A$41,0)),"?"))</f>
        <v>장기</v>
      </c>
    </row>
    <row r="102" customFormat="false" ht="15" hidden="false" customHeight="false" outlineLevel="0" collapsed="false">
      <c r="A102" s="38" t="s">
        <v>198</v>
      </c>
      <c r="B102" s="37" t="s">
        <v>192</v>
      </c>
      <c r="C102" s="35" t="n">
        <v>16500000</v>
      </c>
      <c r="D102" s="33" t="str">
        <f aca="false">IF(B102="","",IFERROR(INDEX(계좌!$B$2:$B$41,MATCH(B102,계좌!$A$2:$A$41,0)),"?"))</f>
        <v>신용대출</v>
      </c>
      <c r="E102" s="33" t="str">
        <f aca="false">IF(B102="","",IFERROR(INDEX(계좌!$D$2:$D$41,MATCH(B102,계좌!$A$2:$A$41,0)),"?"))</f>
        <v>부채</v>
      </c>
      <c r="F102" s="33" t="str">
        <f aca="false">IF(B102="","",IFERROR(INDEX(계좌!$E$2:$E$41,MATCH(B102,계좌!$A$2:$A$41,0)),"?"))</f>
        <v>본인</v>
      </c>
      <c r="G102" s="33" t="str">
        <f aca="false">IF(B102="","",IFERROR(INDEX(계좌!$F$2:$F$41,MATCH(B102,계좌!$A$2:$A$41,0)),"?"))</f>
        <v>장기</v>
      </c>
    </row>
    <row r="103" customFormat="false" ht="15" hidden="false" customHeight="false" outlineLevel="0" collapsed="false">
      <c r="A103" s="38" t="s">
        <v>198</v>
      </c>
      <c r="B103" s="37" t="s">
        <v>193</v>
      </c>
      <c r="C103" s="35" t="n">
        <v>3070000</v>
      </c>
      <c r="D103" s="33" t="str">
        <f aca="false">IF(B103="","",IFERROR(INDEX(계좌!$B$2:$B$41,MATCH(B103,계좌!$A$2:$A$41,0)),"?"))</f>
        <v>카드 결제예정액</v>
      </c>
      <c r="E103" s="33" t="str">
        <f aca="false">IF(B103="","",IFERROR(INDEX(계좌!$D$2:$D$41,MATCH(B103,계좌!$A$2:$A$41,0)),"?"))</f>
        <v>부채</v>
      </c>
      <c r="F103" s="33" t="str">
        <f aca="false">IF(B103="","",IFERROR(INDEX(계좌!$E$2:$E$41,MATCH(B103,계좌!$A$2:$A$41,0)),"?"))</f>
        <v>공동</v>
      </c>
      <c r="G103" s="33" t="str">
        <f aca="false">IF(B103="","",IFERROR(INDEX(계좌!$F$2:$F$41,MATCH(B103,계좌!$A$2:$A$41,0)),"?"))</f>
        <v>즉시</v>
      </c>
    </row>
    <row r="104" customFormat="false" ht="15" hidden="false" customHeight="false" outlineLevel="0" collapsed="false">
      <c r="A104" s="38" t="s">
        <v>199</v>
      </c>
      <c r="B104" s="37" t="s">
        <v>177</v>
      </c>
      <c r="C104" s="35" t="n">
        <v>1976000</v>
      </c>
      <c r="D104" s="33" t="str">
        <f aca="false">IF(B104="","",IFERROR(INDEX(계좌!$B$2:$B$41,MATCH(B104,계좌!$A$2:$A$41,0)),"?"))</f>
        <v>급여통장(본인)</v>
      </c>
      <c r="E104" s="33" t="str">
        <f aca="false">IF(B104="","",IFERROR(INDEX(계좌!$D$2:$D$41,MATCH(B104,계좌!$A$2:$A$41,0)),"?"))</f>
        <v>현금성</v>
      </c>
      <c r="F104" s="33" t="str">
        <f aca="false">IF(B104="","",IFERROR(INDEX(계좌!$E$2:$E$41,MATCH(B104,계좌!$A$2:$A$41,0)),"?"))</f>
        <v>본인</v>
      </c>
      <c r="G104" s="33" t="str">
        <f aca="false">IF(B104="","",IFERROR(INDEX(계좌!$F$2:$F$41,MATCH(B104,계좌!$A$2:$A$41,0)),"?"))</f>
        <v>즉시</v>
      </c>
    </row>
    <row r="105" customFormat="false" ht="15" hidden="false" customHeight="false" outlineLevel="0" collapsed="false">
      <c r="A105" s="38" t="s">
        <v>199</v>
      </c>
      <c r="B105" s="37" t="s">
        <v>178</v>
      </c>
      <c r="C105" s="35" t="n">
        <v>1938000</v>
      </c>
      <c r="D105" s="33" t="str">
        <f aca="false">IF(B105="","",IFERROR(INDEX(계좌!$B$2:$B$41,MATCH(B105,계좌!$A$2:$A$41,0)),"?"))</f>
        <v>급여통장(배우자)</v>
      </c>
      <c r="E105" s="33" t="str">
        <f aca="false">IF(B105="","",IFERROR(INDEX(계좌!$D$2:$D$41,MATCH(B105,계좌!$A$2:$A$41,0)),"?"))</f>
        <v>현금성</v>
      </c>
      <c r="F105" s="33" t="str">
        <f aca="false">IF(B105="","",IFERROR(INDEX(계좌!$E$2:$E$41,MATCH(B105,계좌!$A$2:$A$41,0)),"?"))</f>
        <v>배우자</v>
      </c>
      <c r="G105" s="33" t="str">
        <f aca="false">IF(B105="","",IFERROR(INDEX(계좌!$F$2:$F$41,MATCH(B105,계좌!$A$2:$A$41,0)),"?"))</f>
        <v>즉시</v>
      </c>
    </row>
    <row r="106" customFormat="false" ht="15" hidden="false" customHeight="false" outlineLevel="0" collapsed="false">
      <c r="A106" s="38" t="s">
        <v>199</v>
      </c>
      <c r="B106" s="37" t="s">
        <v>179</v>
      </c>
      <c r="C106" s="35" t="n">
        <v>1704000</v>
      </c>
      <c r="D106" s="33" t="str">
        <f aca="false">IF(B106="","",IFERROR(INDEX(계좌!$B$2:$B$41,MATCH(B106,계좌!$A$2:$A$41,0)),"?"))</f>
        <v>생활비통장</v>
      </c>
      <c r="E106" s="33" t="str">
        <f aca="false">IF(B106="","",IFERROR(INDEX(계좌!$D$2:$D$41,MATCH(B106,계좌!$A$2:$A$41,0)),"?"))</f>
        <v>현금성</v>
      </c>
      <c r="F106" s="33" t="str">
        <f aca="false">IF(B106="","",IFERROR(INDEX(계좌!$E$2:$E$41,MATCH(B106,계좌!$A$2:$A$41,0)),"?"))</f>
        <v>공동</v>
      </c>
      <c r="G106" s="33" t="str">
        <f aca="false">IF(B106="","",IFERROR(INDEX(계좌!$F$2:$F$41,MATCH(B106,계좌!$A$2:$A$41,0)),"?"))</f>
        <v>즉시</v>
      </c>
    </row>
    <row r="107" customFormat="false" ht="15" hidden="false" customHeight="false" outlineLevel="0" collapsed="false">
      <c r="A107" s="38" t="s">
        <v>199</v>
      </c>
      <c r="B107" s="37" t="s">
        <v>180</v>
      </c>
      <c r="C107" s="35" t="n">
        <v>12300000</v>
      </c>
      <c r="D107" s="33" t="str">
        <f aca="false">IF(B107="","",IFERROR(INDEX(계좌!$B$2:$B$41,MATCH(B107,계좌!$A$2:$A$41,0)),"?"))</f>
        <v>비상금 파킹통장</v>
      </c>
      <c r="E107" s="33" t="str">
        <f aca="false">IF(B107="","",IFERROR(INDEX(계좌!$D$2:$D$41,MATCH(B107,계좌!$A$2:$A$41,0)),"?"))</f>
        <v>현금성</v>
      </c>
      <c r="F107" s="33" t="str">
        <f aca="false">IF(B107="","",IFERROR(INDEX(계좌!$E$2:$E$41,MATCH(B107,계좌!$A$2:$A$41,0)),"?"))</f>
        <v>공동</v>
      </c>
      <c r="G107" s="33" t="str">
        <f aca="false">IF(B107="","",IFERROR(INDEX(계좌!$F$2:$F$41,MATCH(B107,계좌!$A$2:$A$41,0)),"?"))</f>
        <v>즉시</v>
      </c>
    </row>
    <row r="108" customFormat="false" ht="15" hidden="false" customHeight="false" outlineLevel="0" collapsed="false">
      <c r="A108" s="38" t="s">
        <v>199</v>
      </c>
      <c r="B108" s="37" t="s">
        <v>181</v>
      </c>
      <c r="C108" s="35" t="n">
        <v>13500000</v>
      </c>
      <c r="D108" s="33" t="str">
        <f aca="false">IF(B108="","",IFERROR(INDEX(계좌!$B$2:$B$41,MATCH(B108,계좌!$A$2:$A$41,0)),"?"))</f>
        <v>주택청약종합저축</v>
      </c>
      <c r="E108" s="33" t="str">
        <f aca="false">IF(B108="","",IFERROR(INDEX(계좌!$D$2:$D$41,MATCH(B108,계좌!$A$2:$A$41,0)),"?"))</f>
        <v>현금성</v>
      </c>
      <c r="F108" s="33" t="str">
        <f aca="false">IF(B108="","",IFERROR(INDEX(계좌!$E$2:$E$41,MATCH(B108,계좌!$A$2:$A$41,0)),"?"))</f>
        <v>본인</v>
      </c>
      <c r="G108" s="33" t="str">
        <f aca="false">IF(B108="","",IFERROR(INDEX(계좌!$F$2:$F$41,MATCH(B108,계좌!$A$2:$A$41,0)),"?"))</f>
        <v>장기</v>
      </c>
    </row>
    <row r="109" customFormat="false" ht="15" hidden="false" customHeight="false" outlineLevel="0" collapsed="false">
      <c r="A109" s="38" t="s">
        <v>199</v>
      </c>
      <c r="B109" s="37" t="s">
        <v>182</v>
      </c>
      <c r="C109" s="35" t="n">
        <v>4800000</v>
      </c>
      <c r="D109" s="33" t="str">
        <f aca="false">IF(B109="","",IFERROR(INDEX(계좌!$B$2:$B$41,MATCH(B109,계좌!$A$2:$A$41,0)),"?"))</f>
        <v>정기적금</v>
      </c>
      <c r="E109" s="33" t="str">
        <f aca="false">IF(B109="","",IFERROR(INDEX(계좌!$D$2:$D$41,MATCH(B109,계좌!$A$2:$A$41,0)),"?"))</f>
        <v>현금성</v>
      </c>
      <c r="F109" s="33" t="str">
        <f aca="false">IF(B109="","",IFERROR(INDEX(계좌!$E$2:$E$41,MATCH(B109,계좌!$A$2:$A$41,0)),"?"))</f>
        <v>공동</v>
      </c>
      <c r="G109" s="33" t="str">
        <f aca="false">IF(B109="","",IFERROR(INDEX(계좌!$F$2:$F$41,MATCH(B109,계좌!$A$2:$A$41,0)),"?"))</f>
        <v>1년내</v>
      </c>
    </row>
    <row r="110" customFormat="false" ht="15" hidden="false" customHeight="false" outlineLevel="0" collapsed="false">
      <c r="A110" s="38" t="s">
        <v>199</v>
      </c>
      <c r="B110" s="37" t="s">
        <v>183</v>
      </c>
      <c r="C110" s="35" t="n">
        <v>38758000</v>
      </c>
      <c r="D110" s="33" t="str">
        <f aca="false">IF(B110="","",IFERROR(INDEX(계좌!$B$2:$B$41,MATCH(B110,계좌!$A$2:$A$41,0)),"?"))</f>
        <v>주식계좌</v>
      </c>
      <c r="E110" s="33" t="str">
        <f aca="false">IF(B110="","",IFERROR(INDEX(계좌!$D$2:$D$41,MATCH(B110,계좌!$A$2:$A$41,0)),"?"))</f>
        <v>투자</v>
      </c>
      <c r="F110" s="33" t="str">
        <f aca="false">IF(B110="","",IFERROR(INDEX(계좌!$E$2:$E$41,MATCH(B110,계좌!$A$2:$A$41,0)),"?"))</f>
        <v>본인</v>
      </c>
      <c r="G110" s="33" t="str">
        <f aca="false">IF(B110="","",IFERROR(INDEX(계좌!$F$2:$F$41,MATCH(B110,계좌!$A$2:$A$41,0)),"?"))</f>
        <v>즉시</v>
      </c>
    </row>
    <row r="111" customFormat="false" ht="15" hidden="false" customHeight="false" outlineLevel="0" collapsed="false">
      <c r="A111" s="38" t="s">
        <v>199</v>
      </c>
      <c r="B111" s="37" t="s">
        <v>184</v>
      </c>
      <c r="C111" s="35" t="n">
        <v>23240000</v>
      </c>
      <c r="D111" s="33" t="str">
        <f aca="false">IF(B111="","",IFERROR(INDEX(계좌!$B$2:$B$41,MATCH(B111,계좌!$A$2:$A$41,0)),"?"))</f>
        <v>ISA(중개형)</v>
      </c>
      <c r="E111" s="33" t="str">
        <f aca="false">IF(B111="","",IFERROR(INDEX(계좌!$D$2:$D$41,MATCH(B111,계좌!$A$2:$A$41,0)),"?"))</f>
        <v>투자</v>
      </c>
      <c r="F111" s="33" t="str">
        <f aca="false">IF(B111="","",IFERROR(INDEX(계좌!$E$2:$E$41,MATCH(B111,계좌!$A$2:$A$41,0)),"?"))</f>
        <v>배우자</v>
      </c>
      <c r="G111" s="33" t="str">
        <f aca="false">IF(B111="","",IFERROR(INDEX(계좌!$F$2:$F$41,MATCH(B111,계좌!$A$2:$A$41,0)),"?"))</f>
        <v>장기</v>
      </c>
    </row>
    <row r="112" customFormat="false" ht="15" hidden="false" customHeight="false" outlineLevel="0" collapsed="false">
      <c r="A112" s="38" t="s">
        <v>199</v>
      </c>
      <c r="B112" s="37" t="s">
        <v>185</v>
      </c>
      <c r="C112" s="35" t="n">
        <v>15023000</v>
      </c>
      <c r="D112" s="33" t="str">
        <f aca="false">IF(B112="","",IFERROR(INDEX(계좌!$B$2:$B$41,MATCH(B112,계좌!$A$2:$A$41,0)),"?"))</f>
        <v>해외주식계좌</v>
      </c>
      <c r="E112" s="33" t="str">
        <f aca="false">IF(B112="","",IFERROR(INDEX(계좌!$D$2:$D$41,MATCH(B112,계좌!$A$2:$A$41,0)),"?"))</f>
        <v>투자</v>
      </c>
      <c r="F112" s="33" t="str">
        <f aca="false">IF(B112="","",IFERROR(INDEX(계좌!$E$2:$E$41,MATCH(B112,계좌!$A$2:$A$41,0)),"?"))</f>
        <v>공동</v>
      </c>
      <c r="G112" s="33" t="str">
        <f aca="false">IF(B112="","",IFERROR(INDEX(계좌!$F$2:$F$41,MATCH(B112,계좌!$A$2:$A$41,0)),"?"))</f>
        <v>즉시</v>
      </c>
    </row>
    <row r="113" customFormat="false" ht="15" hidden="false" customHeight="false" outlineLevel="0" collapsed="false">
      <c r="A113" s="38" t="s">
        <v>199</v>
      </c>
      <c r="B113" s="37" t="s">
        <v>186</v>
      </c>
      <c r="C113" s="35" t="n">
        <v>24122000</v>
      </c>
      <c r="D113" s="33" t="str">
        <f aca="false">IF(B113="","",IFERROR(INDEX(계좌!$B$2:$B$41,MATCH(B113,계좌!$A$2:$A$41,0)),"?"))</f>
        <v>연금저축펀드</v>
      </c>
      <c r="E113" s="33" t="str">
        <f aca="false">IF(B113="","",IFERROR(INDEX(계좌!$D$2:$D$41,MATCH(B113,계좌!$A$2:$A$41,0)),"?"))</f>
        <v>연금</v>
      </c>
      <c r="F113" s="33" t="str">
        <f aca="false">IF(B113="","",IFERROR(INDEX(계좌!$E$2:$E$41,MATCH(B113,계좌!$A$2:$A$41,0)),"?"))</f>
        <v>본인</v>
      </c>
      <c r="G113" s="33" t="str">
        <f aca="false">IF(B113="","",IFERROR(INDEX(계좌!$F$2:$F$41,MATCH(B113,계좌!$A$2:$A$41,0)),"?"))</f>
        <v>장기</v>
      </c>
    </row>
    <row r="114" customFormat="false" ht="15" hidden="false" customHeight="false" outlineLevel="0" collapsed="false">
      <c r="A114" s="38" t="s">
        <v>199</v>
      </c>
      <c r="B114" s="37" t="s">
        <v>187</v>
      </c>
      <c r="C114" s="35" t="n">
        <v>13361000</v>
      </c>
      <c r="D114" s="33" t="str">
        <f aca="false">IF(B114="","",IFERROR(INDEX(계좌!$B$2:$B$41,MATCH(B114,계좌!$A$2:$A$41,0)),"?"))</f>
        <v>IRP</v>
      </c>
      <c r="E114" s="33" t="str">
        <f aca="false">IF(B114="","",IFERROR(INDEX(계좌!$D$2:$D$41,MATCH(B114,계좌!$A$2:$A$41,0)),"?"))</f>
        <v>연금</v>
      </c>
      <c r="F114" s="33" t="str">
        <f aca="false">IF(B114="","",IFERROR(INDEX(계좌!$E$2:$E$41,MATCH(B114,계좌!$A$2:$A$41,0)),"?"))</f>
        <v>배우자</v>
      </c>
      <c r="G114" s="33" t="str">
        <f aca="false">IF(B114="","",IFERROR(INDEX(계좌!$F$2:$F$41,MATCH(B114,계좌!$A$2:$A$41,0)),"?"))</f>
        <v>장기</v>
      </c>
    </row>
    <row r="115" customFormat="false" ht="15" hidden="false" customHeight="false" outlineLevel="0" collapsed="false">
      <c r="A115" s="38" t="s">
        <v>199</v>
      </c>
      <c r="B115" s="37" t="s">
        <v>188</v>
      </c>
      <c r="C115" s="35" t="n">
        <v>41170000</v>
      </c>
      <c r="D115" s="33" t="str">
        <f aca="false">IF(B115="","",IFERROR(INDEX(계좌!$B$2:$B$41,MATCH(B115,계좌!$A$2:$A$41,0)),"?"))</f>
        <v>퇴직연금(DC)</v>
      </c>
      <c r="E115" s="33" t="str">
        <f aca="false">IF(B115="","",IFERROR(INDEX(계좌!$D$2:$D$41,MATCH(B115,계좌!$A$2:$A$41,0)),"?"))</f>
        <v>연금</v>
      </c>
      <c r="F115" s="33" t="str">
        <f aca="false">IF(B115="","",IFERROR(INDEX(계좌!$E$2:$E$41,MATCH(B115,계좌!$A$2:$A$41,0)),"?"))</f>
        <v>본인</v>
      </c>
      <c r="G115" s="33" t="str">
        <f aca="false">IF(B115="","",IFERROR(INDEX(계좌!$F$2:$F$41,MATCH(B115,계좌!$A$2:$A$41,0)),"?"))</f>
        <v>장기</v>
      </c>
    </row>
    <row r="116" customFormat="false" ht="15" hidden="false" customHeight="false" outlineLevel="0" collapsed="false">
      <c r="A116" s="38" t="s">
        <v>199</v>
      </c>
      <c r="B116" s="37" t="s">
        <v>189</v>
      </c>
      <c r="C116" s="35" t="n">
        <v>792000000</v>
      </c>
      <c r="D116" s="33" t="str">
        <f aca="false">IF(B116="","",IFERROR(INDEX(계좌!$B$2:$B$41,MATCH(B116,계좌!$A$2:$A$41,0)),"?"))</f>
        <v>아파트(실거주)</v>
      </c>
      <c r="E116" s="33" t="str">
        <f aca="false">IF(B116="","",IFERROR(INDEX(계좌!$D$2:$D$41,MATCH(B116,계좌!$A$2:$A$41,0)),"?"))</f>
        <v>부동산</v>
      </c>
      <c r="F116" s="33" t="str">
        <f aca="false">IF(B116="","",IFERROR(INDEX(계좌!$E$2:$E$41,MATCH(B116,계좌!$A$2:$A$41,0)),"?"))</f>
        <v>공동</v>
      </c>
      <c r="G116" s="33" t="str">
        <f aca="false">IF(B116="","",IFERROR(INDEX(계좌!$F$2:$F$41,MATCH(B116,계좌!$A$2:$A$41,0)),"?"))</f>
        <v>장기</v>
      </c>
    </row>
    <row r="117" customFormat="false" ht="15" hidden="false" customHeight="false" outlineLevel="0" collapsed="false">
      <c r="A117" s="38" t="s">
        <v>199</v>
      </c>
      <c r="B117" s="37" t="s">
        <v>190</v>
      </c>
      <c r="C117" s="35" t="n">
        <v>22500000</v>
      </c>
      <c r="D117" s="33" t="str">
        <f aca="false">IF(B117="","",IFERROR(INDEX(계좌!$B$2:$B$41,MATCH(B117,계좌!$A$2:$A$41,0)),"?"))</f>
        <v>자동차</v>
      </c>
      <c r="E117" s="33" t="str">
        <f aca="false">IF(B117="","",IFERROR(INDEX(계좌!$D$2:$D$41,MATCH(B117,계좌!$A$2:$A$41,0)),"?"))</f>
        <v>기타자산</v>
      </c>
      <c r="F117" s="33" t="str">
        <f aca="false">IF(B117="","",IFERROR(INDEX(계좌!$E$2:$E$41,MATCH(B117,계좌!$A$2:$A$41,0)),"?"))</f>
        <v>공동</v>
      </c>
      <c r="G117" s="33" t="str">
        <f aca="false">IF(B117="","",IFERROR(INDEX(계좌!$F$2:$F$41,MATCH(B117,계좌!$A$2:$A$41,0)),"?"))</f>
        <v>장기</v>
      </c>
    </row>
    <row r="118" customFormat="false" ht="15" hidden="false" customHeight="false" outlineLevel="0" collapsed="false">
      <c r="A118" s="38" t="s">
        <v>199</v>
      </c>
      <c r="B118" s="37" t="s">
        <v>191</v>
      </c>
      <c r="C118" s="35" t="n">
        <v>288400000</v>
      </c>
      <c r="D118" s="33" t="str">
        <f aca="false">IF(B118="","",IFERROR(INDEX(계좌!$B$2:$B$41,MATCH(B118,계좌!$A$2:$A$41,0)),"?"))</f>
        <v>주택담보대출</v>
      </c>
      <c r="E118" s="33" t="str">
        <f aca="false">IF(B118="","",IFERROR(INDEX(계좌!$D$2:$D$41,MATCH(B118,계좌!$A$2:$A$41,0)),"?"))</f>
        <v>부채</v>
      </c>
      <c r="F118" s="33" t="str">
        <f aca="false">IF(B118="","",IFERROR(INDEX(계좌!$E$2:$E$41,MATCH(B118,계좌!$A$2:$A$41,0)),"?"))</f>
        <v>공동</v>
      </c>
      <c r="G118" s="33" t="str">
        <f aca="false">IF(B118="","",IFERROR(INDEX(계좌!$F$2:$F$41,MATCH(B118,계좌!$A$2:$A$41,0)),"?"))</f>
        <v>장기</v>
      </c>
    </row>
    <row r="119" customFormat="false" ht="15" hidden="false" customHeight="false" outlineLevel="0" collapsed="false">
      <c r="A119" s="38" t="s">
        <v>199</v>
      </c>
      <c r="B119" s="37" t="s">
        <v>192</v>
      </c>
      <c r="C119" s="35" t="n">
        <v>16200000</v>
      </c>
      <c r="D119" s="33" t="str">
        <f aca="false">IF(B119="","",IFERROR(INDEX(계좌!$B$2:$B$41,MATCH(B119,계좌!$A$2:$A$41,0)),"?"))</f>
        <v>신용대출</v>
      </c>
      <c r="E119" s="33" t="str">
        <f aca="false">IF(B119="","",IFERROR(INDEX(계좌!$D$2:$D$41,MATCH(B119,계좌!$A$2:$A$41,0)),"?"))</f>
        <v>부채</v>
      </c>
      <c r="F119" s="33" t="str">
        <f aca="false">IF(B119="","",IFERROR(INDEX(계좌!$E$2:$E$41,MATCH(B119,계좌!$A$2:$A$41,0)),"?"))</f>
        <v>본인</v>
      </c>
      <c r="G119" s="33" t="str">
        <f aca="false">IF(B119="","",IFERROR(INDEX(계좌!$F$2:$F$41,MATCH(B119,계좌!$A$2:$A$41,0)),"?"))</f>
        <v>장기</v>
      </c>
    </row>
    <row r="120" customFormat="false" ht="15" hidden="false" customHeight="false" outlineLevel="0" collapsed="false">
      <c r="A120" s="38" t="s">
        <v>199</v>
      </c>
      <c r="B120" s="37" t="s">
        <v>193</v>
      </c>
      <c r="C120" s="35" t="n">
        <v>3017000</v>
      </c>
      <c r="D120" s="33" t="str">
        <f aca="false">IF(B120="","",IFERROR(INDEX(계좌!$B$2:$B$41,MATCH(B120,계좌!$A$2:$A$41,0)),"?"))</f>
        <v>카드 결제예정액</v>
      </c>
      <c r="E120" s="33" t="str">
        <f aca="false">IF(B120="","",IFERROR(INDEX(계좌!$D$2:$D$41,MATCH(B120,계좌!$A$2:$A$41,0)),"?"))</f>
        <v>부채</v>
      </c>
      <c r="F120" s="33" t="str">
        <f aca="false">IF(B120="","",IFERROR(INDEX(계좌!$E$2:$E$41,MATCH(B120,계좌!$A$2:$A$41,0)),"?"))</f>
        <v>공동</v>
      </c>
      <c r="G120" s="33" t="str">
        <f aca="false">IF(B120="","",IFERROR(INDEX(계좌!$F$2:$F$41,MATCH(B120,계좌!$A$2:$A$41,0)),"?"))</f>
        <v>즉시</v>
      </c>
    </row>
    <row r="121" customFormat="false" ht="15" hidden="false" customHeight="false" outlineLevel="0" collapsed="false">
      <c r="A121" s="38" t="s">
        <v>200</v>
      </c>
      <c r="B121" s="37" t="s">
        <v>177</v>
      </c>
      <c r="C121" s="35" t="n">
        <v>2761000</v>
      </c>
      <c r="D121" s="33" t="str">
        <f aca="false">IF(B121="","",IFERROR(INDEX(계좌!$B$2:$B$41,MATCH(B121,계좌!$A$2:$A$41,0)),"?"))</f>
        <v>급여통장(본인)</v>
      </c>
      <c r="E121" s="33" t="str">
        <f aca="false">IF(B121="","",IFERROR(INDEX(계좌!$D$2:$D$41,MATCH(B121,계좌!$A$2:$A$41,0)),"?"))</f>
        <v>현금성</v>
      </c>
      <c r="F121" s="33" t="str">
        <f aca="false">IF(B121="","",IFERROR(INDEX(계좌!$E$2:$E$41,MATCH(B121,계좌!$A$2:$A$41,0)),"?"))</f>
        <v>본인</v>
      </c>
      <c r="G121" s="33" t="str">
        <f aca="false">IF(B121="","",IFERROR(INDEX(계좌!$F$2:$F$41,MATCH(B121,계좌!$A$2:$A$41,0)),"?"))</f>
        <v>즉시</v>
      </c>
    </row>
    <row r="122" customFormat="false" ht="15" hidden="false" customHeight="false" outlineLevel="0" collapsed="false">
      <c r="A122" s="38" t="s">
        <v>200</v>
      </c>
      <c r="B122" s="37" t="s">
        <v>178</v>
      </c>
      <c r="C122" s="35" t="n">
        <v>1573000</v>
      </c>
      <c r="D122" s="33" t="str">
        <f aca="false">IF(B122="","",IFERROR(INDEX(계좌!$B$2:$B$41,MATCH(B122,계좌!$A$2:$A$41,0)),"?"))</f>
        <v>급여통장(배우자)</v>
      </c>
      <c r="E122" s="33" t="str">
        <f aca="false">IF(B122="","",IFERROR(INDEX(계좌!$D$2:$D$41,MATCH(B122,계좌!$A$2:$A$41,0)),"?"))</f>
        <v>현금성</v>
      </c>
      <c r="F122" s="33" t="str">
        <f aca="false">IF(B122="","",IFERROR(INDEX(계좌!$E$2:$E$41,MATCH(B122,계좌!$A$2:$A$41,0)),"?"))</f>
        <v>배우자</v>
      </c>
      <c r="G122" s="33" t="str">
        <f aca="false">IF(B122="","",IFERROR(INDEX(계좌!$F$2:$F$41,MATCH(B122,계좌!$A$2:$A$41,0)),"?"))</f>
        <v>즉시</v>
      </c>
    </row>
    <row r="123" customFormat="false" ht="15" hidden="false" customHeight="false" outlineLevel="0" collapsed="false">
      <c r="A123" s="38" t="s">
        <v>200</v>
      </c>
      <c r="B123" s="37" t="s">
        <v>179</v>
      </c>
      <c r="C123" s="35" t="n">
        <v>2064000</v>
      </c>
      <c r="D123" s="33" t="str">
        <f aca="false">IF(B123="","",IFERROR(INDEX(계좌!$B$2:$B$41,MATCH(B123,계좌!$A$2:$A$41,0)),"?"))</f>
        <v>생활비통장</v>
      </c>
      <c r="E123" s="33" t="str">
        <f aca="false">IF(B123="","",IFERROR(INDEX(계좌!$D$2:$D$41,MATCH(B123,계좌!$A$2:$A$41,0)),"?"))</f>
        <v>현금성</v>
      </c>
      <c r="F123" s="33" t="str">
        <f aca="false">IF(B123="","",IFERROR(INDEX(계좌!$E$2:$E$41,MATCH(B123,계좌!$A$2:$A$41,0)),"?"))</f>
        <v>공동</v>
      </c>
      <c r="G123" s="33" t="str">
        <f aca="false">IF(B123="","",IFERROR(INDEX(계좌!$F$2:$F$41,MATCH(B123,계좌!$A$2:$A$41,0)),"?"))</f>
        <v>즉시</v>
      </c>
    </row>
    <row r="124" customFormat="false" ht="15" hidden="false" customHeight="false" outlineLevel="0" collapsed="false">
      <c r="A124" s="38" t="s">
        <v>200</v>
      </c>
      <c r="B124" s="37" t="s">
        <v>180</v>
      </c>
      <c r="C124" s="35" t="n">
        <v>12850000</v>
      </c>
      <c r="D124" s="33" t="str">
        <f aca="false">IF(B124="","",IFERROR(INDEX(계좌!$B$2:$B$41,MATCH(B124,계좌!$A$2:$A$41,0)),"?"))</f>
        <v>비상금 파킹통장</v>
      </c>
      <c r="E124" s="33" t="str">
        <f aca="false">IF(B124="","",IFERROR(INDEX(계좌!$D$2:$D$41,MATCH(B124,계좌!$A$2:$A$41,0)),"?"))</f>
        <v>현금성</v>
      </c>
      <c r="F124" s="33" t="str">
        <f aca="false">IF(B124="","",IFERROR(INDEX(계좌!$E$2:$E$41,MATCH(B124,계좌!$A$2:$A$41,0)),"?"))</f>
        <v>공동</v>
      </c>
      <c r="G124" s="33" t="str">
        <f aca="false">IF(B124="","",IFERROR(INDEX(계좌!$F$2:$F$41,MATCH(B124,계좌!$A$2:$A$41,0)),"?"))</f>
        <v>즉시</v>
      </c>
    </row>
    <row r="125" customFormat="false" ht="15" hidden="false" customHeight="false" outlineLevel="0" collapsed="false">
      <c r="A125" s="38" t="s">
        <v>200</v>
      </c>
      <c r="B125" s="37" t="s">
        <v>181</v>
      </c>
      <c r="C125" s="35" t="n">
        <v>13600000</v>
      </c>
      <c r="D125" s="33" t="str">
        <f aca="false">IF(B125="","",IFERROR(INDEX(계좌!$B$2:$B$41,MATCH(B125,계좌!$A$2:$A$41,0)),"?"))</f>
        <v>주택청약종합저축</v>
      </c>
      <c r="E125" s="33" t="str">
        <f aca="false">IF(B125="","",IFERROR(INDEX(계좌!$D$2:$D$41,MATCH(B125,계좌!$A$2:$A$41,0)),"?"))</f>
        <v>현금성</v>
      </c>
      <c r="F125" s="33" t="str">
        <f aca="false">IF(B125="","",IFERROR(INDEX(계좌!$E$2:$E$41,MATCH(B125,계좌!$A$2:$A$41,0)),"?"))</f>
        <v>본인</v>
      </c>
      <c r="G125" s="33" t="str">
        <f aca="false">IF(B125="","",IFERROR(INDEX(계좌!$F$2:$F$41,MATCH(B125,계좌!$A$2:$A$41,0)),"?"))</f>
        <v>장기</v>
      </c>
    </row>
    <row r="126" customFormat="false" ht="15" hidden="false" customHeight="false" outlineLevel="0" collapsed="false">
      <c r="A126" s="38" t="s">
        <v>200</v>
      </c>
      <c r="B126" s="37" t="s">
        <v>182</v>
      </c>
      <c r="C126" s="35" t="n">
        <v>5100000</v>
      </c>
      <c r="D126" s="33" t="str">
        <f aca="false">IF(B126="","",IFERROR(INDEX(계좌!$B$2:$B$41,MATCH(B126,계좌!$A$2:$A$41,0)),"?"))</f>
        <v>정기적금</v>
      </c>
      <c r="E126" s="33" t="str">
        <f aca="false">IF(B126="","",IFERROR(INDEX(계좌!$D$2:$D$41,MATCH(B126,계좌!$A$2:$A$41,0)),"?"))</f>
        <v>현금성</v>
      </c>
      <c r="F126" s="33" t="str">
        <f aca="false">IF(B126="","",IFERROR(INDEX(계좌!$E$2:$E$41,MATCH(B126,계좌!$A$2:$A$41,0)),"?"))</f>
        <v>공동</v>
      </c>
      <c r="G126" s="33" t="str">
        <f aca="false">IF(B126="","",IFERROR(INDEX(계좌!$F$2:$F$41,MATCH(B126,계좌!$A$2:$A$41,0)),"?"))</f>
        <v>1년내</v>
      </c>
    </row>
    <row r="127" customFormat="false" ht="15" hidden="false" customHeight="false" outlineLevel="0" collapsed="false">
      <c r="A127" s="38" t="s">
        <v>200</v>
      </c>
      <c r="B127" s="37" t="s">
        <v>183</v>
      </c>
      <c r="C127" s="35" t="n">
        <v>39313000</v>
      </c>
      <c r="D127" s="33" t="str">
        <f aca="false">IF(B127="","",IFERROR(INDEX(계좌!$B$2:$B$41,MATCH(B127,계좌!$A$2:$A$41,0)),"?"))</f>
        <v>주식계좌</v>
      </c>
      <c r="E127" s="33" t="str">
        <f aca="false">IF(B127="","",IFERROR(INDEX(계좌!$D$2:$D$41,MATCH(B127,계좌!$A$2:$A$41,0)),"?"))</f>
        <v>투자</v>
      </c>
      <c r="F127" s="33" t="str">
        <f aca="false">IF(B127="","",IFERROR(INDEX(계좌!$E$2:$E$41,MATCH(B127,계좌!$A$2:$A$41,0)),"?"))</f>
        <v>본인</v>
      </c>
      <c r="G127" s="33" t="str">
        <f aca="false">IF(B127="","",IFERROR(INDEX(계좌!$F$2:$F$41,MATCH(B127,계좌!$A$2:$A$41,0)),"?"))</f>
        <v>즉시</v>
      </c>
    </row>
    <row r="128" customFormat="false" ht="15" hidden="false" customHeight="false" outlineLevel="0" collapsed="false">
      <c r="A128" s="38" t="s">
        <v>200</v>
      </c>
      <c r="B128" s="37" t="s">
        <v>184</v>
      </c>
      <c r="C128" s="35" t="n">
        <v>23755000</v>
      </c>
      <c r="D128" s="33" t="str">
        <f aca="false">IF(B128="","",IFERROR(INDEX(계좌!$B$2:$B$41,MATCH(B128,계좌!$A$2:$A$41,0)),"?"))</f>
        <v>ISA(중개형)</v>
      </c>
      <c r="E128" s="33" t="str">
        <f aca="false">IF(B128="","",IFERROR(INDEX(계좌!$D$2:$D$41,MATCH(B128,계좌!$A$2:$A$41,0)),"?"))</f>
        <v>투자</v>
      </c>
      <c r="F128" s="33" t="str">
        <f aca="false">IF(B128="","",IFERROR(INDEX(계좌!$E$2:$E$41,MATCH(B128,계좌!$A$2:$A$41,0)),"?"))</f>
        <v>배우자</v>
      </c>
      <c r="G128" s="33" t="str">
        <f aca="false">IF(B128="","",IFERROR(INDEX(계좌!$F$2:$F$41,MATCH(B128,계좌!$A$2:$A$41,0)),"?"))</f>
        <v>장기</v>
      </c>
    </row>
    <row r="129" customFormat="false" ht="15" hidden="false" customHeight="false" outlineLevel="0" collapsed="false">
      <c r="A129" s="38" t="s">
        <v>200</v>
      </c>
      <c r="B129" s="37" t="s">
        <v>185</v>
      </c>
      <c r="C129" s="35" t="n">
        <v>15763000</v>
      </c>
      <c r="D129" s="33" t="str">
        <f aca="false">IF(B129="","",IFERROR(INDEX(계좌!$B$2:$B$41,MATCH(B129,계좌!$A$2:$A$41,0)),"?"))</f>
        <v>해외주식계좌</v>
      </c>
      <c r="E129" s="33" t="str">
        <f aca="false">IF(B129="","",IFERROR(INDEX(계좌!$D$2:$D$41,MATCH(B129,계좌!$A$2:$A$41,0)),"?"))</f>
        <v>투자</v>
      </c>
      <c r="F129" s="33" t="str">
        <f aca="false">IF(B129="","",IFERROR(INDEX(계좌!$E$2:$E$41,MATCH(B129,계좌!$A$2:$A$41,0)),"?"))</f>
        <v>공동</v>
      </c>
      <c r="G129" s="33" t="str">
        <f aca="false">IF(B129="","",IFERROR(INDEX(계좌!$F$2:$F$41,MATCH(B129,계좌!$A$2:$A$41,0)),"?"))</f>
        <v>즉시</v>
      </c>
    </row>
    <row r="130" customFormat="false" ht="15" hidden="false" customHeight="false" outlineLevel="0" collapsed="false">
      <c r="A130" s="38" t="s">
        <v>200</v>
      </c>
      <c r="B130" s="37" t="s">
        <v>186</v>
      </c>
      <c r="C130" s="35" t="n">
        <v>24272000</v>
      </c>
      <c r="D130" s="33" t="str">
        <f aca="false">IF(B130="","",IFERROR(INDEX(계좌!$B$2:$B$41,MATCH(B130,계좌!$A$2:$A$41,0)),"?"))</f>
        <v>연금저축펀드</v>
      </c>
      <c r="E130" s="33" t="str">
        <f aca="false">IF(B130="","",IFERROR(INDEX(계좌!$D$2:$D$41,MATCH(B130,계좌!$A$2:$A$41,0)),"?"))</f>
        <v>연금</v>
      </c>
      <c r="F130" s="33" t="str">
        <f aca="false">IF(B130="","",IFERROR(INDEX(계좌!$E$2:$E$41,MATCH(B130,계좌!$A$2:$A$41,0)),"?"))</f>
        <v>본인</v>
      </c>
      <c r="G130" s="33" t="str">
        <f aca="false">IF(B130="","",IFERROR(INDEX(계좌!$F$2:$F$41,MATCH(B130,계좌!$A$2:$A$41,0)),"?"))</f>
        <v>장기</v>
      </c>
    </row>
    <row r="131" customFormat="false" ht="15" hidden="false" customHeight="false" outlineLevel="0" collapsed="false">
      <c r="A131" s="38" t="s">
        <v>200</v>
      </c>
      <c r="B131" s="37" t="s">
        <v>187</v>
      </c>
      <c r="C131" s="35" t="n">
        <v>13732000</v>
      </c>
      <c r="D131" s="33" t="str">
        <f aca="false">IF(B131="","",IFERROR(INDEX(계좌!$B$2:$B$41,MATCH(B131,계좌!$A$2:$A$41,0)),"?"))</f>
        <v>IRP</v>
      </c>
      <c r="E131" s="33" t="str">
        <f aca="false">IF(B131="","",IFERROR(INDEX(계좌!$D$2:$D$41,MATCH(B131,계좌!$A$2:$A$41,0)),"?"))</f>
        <v>연금</v>
      </c>
      <c r="F131" s="33" t="str">
        <f aca="false">IF(B131="","",IFERROR(INDEX(계좌!$E$2:$E$41,MATCH(B131,계좌!$A$2:$A$41,0)),"?"))</f>
        <v>배우자</v>
      </c>
      <c r="G131" s="33" t="str">
        <f aca="false">IF(B131="","",IFERROR(INDEX(계좌!$F$2:$F$41,MATCH(B131,계좌!$A$2:$A$41,0)),"?"))</f>
        <v>장기</v>
      </c>
    </row>
    <row r="132" customFormat="false" ht="15" hidden="false" customHeight="false" outlineLevel="0" collapsed="false">
      <c r="A132" s="38" t="s">
        <v>200</v>
      </c>
      <c r="B132" s="37" t="s">
        <v>188</v>
      </c>
      <c r="C132" s="35" t="n">
        <v>41638000</v>
      </c>
      <c r="D132" s="33" t="str">
        <f aca="false">IF(B132="","",IFERROR(INDEX(계좌!$B$2:$B$41,MATCH(B132,계좌!$A$2:$A$41,0)),"?"))</f>
        <v>퇴직연금(DC)</v>
      </c>
      <c r="E132" s="33" t="str">
        <f aca="false">IF(B132="","",IFERROR(INDEX(계좌!$D$2:$D$41,MATCH(B132,계좌!$A$2:$A$41,0)),"?"))</f>
        <v>연금</v>
      </c>
      <c r="F132" s="33" t="str">
        <f aca="false">IF(B132="","",IFERROR(INDEX(계좌!$E$2:$E$41,MATCH(B132,계좌!$A$2:$A$41,0)),"?"))</f>
        <v>본인</v>
      </c>
      <c r="G132" s="33" t="str">
        <f aca="false">IF(B132="","",IFERROR(INDEX(계좌!$F$2:$F$41,MATCH(B132,계좌!$A$2:$A$41,0)),"?"))</f>
        <v>장기</v>
      </c>
    </row>
    <row r="133" customFormat="false" ht="15" hidden="false" customHeight="false" outlineLevel="0" collapsed="false">
      <c r="A133" s="38" t="s">
        <v>200</v>
      </c>
      <c r="B133" s="37" t="s">
        <v>189</v>
      </c>
      <c r="C133" s="35" t="n">
        <v>794000000</v>
      </c>
      <c r="D133" s="33" t="str">
        <f aca="false">IF(B133="","",IFERROR(INDEX(계좌!$B$2:$B$41,MATCH(B133,계좌!$A$2:$A$41,0)),"?"))</f>
        <v>아파트(실거주)</v>
      </c>
      <c r="E133" s="33" t="str">
        <f aca="false">IF(B133="","",IFERROR(INDEX(계좌!$D$2:$D$41,MATCH(B133,계좌!$A$2:$A$41,0)),"?"))</f>
        <v>부동산</v>
      </c>
      <c r="F133" s="33" t="str">
        <f aca="false">IF(B133="","",IFERROR(INDEX(계좌!$E$2:$E$41,MATCH(B133,계좌!$A$2:$A$41,0)),"?"))</f>
        <v>공동</v>
      </c>
      <c r="G133" s="33" t="str">
        <f aca="false">IF(B133="","",IFERROR(INDEX(계좌!$F$2:$F$41,MATCH(B133,계좌!$A$2:$A$41,0)),"?"))</f>
        <v>장기</v>
      </c>
    </row>
    <row r="134" customFormat="false" ht="15" hidden="false" customHeight="false" outlineLevel="0" collapsed="false">
      <c r="A134" s="38" t="s">
        <v>200</v>
      </c>
      <c r="B134" s="37" t="s">
        <v>190</v>
      </c>
      <c r="C134" s="35" t="n">
        <v>22250000</v>
      </c>
      <c r="D134" s="33" t="str">
        <f aca="false">IF(B134="","",IFERROR(INDEX(계좌!$B$2:$B$41,MATCH(B134,계좌!$A$2:$A$41,0)),"?"))</f>
        <v>자동차</v>
      </c>
      <c r="E134" s="33" t="str">
        <f aca="false">IF(B134="","",IFERROR(INDEX(계좌!$D$2:$D$41,MATCH(B134,계좌!$A$2:$A$41,0)),"?"))</f>
        <v>기타자산</v>
      </c>
      <c r="F134" s="33" t="str">
        <f aca="false">IF(B134="","",IFERROR(INDEX(계좌!$E$2:$E$41,MATCH(B134,계좌!$A$2:$A$41,0)),"?"))</f>
        <v>공동</v>
      </c>
      <c r="G134" s="33" t="str">
        <f aca="false">IF(B134="","",IFERROR(INDEX(계좌!$F$2:$F$41,MATCH(B134,계좌!$A$2:$A$41,0)),"?"))</f>
        <v>장기</v>
      </c>
    </row>
    <row r="135" customFormat="false" ht="15" hidden="false" customHeight="false" outlineLevel="0" collapsed="false">
      <c r="A135" s="38" t="s">
        <v>200</v>
      </c>
      <c r="B135" s="37" t="s">
        <v>191</v>
      </c>
      <c r="C135" s="35" t="n">
        <v>287800000</v>
      </c>
      <c r="D135" s="33" t="str">
        <f aca="false">IF(B135="","",IFERROR(INDEX(계좌!$B$2:$B$41,MATCH(B135,계좌!$A$2:$A$41,0)),"?"))</f>
        <v>주택담보대출</v>
      </c>
      <c r="E135" s="33" t="str">
        <f aca="false">IF(B135="","",IFERROR(INDEX(계좌!$D$2:$D$41,MATCH(B135,계좌!$A$2:$A$41,0)),"?"))</f>
        <v>부채</v>
      </c>
      <c r="F135" s="33" t="str">
        <f aca="false">IF(B135="","",IFERROR(INDEX(계좌!$E$2:$E$41,MATCH(B135,계좌!$A$2:$A$41,0)),"?"))</f>
        <v>공동</v>
      </c>
      <c r="G135" s="33" t="str">
        <f aca="false">IF(B135="","",IFERROR(INDEX(계좌!$F$2:$F$41,MATCH(B135,계좌!$A$2:$A$41,0)),"?"))</f>
        <v>장기</v>
      </c>
    </row>
    <row r="136" customFormat="false" ht="15" hidden="false" customHeight="false" outlineLevel="0" collapsed="false">
      <c r="A136" s="38" t="s">
        <v>200</v>
      </c>
      <c r="B136" s="37" t="s">
        <v>192</v>
      </c>
      <c r="C136" s="35" t="n">
        <v>15900000</v>
      </c>
      <c r="D136" s="33" t="str">
        <f aca="false">IF(B136="","",IFERROR(INDEX(계좌!$B$2:$B$41,MATCH(B136,계좌!$A$2:$A$41,0)),"?"))</f>
        <v>신용대출</v>
      </c>
      <c r="E136" s="33" t="str">
        <f aca="false">IF(B136="","",IFERROR(INDEX(계좌!$D$2:$D$41,MATCH(B136,계좌!$A$2:$A$41,0)),"?"))</f>
        <v>부채</v>
      </c>
      <c r="F136" s="33" t="str">
        <f aca="false">IF(B136="","",IFERROR(INDEX(계좌!$E$2:$E$41,MATCH(B136,계좌!$A$2:$A$41,0)),"?"))</f>
        <v>본인</v>
      </c>
      <c r="G136" s="33" t="str">
        <f aca="false">IF(B136="","",IFERROR(INDEX(계좌!$F$2:$F$41,MATCH(B136,계좌!$A$2:$A$41,0)),"?"))</f>
        <v>장기</v>
      </c>
    </row>
    <row r="137" customFormat="false" ht="15" hidden="false" customHeight="false" outlineLevel="0" collapsed="false">
      <c r="A137" s="38" t="s">
        <v>200</v>
      </c>
      <c r="B137" s="37" t="s">
        <v>193</v>
      </c>
      <c r="C137" s="35" t="n">
        <v>3186000</v>
      </c>
      <c r="D137" s="33" t="str">
        <f aca="false">IF(B137="","",IFERROR(INDEX(계좌!$B$2:$B$41,MATCH(B137,계좌!$A$2:$A$41,0)),"?"))</f>
        <v>카드 결제예정액</v>
      </c>
      <c r="E137" s="33" t="str">
        <f aca="false">IF(B137="","",IFERROR(INDEX(계좌!$D$2:$D$41,MATCH(B137,계좌!$A$2:$A$41,0)),"?"))</f>
        <v>부채</v>
      </c>
      <c r="F137" s="33" t="str">
        <f aca="false">IF(B137="","",IFERROR(INDEX(계좌!$E$2:$E$41,MATCH(B137,계좌!$A$2:$A$41,0)),"?"))</f>
        <v>공동</v>
      </c>
      <c r="G137" s="33" t="str">
        <f aca="false">IF(B137="","",IFERROR(INDEX(계좌!$F$2:$F$41,MATCH(B137,계좌!$A$2:$A$41,0)),"?"))</f>
        <v>즉시</v>
      </c>
    </row>
    <row r="138" customFormat="false" ht="15" hidden="false" customHeight="false" outlineLevel="0" collapsed="false">
      <c r="A138" s="38" t="s">
        <v>201</v>
      </c>
      <c r="B138" s="37" t="s">
        <v>177</v>
      </c>
      <c r="C138" s="35" t="n">
        <v>2462000</v>
      </c>
      <c r="D138" s="33" t="str">
        <f aca="false">IF(B138="","",IFERROR(INDEX(계좌!$B$2:$B$41,MATCH(B138,계좌!$A$2:$A$41,0)),"?"))</f>
        <v>급여통장(본인)</v>
      </c>
      <c r="E138" s="33" t="str">
        <f aca="false">IF(B138="","",IFERROR(INDEX(계좌!$D$2:$D$41,MATCH(B138,계좌!$A$2:$A$41,0)),"?"))</f>
        <v>현금성</v>
      </c>
      <c r="F138" s="33" t="str">
        <f aca="false">IF(B138="","",IFERROR(INDEX(계좌!$E$2:$E$41,MATCH(B138,계좌!$A$2:$A$41,0)),"?"))</f>
        <v>본인</v>
      </c>
      <c r="G138" s="33" t="str">
        <f aca="false">IF(B138="","",IFERROR(INDEX(계좌!$F$2:$F$41,MATCH(B138,계좌!$A$2:$A$41,0)),"?"))</f>
        <v>즉시</v>
      </c>
    </row>
    <row r="139" customFormat="false" ht="15" hidden="false" customHeight="false" outlineLevel="0" collapsed="false">
      <c r="A139" s="38" t="s">
        <v>201</v>
      </c>
      <c r="B139" s="37" t="s">
        <v>178</v>
      </c>
      <c r="C139" s="35" t="n">
        <v>1752000</v>
      </c>
      <c r="D139" s="33" t="str">
        <f aca="false">IF(B139="","",IFERROR(INDEX(계좌!$B$2:$B$41,MATCH(B139,계좌!$A$2:$A$41,0)),"?"))</f>
        <v>급여통장(배우자)</v>
      </c>
      <c r="E139" s="33" t="str">
        <f aca="false">IF(B139="","",IFERROR(INDEX(계좌!$D$2:$D$41,MATCH(B139,계좌!$A$2:$A$41,0)),"?"))</f>
        <v>현금성</v>
      </c>
      <c r="F139" s="33" t="str">
        <f aca="false">IF(B139="","",IFERROR(INDEX(계좌!$E$2:$E$41,MATCH(B139,계좌!$A$2:$A$41,0)),"?"))</f>
        <v>배우자</v>
      </c>
      <c r="G139" s="33" t="str">
        <f aca="false">IF(B139="","",IFERROR(INDEX(계좌!$F$2:$F$41,MATCH(B139,계좌!$A$2:$A$41,0)),"?"))</f>
        <v>즉시</v>
      </c>
    </row>
    <row r="140" customFormat="false" ht="15" hidden="false" customHeight="false" outlineLevel="0" collapsed="false">
      <c r="A140" s="38" t="s">
        <v>201</v>
      </c>
      <c r="B140" s="37" t="s">
        <v>179</v>
      </c>
      <c r="C140" s="35" t="n">
        <v>1698000</v>
      </c>
      <c r="D140" s="33" t="str">
        <f aca="false">IF(B140="","",IFERROR(INDEX(계좌!$B$2:$B$41,MATCH(B140,계좌!$A$2:$A$41,0)),"?"))</f>
        <v>생활비통장</v>
      </c>
      <c r="E140" s="33" t="str">
        <f aca="false">IF(B140="","",IFERROR(INDEX(계좌!$D$2:$D$41,MATCH(B140,계좌!$A$2:$A$41,0)),"?"))</f>
        <v>현금성</v>
      </c>
      <c r="F140" s="33" t="str">
        <f aca="false">IF(B140="","",IFERROR(INDEX(계좌!$E$2:$E$41,MATCH(B140,계좌!$A$2:$A$41,0)),"?"))</f>
        <v>공동</v>
      </c>
      <c r="G140" s="33" t="str">
        <f aca="false">IF(B140="","",IFERROR(INDEX(계좌!$F$2:$F$41,MATCH(B140,계좌!$A$2:$A$41,0)),"?"))</f>
        <v>즉시</v>
      </c>
    </row>
    <row r="141" customFormat="false" ht="15" hidden="false" customHeight="false" outlineLevel="0" collapsed="false">
      <c r="A141" s="38" t="s">
        <v>201</v>
      </c>
      <c r="B141" s="37" t="s">
        <v>180</v>
      </c>
      <c r="C141" s="35" t="n">
        <v>13400000</v>
      </c>
      <c r="D141" s="33" t="str">
        <f aca="false">IF(B141="","",IFERROR(INDEX(계좌!$B$2:$B$41,MATCH(B141,계좌!$A$2:$A$41,0)),"?"))</f>
        <v>비상금 파킹통장</v>
      </c>
      <c r="E141" s="33" t="str">
        <f aca="false">IF(B141="","",IFERROR(INDEX(계좌!$D$2:$D$41,MATCH(B141,계좌!$A$2:$A$41,0)),"?"))</f>
        <v>현금성</v>
      </c>
      <c r="F141" s="33" t="str">
        <f aca="false">IF(B141="","",IFERROR(INDEX(계좌!$E$2:$E$41,MATCH(B141,계좌!$A$2:$A$41,0)),"?"))</f>
        <v>공동</v>
      </c>
      <c r="G141" s="33" t="str">
        <f aca="false">IF(B141="","",IFERROR(INDEX(계좌!$F$2:$F$41,MATCH(B141,계좌!$A$2:$A$41,0)),"?"))</f>
        <v>즉시</v>
      </c>
    </row>
    <row r="142" customFormat="false" ht="15" hidden="false" customHeight="false" outlineLevel="0" collapsed="false">
      <c r="A142" s="38" t="s">
        <v>201</v>
      </c>
      <c r="B142" s="37" t="s">
        <v>181</v>
      </c>
      <c r="C142" s="35" t="n">
        <v>13700000</v>
      </c>
      <c r="D142" s="33" t="str">
        <f aca="false">IF(B142="","",IFERROR(INDEX(계좌!$B$2:$B$41,MATCH(B142,계좌!$A$2:$A$41,0)),"?"))</f>
        <v>주택청약종합저축</v>
      </c>
      <c r="E142" s="33" t="str">
        <f aca="false">IF(B142="","",IFERROR(INDEX(계좌!$D$2:$D$41,MATCH(B142,계좌!$A$2:$A$41,0)),"?"))</f>
        <v>현금성</v>
      </c>
      <c r="F142" s="33" t="str">
        <f aca="false">IF(B142="","",IFERROR(INDEX(계좌!$E$2:$E$41,MATCH(B142,계좌!$A$2:$A$41,0)),"?"))</f>
        <v>본인</v>
      </c>
      <c r="G142" s="33" t="str">
        <f aca="false">IF(B142="","",IFERROR(INDEX(계좌!$F$2:$F$41,MATCH(B142,계좌!$A$2:$A$41,0)),"?"))</f>
        <v>장기</v>
      </c>
    </row>
    <row r="143" customFormat="false" ht="15" hidden="false" customHeight="false" outlineLevel="0" collapsed="false">
      <c r="A143" s="38" t="s">
        <v>201</v>
      </c>
      <c r="B143" s="37" t="s">
        <v>182</v>
      </c>
      <c r="C143" s="35" t="n">
        <v>5400000</v>
      </c>
      <c r="D143" s="33" t="str">
        <f aca="false">IF(B143="","",IFERROR(INDEX(계좌!$B$2:$B$41,MATCH(B143,계좌!$A$2:$A$41,0)),"?"))</f>
        <v>정기적금</v>
      </c>
      <c r="E143" s="33" t="str">
        <f aca="false">IF(B143="","",IFERROR(INDEX(계좌!$D$2:$D$41,MATCH(B143,계좌!$A$2:$A$41,0)),"?"))</f>
        <v>현금성</v>
      </c>
      <c r="F143" s="33" t="str">
        <f aca="false">IF(B143="","",IFERROR(INDEX(계좌!$E$2:$E$41,MATCH(B143,계좌!$A$2:$A$41,0)),"?"))</f>
        <v>공동</v>
      </c>
      <c r="G143" s="33" t="str">
        <f aca="false">IF(B143="","",IFERROR(INDEX(계좌!$F$2:$F$41,MATCH(B143,계좌!$A$2:$A$41,0)),"?"))</f>
        <v>1년내</v>
      </c>
    </row>
    <row r="144" customFormat="false" ht="15" hidden="false" customHeight="false" outlineLevel="0" collapsed="false">
      <c r="A144" s="38" t="s">
        <v>201</v>
      </c>
      <c r="B144" s="37" t="s">
        <v>183</v>
      </c>
      <c r="C144" s="35" t="n">
        <v>39686000</v>
      </c>
      <c r="D144" s="33" t="str">
        <f aca="false">IF(B144="","",IFERROR(INDEX(계좌!$B$2:$B$41,MATCH(B144,계좌!$A$2:$A$41,0)),"?"))</f>
        <v>주식계좌</v>
      </c>
      <c r="E144" s="33" t="str">
        <f aca="false">IF(B144="","",IFERROR(INDEX(계좌!$D$2:$D$41,MATCH(B144,계좌!$A$2:$A$41,0)),"?"))</f>
        <v>투자</v>
      </c>
      <c r="F144" s="33" t="str">
        <f aca="false">IF(B144="","",IFERROR(INDEX(계좌!$E$2:$E$41,MATCH(B144,계좌!$A$2:$A$41,0)),"?"))</f>
        <v>본인</v>
      </c>
      <c r="G144" s="33" t="str">
        <f aca="false">IF(B144="","",IFERROR(INDEX(계좌!$F$2:$F$41,MATCH(B144,계좌!$A$2:$A$41,0)),"?"))</f>
        <v>즉시</v>
      </c>
    </row>
    <row r="145" customFormat="false" ht="15" hidden="false" customHeight="false" outlineLevel="0" collapsed="false">
      <c r="A145" s="38" t="s">
        <v>201</v>
      </c>
      <c r="B145" s="37" t="s">
        <v>184</v>
      </c>
      <c r="C145" s="35" t="n">
        <v>24837000</v>
      </c>
      <c r="D145" s="33" t="str">
        <f aca="false">IF(B145="","",IFERROR(INDEX(계좌!$B$2:$B$41,MATCH(B145,계좌!$A$2:$A$41,0)),"?"))</f>
        <v>ISA(중개형)</v>
      </c>
      <c r="E145" s="33" t="str">
        <f aca="false">IF(B145="","",IFERROR(INDEX(계좌!$D$2:$D$41,MATCH(B145,계좌!$A$2:$A$41,0)),"?"))</f>
        <v>투자</v>
      </c>
      <c r="F145" s="33" t="str">
        <f aca="false">IF(B145="","",IFERROR(INDEX(계좌!$E$2:$E$41,MATCH(B145,계좌!$A$2:$A$41,0)),"?"))</f>
        <v>배우자</v>
      </c>
      <c r="G145" s="33" t="str">
        <f aca="false">IF(B145="","",IFERROR(INDEX(계좌!$F$2:$F$41,MATCH(B145,계좌!$A$2:$A$41,0)),"?"))</f>
        <v>장기</v>
      </c>
    </row>
    <row r="146" customFormat="false" ht="15" hidden="false" customHeight="false" outlineLevel="0" collapsed="false">
      <c r="A146" s="38" t="s">
        <v>201</v>
      </c>
      <c r="B146" s="37" t="s">
        <v>185</v>
      </c>
      <c r="C146" s="35" t="n">
        <v>16047000</v>
      </c>
      <c r="D146" s="33" t="str">
        <f aca="false">IF(B146="","",IFERROR(INDEX(계좌!$B$2:$B$41,MATCH(B146,계좌!$A$2:$A$41,0)),"?"))</f>
        <v>해외주식계좌</v>
      </c>
      <c r="E146" s="33" t="str">
        <f aca="false">IF(B146="","",IFERROR(INDEX(계좌!$D$2:$D$41,MATCH(B146,계좌!$A$2:$A$41,0)),"?"))</f>
        <v>투자</v>
      </c>
      <c r="F146" s="33" t="str">
        <f aca="false">IF(B146="","",IFERROR(INDEX(계좌!$E$2:$E$41,MATCH(B146,계좌!$A$2:$A$41,0)),"?"))</f>
        <v>공동</v>
      </c>
      <c r="G146" s="33" t="str">
        <f aca="false">IF(B146="","",IFERROR(INDEX(계좌!$F$2:$F$41,MATCH(B146,계좌!$A$2:$A$41,0)),"?"))</f>
        <v>즉시</v>
      </c>
    </row>
    <row r="147" customFormat="false" ht="15" hidden="false" customHeight="false" outlineLevel="0" collapsed="false">
      <c r="A147" s="38" t="s">
        <v>201</v>
      </c>
      <c r="B147" s="37" t="s">
        <v>186</v>
      </c>
      <c r="C147" s="35" t="n">
        <v>24550000</v>
      </c>
      <c r="D147" s="33" t="str">
        <f aca="false">IF(B147="","",IFERROR(INDEX(계좌!$B$2:$B$41,MATCH(B147,계좌!$A$2:$A$41,0)),"?"))</f>
        <v>연금저축펀드</v>
      </c>
      <c r="E147" s="33" t="str">
        <f aca="false">IF(B147="","",IFERROR(INDEX(계좌!$D$2:$D$41,MATCH(B147,계좌!$A$2:$A$41,0)),"?"))</f>
        <v>연금</v>
      </c>
      <c r="F147" s="33" t="str">
        <f aca="false">IF(B147="","",IFERROR(INDEX(계좌!$E$2:$E$41,MATCH(B147,계좌!$A$2:$A$41,0)),"?"))</f>
        <v>본인</v>
      </c>
      <c r="G147" s="33" t="str">
        <f aca="false">IF(B147="","",IFERROR(INDEX(계좌!$F$2:$F$41,MATCH(B147,계좌!$A$2:$A$41,0)),"?"))</f>
        <v>장기</v>
      </c>
    </row>
    <row r="148" customFormat="false" ht="15" hidden="false" customHeight="false" outlineLevel="0" collapsed="false">
      <c r="A148" s="38" t="s">
        <v>201</v>
      </c>
      <c r="B148" s="37" t="s">
        <v>187</v>
      </c>
      <c r="C148" s="35" t="n">
        <v>13947000</v>
      </c>
      <c r="D148" s="33" t="str">
        <f aca="false">IF(B148="","",IFERROR(INDEX(계좌!$B$2:$B$41,MATCH(B148,계좌!$A$2:$A$41,0)),"?"))</f>
        <v>IRP</v>
      </c>
      <c r="E148" s="33" t="str">
        <f aca="false">IF(B148="","",IFERROR(INDEX(계좌!$D$2:$D$41,MATCH(B148,계좌!$A$2:$A$41,0)),"?"))</f>
        <v>연금</v>
      </c>
      <c r="F148" s="33" t="str">
        <f aca="false">IF(B148="","",IFERROR(INDEX(계좌!$E$2:$E$41,MATCH(B148,계좌!$A$2:$A$41,0)),"?"))</f>
        <v>배우자</v>
      </c>
      <c r="G148" s="33" t="str">
        <f aca="false">IF(B148="","",IFERROR(INDEX(계좌!$F$2:$F$41,MATCH(B148,계좌!$A$2:$A$41,0)),"?"))</f>
        <v>장기</v>
      </c>
    </row>
    <row r="149" customFormat="false" ht="15" hidden="false" customHeight="false" outlineLevel="0" collapsed="false">
      <c r="A149" s="38" t="s">
        <v>201</v>
      </c>
      <c r="B149" s="37" t="s">
        <v>188</v>
      </c>
      <c r="C149" s="35" t="n">
        <v>42013000</v>
      </c>
      <c r="D149" s="33" t="str">
        <f aca="false">IF(B149="","",IFERROR(INDEX(계좌!$B$2:$B$41,MATCH(B149,계좌!$A$2:$A$41,0)),"?"))</f>
        <v>퇴직연금(DC)</v>
      </c>
      <c r="E149" s="33" t="str">
        <f aca="false">IF(B149="","",IFERROR(INDEX(계좌!$D$2:$D$41,MATCH(B149,계좌!$A$2:$A$41,0)),"?"))</f>
        <v>연금</v>
      </c>
      <c r="F149" s="33" t="str">
        <f aca="false">IF(B149="","",IFERROR(INDEX(계좌!$E$2:$E$41,MATCH(B149,계좌!$A$2:$A$41,0)),"?"))</f>
        <v>본인</v>
      </c>
      <c r="G149" s="33" t="str">
        <f aca="false">IF(B149="","",IFERROR(INDEX(계좌!$F$2:$F$41,MATCH(B149,계좌!$A$2:$A$41,0)),"?"))</f>
        <v>장기</v>
      </c>
    </row>
    <row r="150" customFormat="false" ht="15" hidden="false" customHeight="false" outlineLevel="0" collapsed="false">
      <c r="A150" s="38" t="s">
        <v>201</v>
      </c>
      <c r="B150" s="37" t="s">
        <v>189</v>
      </c>
      <c r="C150" s="35" t="n">
        <v>796000000</v>
      </c>
      <c r="D150" s="33" t="str">
        <f aca="false">IF(B150="","",IFERROR(INDEX(계좌!$B$2:$B$41,MATCH(B150,계좌!$A$2:$A$41,0)),"?"))</f>
        <v>아파트(실거주)</v>
      </c>
      <c r="E150" s="33" t="str">
        <f aca="false">IF(B150="","",IFERROR(INDEX(계좌!$D$2:$D$41,MATCH(B150,계좌!$A$2:$A$41,0)),"?"))</f>
        <v>부동산</v>
      </c>
      <c r="F150" s="33" t="str">
        <f aca="false">IF(B150="","",IFERROR(INDEX(계좌!$E$2:$E$41,MATCH(B150,계좌!$A$2:$A$41,0)),"?"))</f>
        <v>공동</v>
      </c>
      <c r="G150" s="33" t="str">
        <f aca="false">IF(B150="","",IFERROR(INDEX(계좌!$F$2:$F$41,MATCH(B150,계좌!$A$2:$A$41,0)),"?"))</f>
        <v>장기</v>
      </c>
    </row>
    <row r="151" customFormat="false" ht="15" hidden="false" customHeight="false" outlineLevel="0" collapsed="false">
      <c r="A151" s="38" t="s">
        <v>201</v>
      </c>
      <c r="B151" s="37" t="s">
        <v>190</v>
      </c>
      <c r="C151" s="35" t="n">
        <v>22000000</v>
      </c>
      <c r="D151" s="33" t="str">
        <f aca="false">IF(B151="","",IFERROR(INDEX(계좌!$B$2:$B$41,MATCH(B151,계좌!$A$2:$A$41,0)),"?"))</f>
        <v>자동차</v>
      </c>
      <c r="E151" s="33" t="str">
        <f aca="false">IF(B151="","",IFERROR(INDEX(계좌!$D$2:$D$41,MATCH(B151,계좌!$A$2:$A$41,0)),"?"))</f>
        <v>기타자산</v>
      </c>
      <c r="F151" s="33" t="str">
        <f aca="false">IF(B151="","",IFERROR(INDEX(계좌!$E$2:$E$41,MATCH(B151,계좌!$A$2:$A$41,0)),"?"))</f>
        <v>공동</v>
      </c>
      <c r="G151" s="33" t="str">
        <f aca="false">IF(B151="","",IFERROR(INDEX(계좌!$F$2:$F$41,MATCH(B151,계좌!$A$2:$A$41,0)),"?"))</f>
        <v>장기</v>
      </c>
    </row>
    <row r="152" customFormat="false" ht="15" hidden="false" customHeight="false" outlineLevel="0" collapsed="false">
      <c r="A152" s="38" t="s">
        <v>201</v>
      </c>
      <c r="B152" s="37" t="s">
        <v>191</v>
      </c>
      <c r="C152" s="35" t="n">
        <v>287200000</v>
      </c>
      <c r="D152" s="33" t="str">
        <f aca="false">IF(B152="","",IFERROR(INDEX(계좌!$B$2:$B$41,MATCH(B152,계좌!$A$2:$A$41,0)),"?"))</f>
        <v>주택담보대출</v>
      </c>
      <c r="E152" s="33" t="str">
        <f aca="false">IF(B152="","",IFERROR(INDEX(계좌!$D$2:$D$41,MATCH(B152,계좌!$A$2:$A$41,0)),"?"))</f>
        <v>부채</v>
      </c>
      <c r="F152" s="33" t="str">
        <f aca="false">IF(B152="","",IFERROR(INDEX(계좌!$E$2:$E$41,MATCH(B152,계좌!$A$2:$A$41,0)),"?"))</f>
        <v>공동</v>
      </c>
      <c r="G152" s="33" t="str">
        <f aca="false">IF(B152="","",IFERROR(INDEX(계좌!$F$2:$F$41,MATCH(B152,계좌!$A$2:$A$41,0)),"?"))</f>
        <v>장기</v>
      </c>
    </row>
    <row r="153" customFormat="false" ht="15" hidden="false" customHeight="false" outlineLevel="0" collapsed="false">
      <c r="A153" s="38" t="s">
        <v>201</v>
      </c>
      <c r="B153" s="37" t="s">
        <v>192</v>
      </c>
      <c r="C153" s="35" t="n">
        <v>15600000</v>
      </c>
      <c r="D153" s="33" t="str">
        <f aca="false">IF(B153="","",IFERROR(INDEX(계좌!$B$2:$B$41,MATCH(B153,계좌!$A$2:$A$41,0)),"?"))</f>
        <v>신용대출</v>
      </c>
      <c r="E153" s="33" t="str">
        <f aca="false">IF(B153="","",IFERROR(INDEX(계좌!$D$2:$D$41,MATCH(B153,계좌!$A$2:$A$41,0)),"?"))</f>
        <v>부채</v>
      </c>
      <c r="F153" s="33" t="str">
        <f aca="false">IF(B153="","",IFERROR(INDEX(계좌!$E$2:$E$41,MATCH(B153,계좌!$A$2:$A$41,0)),"?"))</f>
        <v>본인</v>
      </c>
      <c r="G153" s="33" t="str">
        <f aca="false">IF(B153="","",IFERROR(INDEX(계좌!$F$2:$F$41,MATCH(B153,계좌!$A$2:$A$41,0)),"?"))</f>
        <v>장기</v>
      </c>
    </row>
    <row r="154" customFormat="false" ht="15" hidden="false" customHeight="false" outlineLevel="0" collapsed="false">
      <c r="A154" s="38" t="s">
        <v>201</v>
      </c>
      <c r="B154" s="37" t="s">
        <v>193</v>
      </c>
      <c r="C154" s="35" t="n">
        <v>3189000</v>
      </c>
      <c r="D154" s="33" t="str">
        <f aca="false">IF(B154="","",IFERROR(INDEX(계좌!$B$2:$B$41,MATCH(B154,계좌!$A$2:$A$41,0)),"?"))</f>
        <v>카드 결제예정액</v>
      </c>
      <c r="E154" s="33" t="str">
        <f aca="false">IF(B154="","",IFERROR(INDEX(계좌!$D$2:$D$41,MATCH(B154,계좌!$A$2:$A$41,0)),"?"))</f>
        <v>부채</v>
      </c>
      <c r="F154" s="33" t="str">
        <f aca="false">IF(B154="","",IFERROR(INDEX(계좌!$E$2:$E$41,MATCH(B154,계좌!$A$2:$A$41,0)),"?"))</f>
        <v>공동</v>
      </c>
      <c r="G154" s="33" t="str">
        <f aca="false">IF(B154="","",IFERROR(INDEX(계좌!$F$2:$F$41,MATCH(B154,계좌!$A$2:$A$41,0)),"?"))</f>
        <v>즉시</v>
      </c>
    </row>
    <row r="155" customFormat="false" ht="15" hidden="false" customHeight="false" outlineLevel="0" collapsed="false">
      <c r="A155" s="38" t="s">
        <v>202</v>
      </c>
      <c r="B155" s="37" t="s">
        <v>177</v>
      </c>
      <c r="C155" s="35" t="n">
        <v>1999000</v>
      </c>
      <c r="D155" s="33" t="str">
        <f aca="false">IF(B155="","",IFERROR(INDEX(계좌!$B$2:$B$41,MATCH(B155,계좌!$A$2:$A$41,0)),"?"))</f>
        <v>급여통장(본인)</v>
      </c>
      <c r="E155" s="33" t="str">
        <f aca="false">IF(B155="","",IFERROR(INDEX(계좌!$D$2:$D$41,MATCH(B155,계좌!$A$2:$A$41,0)),"?"))</f>
        <v>현금성</v>
      </c>
      <c r="F155" s="33" t="str">
        <f aca="false">IF(B155="","",IFERROR(INDEX(계좌!$E$2:$E$41,MATCH(B155,계좌!$A$2:$A$41,0)),"?"))</f>
        <v>본인</v>
      </c>
      <c r="G155" s="33" t="str">
        <f aca="false">IF(B155="","",IFERROR(INDEX(계좌!$F$2:$F$41,MATCH(B155,계좌!$A$2:$A$41,0)),"?"))</f>
        <v>즉시</v>
      </c>
    </row>
    <row r="156" customFormat="false" ht="15" hidden="false" customHeight="false" outlineLevel="0" collapsed="false">
      <c r="A156" s="38" t="s">
        <v>202</v>
      </c>
      <c r="B156" s="37" t="s">
        <v>178</v>
      </c>
      <c r="C156" s="35" t="n">
        <v>1595000</v>
      </c>
      <c r="D156" s="33" t="str">
        <f aca="false">IF(B156="","",IFERROR(INDEX(계좌!$B$2:$B$41,MATCH(B156,계좌!$A$2:$A$41,0)),"?"))</f>
        <v>급여통장(배우자)</v>
      </c>
      <c r="E156" s="33" t="str">
        <f aca="false">IF(B156="","",IFERROR(INDEX(계좌!$D$2:$D$41,MATCH(B156,계좌!$A$2:$A$41,0)),"?"))</f>
        <v>현금성</v>
      </c>
      <c r="F156" s="33" t="str">
        <f aca="false">IF(B156="","",IFERROR(INDEX(계좌!$E$2:$E$41,MATCH(B156,계좌!$A$2:$A$41,0)),"?"))</f>
        <v>배우자</v>
      </c>
      <c r="G156" s="33" t="str">
        <f aca="false">IF(B156="","",IFERROR(INDEX(계좌!$F$2:$F$41,MATCH(B156,계좌!$A$2:$A$41,0)),"?"))</f>
        <v>즉시</v>
      </c>
    </row>
    <row r="157" customFormat="false" ht="15" hidden="false" customHeight="false" outlineLevel="0" collapsed="false">
      <c r="A157" s="38" t="s">
        <v>202</v>
      </c>
      <c r="B157" s="37" t="s">
        <v>179</v>
      </c>
      <c r="C157" s="35" t="n">
        <v>2767000</v>
      </c>
      <c r="D157" s="33" t="str">
        <f aca="false">IF(B157="","",IFERROR(INDEX(계좌!$B$2:$B$41,MATCH(B157,계좌!$A$2:$A$41,0)),"?"))</f>
        <v>생활비통장</v>
      </c>
      <c r="E157" s="33" t="str">
        <f aca="false">IF(B157="","",IFERROR(INDEX(계좌!$D$2:$D$41,MATCH(B157,계좌!$A$2:$A$41,0)),"?"))</f>
        <v>현금성</v>
      </c>
      <c r="F157" s="33" t="str">
        <f aca="false">IF(B157="","",IFERROR(INDEX(계좌!$E$2:$E$41,MATCH(B157,계좌!$A$2:$A$41,0)),"?"))</f>
        <v>공동</v>
      </c>
      <c r="G157" s="33" t="str">
        <f aca="false">IF(B157="","",IFERROR(INDEX(계좌!$F$2:$F$41,MATCH(B157,계좌!$A$2:$A$41,0)),"?"))</f>
        <v>즉시</v>
      </c>
    </row>
    <row r="158" customFormat="false" ht="15" hidden="false" customHeight="false" outlineLevel="0" collapsed="false">
      <c r="A158" s="38" t="s">
        <v>202</v>
      </c>
      <c r="B158" s="37" t="s">
        <v>180</v>
      </c>
      <c r="C158" s="35" t="n">
        <v>13950000</v>
      </c>
      <c r="D158" s="33" t="str">
        <f aca="false">IF(B158="","",IFERROR(INDEX(계좌!$B$2:$B$41,MATCH(B158,계좌!$A$2:$A$41,0)),"?"))</f>
        <v>비상금 파킹통장</v>
      </c>
      <c r="E158" s="33" t="str">
        <f aca="false">IF(B158="","",IFERROR(INDEX(계좌!$D$2:$D$41,MATCH(B158,계좌!$A$2:$A$41,0)),"?"))</f>
        <v>현금성</v>
      </c>
      <c r="F158" s="33" t="str">
        <f aca="false">IF(B158="","",IFERROR(INDEX(계좌!$E$2:$E$41,MATCH(B158,계좌!$A$2:$A$41,0)),"?"))</f>
        <v>공동</v>
      </c>
      <c r="G158" s="33" t="str">
        <f aca="false">IF(B158="","",IFERROR(INDEX(계좌!$F$2:$F$41,MATCH(B158,계좌!$A$2:$A$41,0)),"?"))</f>
        <v>즉시</v>
      </c>
    </row>
    <row r="159" customFormat="false" ht="15" hidden="false" customHeight="false" outlineLevel="0" collapsed="false">
      <c r="A159" s="38" t="s">
        <v>202</v>
      </c>
      <c r="B159" s="37" t="s">
        <v>181</v>
      </c>
      <c r="C159" s="35" t="n">
        <v>13800000</v>
      </c>
      <c r="D159" s="33" t="str">
        <f aca="false">IF(B159="","",IFERROR(INDEX(계좌!$B$2:$B$41,MATCH(B159,계좌!$A$2:$A$41,0)),"?"))</f>
        <v>주택청약종합저축</v>
      </c>
      <c r="E159" s="33" t="str">
        <f aca="false">IF(B159="","",IFERROR(INDEX(계좌!$D$2:$D$41,MATCH(B159,계좌!$A$2:$A$41,0)),"?"))</f>
        <v>현금성</v>
      </c>
      <c r="F159" s="33" t="str">
        <f aca="false">IF(B159="","",IFERROR(INDEX(계좌!$E$2:$E$41,MATCH(B159,계좌!$A$2:$A$41,0)),"?"))</f>
        <v>본인</v>
      </c>
      <c r="G159" s="33" t="str">
        <f aca="false">IF(B159="","",IFERROR(INDEX(계좌!$F$2:$F$41,MATCH(B159,계좌!$A$2:$A$41,0)),"?"))</f>
        <v>장기</v>
      </c>
    </row>
    <row r="160" customFormat="false" ht="15" hidden="false" customHeight="false" outlineLevel="0" collapsed="false">
      <c r="A160" s="38" t="s">
        <v>202</v>
      </c>
      <c r="B160" s="37" t="s">
        <v>182</v>
      </c>
      <c r="C160" s="35" t="n">
        <v>5700000</v>
      </c>
      <c r="D160" s="33" t="str">
        <f aca="false">IF(B160="","",IFERROR(INDEX(계좌!$B$2:$B$41,MATCH(B160,계좌!$A$2:$A$41,0)),"?"))</f>
        <v>정기적금</v>
      </c>
      <c r="E160" s="33" t="str">
        <f aca="false">IF(B160="","",IFERROR(INDEX(계좌!$D$2:$D$41,MATCH(B160,계좌!$A$2:$A$41,0)),"?"))</f>
        <v>현금성</v>
      </c>
      <c r="F160" s="33" t="str">
        <f aca="false">IF(B160="","",IFERROR(INDEX(계좌!$E$2:$E$41,MATCH(B160,계좌!$A$2:$A$41,0)),"?"))</f>
        <v>공동</v>
      </c>
      <c r="G160" s="33" t="str">
        <f aca="false">IF(B160="","",IFERROR(INDEX(계좌!$F$2:$F$41,MATCH(B160,계좌!$A$2:$A$41,0)),"?"))</f>
        <v>1년내</v>
      </c>
    </row>
    <row r="161" customFormat="false" ht="15" hidden="false" customHeight="false" outlineLevel="0" collapsed="false">
      <c r="A161" s="38" t="s">
        <v>202</v>
      </c>
      <c r="B161" s="37" t="s">
        <v>183</v>
      </c>
      <c r="C161" s="35" t="n">
        <v>41274000</v>
      </c>
      <c r="D161" s="33" t="str">
        <f aca="false">IF(B161="","",IFERROR(INDEX(계좌!$B$2:$B$41,MATCH(B161,계좌!$A$2:$A$41,0)),"?"))</f>
        <v>주식계좌</v>
      </c>
      <c r="E161" s="33" t="str">
        <f aca="false">IF(B161="","",IFERROR(INDEX(계좌!$D$2:$D$41,MATCH(B161,계좌!$A$2:$A$41,0)),"?"))</f>
        <v>투자</v>
      </c>
      <c r="F161" s="33" t="str">
        <f aca="false">IF(B161="","",IFERROR(INDEX(계좌!$E$2:$E$41,MATCH(B161,계좌!$A$2:$A$41,0)),"?"))</f>
        <v>본인</v>
      </c>
      <c r="G161" s="33" t="str">
        <f aca="false">IF(B161="","",IFERROR(INDEX(계좌!$F$2:$F$41,MATCH(B161,계좌!$A$2:$A$41,0)),"?"))</f>
        <v>즉시</v>
      </c>
    </row>
    <row r="162" customFormat="false" ht="15" hidden="false" customHeight="false" outlineLevel="0" collapsed="false">
      <c r="A162" s="38" t="s">
        <v>202</v>
      </c>
      <c r="B162" s="37" t="s">
        <v>184</v>
      </c>
      <c r="C162" s="35" t="n">
        <v>25246000</v>
      </c>
      <c r="D162" s="33" t="str">
        <f aca="false">IF(B162="","",IFERROR(INDEX(계좌!$B$2:$B$41,MATCH(B162,계좌!$A$2:$A$41,0)),"?"))</f>
        <v>ISA(중개형)</v>
      </c>
      <c r="E162" s="33" t="str">
        <f aca="false">IF(B162="","",IFERROR(INDEX(계좌!$D$2:$D$41,MATCH(B162,계좌!$A$2:$A$41,0)),"?"))</f>
        <v>투자</v>
      </c>
      <c r="F162" s="33" t="str">
        <f aca="false">IF(B162="","",IFERROR(INDEX(계좌!$E$2:$E$41,MATCH(B162,계좌!$A$2:$A$41,0)),"?"))</f>
        <v>배우자</v>
      </c>
      <c r="G162" s="33" t="str">
        <f aca="false">IF(B162="","",IFERROR(INDEX(계좌!$F$2:$F$41,MATCH(B162,계좌!$A$2:$A$41,0)),"?"))</f>
        <v>장기</v>
      </c>
    </row>
    <row r="163" customFormat="false" ht="15" hidden="false" customHeight="false" outlineLevel="0" collapsed="false">
      <c r="A163" s="38" t="s">
        <v>202</v>
      </c>
      <c r="B163" s="37" t="s">
        <v>185</v>
      </c>
      <c r="C163" s="35" t="n">
        <v>16852000</v>
      </c>
      <c r="D163" s="33" t="str">
        <f aca="false">IF(B163="","",IFERROR(INDEX(계좌!$B$2:$B$41,MATCH(B163,계좌!$A$2:$A$41,0)),"?"))</f>
        <v>해외주식계좌</v>
      </c>
      <c r="E163" s="33" t="str">
        <f aca="false">IF(B163="","",IFERROR(INDEX(계좌!$D$2:$D$41,MATCH(B163,계좌!$A$2:$A$41,0)),"?"))</f>
        <v>투자</v>
      </c>
      <c r="F163" s="33" t="str">
        <f aca="false">IF(B163="","",IFERROR(INDEX(계좌!$E$2:$E$41,MATCH(B163,계좌!$A$2:$A$41,0)),"?"))</f>
        <v>공동</v>
      </c>
      <c r="G163" s="33" t="str">
        <f aca="false">IF(B163="","",IFERROR(INDEX(계좌!$F$2:$F$41,MATCH(B163,계좌!$A$2:$A$41,0)),"?"))</f>
        <v>즉시</v>
      </c>
    </row>
    <row r="164" customFormat="false" ht="15" hidden="false" customHeight="false" outlineLevel="0" collapsed="false">
      <c r="A164" s="38" t="s">
        <v>202</v>
      </c>
      <c r="B164" s="37" t="s">
        <v>186</v>
      </c>
      <c r="C164" s="35" t="n">
        <v>25143000</v>
      </c>
      <c r="D164" s="33" t="str">
        <f aca="false">IF(B164="","",IFERROR(INDEX(계좌!$B$2:$B$41,MATCH(B164,계좌!$A$2:$A$41,0)),"?"))</f>
        <v>연금저축펀드</v>
      </c>
      <c r="E164" s="33" t="str">
        <f aca="false">IF(B164="","",IFERROR(INDEX(계좌!$D$2:$D$41,MATCH(B164,계좌!$A$2:$A$41,0)),"?"))</f>
        <v>연금</v>
      </c>
      <c r="F164" s="33" t="str">
        <f aca="false">IF(B164="","",IFERROR(INDEX(계좌!$E$2:$E$41,MATCH(B164,계좌!$A$2:$A$41,0)),"?"))</f>
        <v>본인</v>
      </c>
      <c r="G164" s="33" t="str">
        <f aca="false">IF(B164="","",IFERROR(INDEX(계좌!$F$2:$F$41,MATCH(B164,계좌!$A$2:$A$41,0)),"?"))</f>
        <v>장기</v>
      </c>
    </row>
    <row r="165" customFormat="false" ht="15" hidden="false" customHeight="false" outlineLevel="0" collapsed="false">
      <c r="A165" s="38" t="s">
        <v>202</v>
      </c>
      <c r="B165" s="37" t="s">
        <v>187</v>
      </c>
      <c r="C165" s="35" t="n">
        <v>14234000</v>
      </c>
      <c r="D165" s="33" t="str">
        <f aca="false">IF(B165="","",IFERROR(INDEX(계좌!$B$2:$B$41,MATCH(B165,계좌!$A$2:$A$41,0)),"?"))</f>
        <v>IRP</v>
      </c>
      <c r="E165" s="33" t="str">
        <f aca="false">IF(B165="","",IFERROR(INDEX(계좌!$D$2:$D$41,MATCH(B165,계좌!$A$2:$A$41,0)),"?"))</f>
        <v>연금</v>
      </c>
      <c r="F165" s="33" t="str">
        <f aca="false">IF(B165="","",IFERROR(INDEX(계좌!$E$2:$E$41,MATCH(B165,계좌!$A$2:$A$41,0)),"?"))</f>
        <v>배우자</v>
      </c>
      <c r="G165" s="33" t="str">
        <f aca="false">IF(B165="","",IFERROR(INDEX(계좌!$F$2:$F$41,MATCH(B165,계좌!$A$2:$A$41,0)),"?"))</f>
        <v>장기</v>
      </c>
    </row>
    <row r="166" customFormat="false" ht="15" hidden="false" customHeight="false" outlineLevel="0" collapsed="false">
      <c r="A166" s="38" t="s">
        <v>202</v>
      </c>
      <c r="B166" s="37" t="s">
        <v>188</v>
      </c>
      <c r="C166" s="35" t="n">
        <v>42584000</v>
      </c>
      <c r="D166" s="33" t="str">
        <f aca="false">IF(B166="","",IFERROR(INDEX(계좌!$B$2:$B$41,MATCH(B166,계좌!$A$2:$A$41,0)),"?"))</f>
        <v>퇴직연금(DC)</v>
      </c>
      <c r="E166" s="33" t="str">
        <f aca="false">IF(B166="","",IFERROR(INDEX(계좌!$D$2:$D$41,MATCH(B166,계좌!$A$2:$A$41,0)),"?"))</f>
        <v>연금</v>
      </c>
      <c r="F166" s="33" t="str">
        <f aca="false">IF(B166="","",IFERROR(INDEX(계좌!$E$2:$E$41,MATCH(B166,계좌!$A$2:$A$41,0)),"?"))</f>
        <v>본인</v>
      </c>
      <c r="G166" s="33" t="str">
        <f aca="false">IF(B166="","",IFERROR(INDEX(계좌!$F$2:$F$41,MATCH(B166,계좌!$A$2:$A$41,0)),"?"))</f>
        <v>장기</v>
      </c>
    </row>
    <row r="167" customFormat="false" ht="15" hidden="false" customHeight="false" outlineLevel="0" collapsed="false">
      <c r="A167" s="38" t="s">
        <v>202</v>
      </c>
      <c r="B167" s="37" t="s">
        <v>189</v>
      </c>
      <c r="C167" s="35" t="n">
        <v>798000000</v>
      </c>
      <c r="D167" s="33" t="str">
        <f aca="false">IF(B167="","",IFERROR(INDEX(계좌!$B$2:$B$41,MATCH(B167,계좌!$A$2:$A$41,0)),"?"))</f>
        <v>아파트(실거주)</v>
      </c>
      <c r="E167" s="33" t="str">
        <f aca="false">IF(B167="","",IFERROR(INDEX(계좌!$D$2:$D$41,MATCH(B167,계좌!$A$2:$A$41,0)),"?"))</f>
        <v>부동산</v>
      </c>
      <c r="F167" s="33" t="str">
        <f aca="false">IF(B167="","",IFERROR(INDEX(계좌!$E$2:$E$41,MATCH(B167,계좌!$A$2:$A$41,0)),"?"))</f>
        <v>공동</v>
      </c>
      <c r="G167" s="33" t="str">
        <f aca="false">IF(B167="","",IFERROR(INDEX(계좌!$F$2:$F$41,MATCH(B167,계좌!$A$2:$A$41,0)),"?"))</f>
        <v>장기</v>
      </c>
    </row>
    <row r="168" customFormat="false" ht="15" hidden="false" customHeight="false" outlineLevel="0" collapsed="false">
      <c r="A168" s="38" t="s">
        <v>202</v>
      </c>
      <c r="B168" s="37" t="s">
        <v>190</v>
      </c>
      <c r="C168" s="35" t="n">
        <v>21750000</v>
      </c>
      <c r="D168" s="33" t="str">
        <f aca="false">IF(B168="","",IFERROR(INDEX(계좌!$B$2:$B$41,MATCH(B168,계좌!$A$2:$A$41,0)),"?"))</f>
        <v>자동차</v>
      </c>
      <c r="E168" s="33" t="str">
        <f aca="false">IF(B168="","",IFERROR(INDEX(계좌!$D$2:$D$41,MATCH(B168,계좌!$A$2:$A$41,0)),"?"))</f>
        <v>기타자산</v>
      </c>
      <c r="F168" s="33" t="str">
        <f aca="false">IF(B168="","",IFERROR(INDEX(계좌!$E$2:$E$41,MATCH(B168,계좌!$A$2:$A$41,0)),"?"))</f>
        <v>공동</v>
      </c>
      <c r="G168" s="33" t="str">
        <f aca="false">IF(B168="","",IFERROR(INDEX(계좌!$F$2:$F$41,MATCH(B168,계좌!$A$2:$A$41,0)),"?"))</f>
        <v>장기</v>
      </c>
    </row>
    <row r="169" customFormat="false" ht="15" hidden="false" customHeight="false" outlineLevel="0" collapsed="false">
      <c r="A169" s="38" t="s">
        <v>202</v>
      </c>
      <c r="B169" s="37" t="s">
        <v>191</v>
      </c>
      <c r="C169" s="35" t="n">
        <v>286600000</v>
      </c>
      <c r="D169" s="33" t="str">
        <f aca="false">IF(B169="","",IFERROR(INDEX(계좌!$B$2:$B$41,MATCH(B169,계좌!$A$2:$A$41,0)),"?"))</f>
        <v>주택담보대출</v>
      </c>
      <c r="E169" s="33" t="str">
        <f aca="false">IF(B169="","",IFERROR(INDEX(계좌!$D$2:$D$41,MATCH(B169,계좌!$A$2:$A$41,0)),"?"))</f>
        <v>부채</v>
      </c>
      <c r="F169" s="33" t="str">
        <f aca="false">IF(B169="","",IFERROR(INDEX(계좌!$E$2:$E$41,MATCH(B169,계좌!$A$2:$A$41,0)),"?"))</f>
        <v>공동</v>
      </c>
      <c r="G169" s="33" t="str">
        <f aca="false">IF(B169="","",IFERROR(INDEX(계좌!$F$2:$F$41,MATCH(B169,계좌!$A$2:$A$41,0)),"?"))</f>
        <v>장기</v>
      </c>
    </row>
    <row r="170" customFormat="false" ht="15" hidden="false" customHeight="false" outlineLevel="0" collapsed="false">
      <c r="A170" s="38" t="s">
        <v>202</v>
      </c>
      <c r="B170" s="37" t="s">
        <v>192</v>
      </c>
      <c r="C170" s="35" t="n">
        <v>15300000</v>
      </c>
      <c r="D170" s="33" t="str">
        <f aca="false">IF(B170="","",IFERROR(INDEX(계좌!$B$2:$B$41,MATCH(B170,계좌!$A$2:$A$41,0)),"?"))</f>
        <v>신용대출</v>
      </c>
      <c r="E170" s="33" t="str">
        <f aca="false">IF(B170="","",IFERROR(INDEX(계좌!$D$2:$D$41,MATCH(B170,계좌!$A$2:$A$41,0)),"?"))</f>
        <v>부채</v>
      </c>
      <c r="F170" s="33" t="str">
        <f aca="false">IF(B170="","",IFERROR(INDEX(계좌!$E$2:$E$41,MATCH(B170,계좌!$A$2:$A$41,0)),"?"))</f>
        <v>본인</v>
      </c>
      <c r="G170" s="33" t="str">
        <f aca="false">IF(B170="","",IFERROR(INDEX(계좌!$F$2:$F$41,MATCH(B170,계좌!$A$2:$A$41,0)),"?"))</f>
        <v>장기</v>
      </c>
    </row>
    <row r="171" customFormat="false" ht="15" hidden="false" customHeight="false" outlineLevel="0" collapsed="false">
      <c r="A171" s="38" t="s">
        <v>202</v>
      </c>
      <c r="B171" s="37" t="s">
        <v>193</v>
      </c>
      <c r="C171" s="35" t="n">
        <v>2725000</v>
      </c>
      <c r="D171" s="33" t="str">
        <f aca="false">IF(B171="","",IFERROR(INDEX(계좌!$B$2:$B$41,MATCH(B171,계좌!$A$2:$A$41,0)),"?"))</f>
        <v>카드 결제예정액</v>
      </c>
      <c r="E171" s="33" t="str">
        <f aca="false">IF(B171="","",IFERROR(INDEX(계좌!$D$2:$D$41,MATCH(B171,계좌!$A$2:$A$41,0)),"?"))</f>
        <v>부채</v>
      </c>
      <c r="F171" s="33" t="str">
        <f aca="false">IF(B171="","",IFERROR(INDEX(계좌!$E$2:$E$41,MATCH(B171,계좌!$A$2:$A$41,0)),"?"))</f>
        <v>공동</v>
      </c>
      <c r="G171" s="33" t="str">
        <f aca="false">IF(B171="","",IFERROR(INDEX(계좌!$F$2:$F$41,MATCH(B171,계좌!$A$2:$A$41,0)),"?"))</f>
        <v>즉시</v>
      </c>
    </row>
    <row r="172" customFormat="false" ht="15" hidden="false" customHeight="false" outlineLevel="0" collapsed="false">
      <c r="A172" s="38" t="s">
        <v>203</v>
      </c>
      <c r="B172" s="37" t="s">
        <v>177</v>
      </c>
      <c r="C172" s="35" t="n">
        <v>2283000</v>
      </c>
      <c r="D172" s="33" t="str">
        <f aca="false">IF(B172="","",IFERROR(INDEX(계좌!$B$2:$B$41,MATCH(B172,계좌!$A$2:$A$41,0)),"?"))</f>
        <v>급여통장(본인)</v>
      </c>
      <c r="E172" s="33" t="str">
        <f aca="false">IF(B172="","",IFERROR(INDEX(계좌!$D$2:$D$41,MATCH(B172,계좌!$A$2:$A$41,0)),"?"))</f>
        <v>현금성</v>
      </c>
      <c r="F172" s="33" t="str">
        <f aca="false">IF(B172="","",IFERROR(INDEX(계좌!$E$2:$E$41,MATCH(B172,계좌!$A$2:$A$41,0)),"?"))</f>
        <v>본인</v>
      </c>
      <c r="G172" s="33" t="str">
        <f aca="false">IF(B172="","",IFERROR(INDEX(계좌!$F$2:$F$41,MATCH(B172,계좌!$A$2:$A$41,0)),"?"))</f>
        <v>즉시</v>
      </c>
    </row>
    <row r="173" customFormat="false" ht="15" hidden="false" customHeight="false" outlineLevel="0" collapsed="false">
      <c r="A173" s="38" t="s">
        <v>203</v>
      </c>
      <c r="B173" s="37" t="s">
        <v>178</v>
      </c>
      <c r="C173" s="35" t="n">
        <v>2078000</v>
      </c>
      <c r="D173" s="33" t="str">
        <f aca="false">IF(B173="","",IFERROR(INDEX(계좌!$B$2:$B$41,MATCH(B173,계좌!$A$2:$A$41,0)),"?"))</f>
        <v>급여통장(배우자)</v>
      </c>
      <c r="E173" s="33" t="str">
        <f aca="false">IF(B173="","",IFERROR(INDEX(계좌!$D$2:$D$41,MATCH(B173,계좌!$A$2:$A$41,0)),"?"))</f>
        <v>현금성</v>
      </c>
      <c r="F173" s="33" t="str">
        <f aca="false">IF(B173="","",IFERROR(INDEX(계좌!$E$2:$E$41,MATCH(B173,계좌!$A$2:$A$41,0)),"?"))</f>
        <v>배우자</v>
      </c>
      <c r="G173" s="33" t="str">
        <f aca="false">IF(B173="","",IFERROR(INDEX(계좌!$F$2:$F$41,MATCH(B173,계좌!$A$2:$A$41,0)),"?"))</f>
        <v>즉시</v>
      </c>
    </row>
    <row r="174" customFormat="false" ht="15" hidden="false" customHeight="false" outlineLevel="0" collapsed="false">
      <c r="A174" s="38" t="s">
        <v>203</v>
      </c>
      <c r="B174" s="37" t="s">
        <v>179</v>
      </c>
      <c r="C174" s="35" t="n">
        <v>1879000</v>
      </c>
      <c r="D174" s="33" t="str">
        <f aca="false">IF(B174="","",IFERROR(INDEX(계좌!$B$2:$B$41,MATCH(B174,계좌!$A$2:$A$41,0)),"?"))</f>
        <v>생활비통장</v>
      </c>
      <c r="E174" s="33" t="str">
        <f aca="false">IF(B174="","",IFERROR(INDEX(계좌!$D$2:$D$41,MATCH(B174,계좌!$A$2:$A$41,0)),"?"))</f>
        <v>현금성</v>
      </c>
      <c r="F174" s="33" t="str">
        <f aca="false">IF(B174="","",IFERROR(INDEX(계좌!$E$2:$E$41,MATCH(B174,계좌!$A$2:$A$41,0)),"?"))</f>
        <v>공동</v>
      </c>
      <c r="G174" s="33" t="str">
        <f aca="false">IF(B174="","",IFERROR(INDEX(계좌!$F$2:$F$41,MATCH(B174,계좌!$A$2:$A$41,0)),"?"))</f>
        <v>즉시</v>
      </c>
    </row>
    <row r="175" customFormat="false" ht="15" hidden="false" customHeight="false" outlineLevel="0" collapsed="false">
      <c r="A175" s="38" t="s">
        <v>203</v>
      </c>
      <c r="B175" s="37" t="s">
        <v>180</v>
      </c>
      <c r="C175" s="35" t="n">
        <v>14500000</v>
      </c>
      <c r="D175" s="33" t="str">
        <f aca="false">IF(B175="","",IFERROR(INDEX(계좌!$B$2:$B$41,MATCH(B175,계좌!$A$2:$A$41,0)),"?"))</f>
        <v>비상금 파킹통장</v>
      </c>
      <c r="E175" s="33" t="str">
        <f aca="false">IF(B175="","",IFERROR(INDEX(계좌!$D$2:$D$41,MATCH(B175,계좌!$A$2:$A$41,0)),"?"))</f>
        <v>현금성</v>
      </c>
      <c r="F175" s="33" t="str">
        <f aca="false">IF(B175="","",IFERROR(INDEX(계좌!$E$2:$E$41,MATCH(B175,계좌!$A$2:$A$41,0)),"?"))</f>
        <v>공동</v>
      </c>
      <c r="G175" s="33" t="str">
        <f aca="false">IF(B175="","",IFERROR(INDEX(계좌!$F$2:$F$41,MATCH(B175,계좌!$A$2:$A$41,0)),"?"))</f>
        <v>즉시</v>
      </c>
    </row>
    <row r="176" customFormat="false" ht="15" hidden="false" customHeight="false" outlineLevel="0" collapsed="false">
      <c r="A176" s="38" t="s">
        <v>203</v>
      </c>
      <c r="B176" s="37" t="s">
        <v>181</v>
      </c>
      <c r="C176" s="35" t="n">
        <v>13900000</v>
      </c>
      <c r="D176" s="33" t="str">
        <f aca="false">IF(B176="","",IFERROR(INDEX(계좌!$B$2:$B$41,MATCH(B176,계좌!$A$2:$A$41,0)),"?"))</f>
        <v>주택청약종합저축</v>
      </c>
      <c r="E176" s="33" t="str">
        <f aca="false">IF(B176="","",IFERROR(INDEX(계좌!$D$2:$D$41,MATCH(B176,계좌!$A$2:$A$41,0)),"?"))</f>
        <v>현금성</v>
      </c>
      <c r="F176" s="33" t="str">
        <f aca="false">IF(B176="","",IFERROR(INDEX(계좌!$E$2:$E$41,MATCH(B176,계좌!$A$2:$A$41,0)),"?"))</f>
        <v>본인</v>
      </c>
      <c r="G176" s="33" t="str">
        <f aca="false">IF(B176="","",IFERROR(INDEX(계좌!$F$2:$F$41,MATCH(B176,계좌!$A$2:$A$41,0)),"?"))</f>
        <v>장기</v>
      </c>
    </row>
    <row r="177" customFormat="false" ht="15" hidden="false" customHeight="false" outlineLevel="0" collapsed="false">
      <c r="A177" s="38" t="s">
        <v>203</v>
      </c>
      <c r="B177" s="37" t="s">
        <v>182</v>
      </c>
      <c r="C177" s="35" t="n">
        <v>6000000</v>
      </c>
      <c r="D177" s="33" t="str">
        <f aca="false">IF(B177="","",IFERROR(INDEX(계좌!$B$2:$B$41,MATCH(B177,계좌!$A$2:$A$41,0)),"?"))</f>
        <v>정기적금</v>
      </c>
      <c r="E177" s="33" t="str">
        <f aca="false">IF(B177="","",IFERROR(INDEX(계좌!$D$2:$D$41,MATCH(B177,계좌!$A$2:$A$41,0)),"?"))</f>
        <v>현금성</v>
      </c>
      <c r="F177" s="33" t="str">
        <f aca="false">IF(B177="","",IFERROR(INDEX(계좌!$E$2:$E$41,MATCH(B177,계좌!$A$2:$A$41,0)),"?"))</f>
        <v>공동</v>
      </c>
      <c r="G177" s="33" t="str">
        <f aca="false">IF(B177="","",IFERROR(INDEX(계좌!$F$2:$F$41,MATCH(B177,계좌!$A$2:$A$41,0)),"?"))</f>
        <v>1년내</v>
      </c>
    </row>
    <row r="178" customFormat="false" ht="15" hidden="false" customHeight="false" outlineLevel="0" collapsed="false">
      <c r="A178" s="38" t="s">
        <v>203</v>
      </c>
      <c r="B178" s="37" t="s">
        <v>183</v>
      </c>
      <c r="C178" s="35" t="n">
        <v>42587000</v>
      </c>
      <c r="D178" s="33" t="str">
        <f aca="false">IF(B178="","",IFERROR(INDEX(계좌!$B$2:$B$41,MATCH(B178,계좌!$A$2:$A$41,0)),"?"))</f>
        <v>주식계좌</v>
      </c>
      <c r="E178" s="33" t="str">
        <f aca="false">IF(B178="","",IFERROR(INDEX(계좌!$D$2:$D$41,MATCH(B178,계좌!$A$2:$A$41,0)),"?"))</f>
        <v>투자</v>
      </c>
      <c r="F178" s="33" t="str">
        <f aca="false">IF(B178="","",IFERROR(INDEX(계좌!$E$2:$E$41,MATCH(B178,계좌!$A$2:$A$41,0)),"?"))</f>
        <v>본인</v>
      </c>
      <c r="G178" s="33" t="str">
        <f aca="false">IF(B178="","",IFERROR(INDEX(계좌!$F$2:$F$41,MATCH(B178,계좌!$A$2:$A$41,0)),"?"))</f>
        <v>즉시</v>
      </c>
    </row>
    <row r="179" customFormat="false" ht="15" hidden="false" customHeight="false" outlineLevel="0" collapsed="false">
      <c r="A179" s="38" t="s">
        <v>203</v>
      </c>
      <c r="B179" s="37" t="s">
        <v>184</v>
      </c>
      <c r="C179" s="35" t="n">
        <v>25871000</v>
      </c>
      <c r="D179" s="33" t="str">
        <f aca="false">IF(B179="","",IFERROR(INDEX(계좌!$B$2:$B$41,MATCH(B179,계좌!$A$2:$A$41,0)),"?"))</f>
        <v>ISA(중개형)</v>
      </c>
      <c r="E179" s="33" t="str">
        <f aca="false">IF(B179="","",IFERROR(INDEX(계좌!$D$2:$D$41,MATCH(B179,계좌!$A$2:$A$41,0)),"?"))</f>
        <v>투자</v>
      </c>
      <c r="F179" s="33" t="str">
        <f aca="false">IF(B179="","",IFERROR(INDEX(계좌!$E$2:$E$41,MATCH(B179,계좌!$A$2:$A$41,0)),"?"))</f>
        <v>배우자</v>
      </c>
      <c r="G179" s="33" t="str">
        <f aca="false">IF(B179="","",IFERROR(INDEX(계좌!$F$2:$F$41,MATCH(B179,계좌!$A$2:$A$41,0)),"?"))</f>
        <v>장기</v>
      </c>
    </row>
    <row r="180" customFormat="false" ht="15" hidden="false" customHeight="false" outlineLevel="0" collapsed="false">
      <c r="A180" s="38" t="s">
        <v>203</v>
      </c>
      <c r="B180" s="37" t="s">
        <v>185</v>
      </c>
      <c r="C180" s="35" t="n">
        <v>16794000</v>
      </c>
      <c r="D180" s="33" t="str">
        <f aca="false">IF(B180="","",IFERROR(INDEX(계좌!$B$2:$B$41,MATCH(B180,계좌!$A$2:$A$41,0)),"?"))</f>
        <v>해외주식계좌</v>
      </c>
      <c r="E180" s="33" t="str">
        <f aca="false">IF(B180="","",IFERROR(INDEX(계좌!$D$2:$D$41,MATCH(B180,계좌!$A$2:$A$41,0)),"?"))</f>
        <v>투자</v>
      </c>
      <c r="F180" s="33" t="str">
        <f aca="false">IF(B180="","",IFERROR(INDEX(계좌!$E$2:$E$41,MATCH(B180,계좌!$A$2:$A$41,0)),"?"))</f>
        <v>공동</v>
      </c>
      <c r="G180" s="33" t="str">
        <f aca="false">IF(B180="","",IFERROR(INDEX(계좌!$F$2:$F$41,MATCH(B180,계좌!$A$2:$A$41,0)),"?"))</f>
        <v>즉시</v>
      </c>
    </row>
    <row r="181" customFormat="false" ht="15" hidden="false" customHeight="false" outlineLevel="0" collapsed="false">
      <c r="A181" s="38" t="s">
        <v>203</v>
      </c>
      <c r="B181" s="37" t="s">
        <v>186</v>
      </c>
      <c r="C181" s="35" t="n">
        <v>25265000</v>
      </c>
      <c r="D181" s="33" t="str">
        <f aca="false">IF(B181="","",IFERROR(INDEX(계좌!$B$2:$B$41,MATCH(B181,계좌!$A$2:$A$41,0)),"?"))</f>
        <v>연금저축펀드</v>
      </c>
      <c r="E181" s="33" t="str">
        <f aca="false">IF(B181="","",IFERROR(INDEX(계좌!$D$2:$D$41,MATCH(B181,계좌!$A$2:$A$41,0)),"?"))</f>
        <v>연금</v>
      </c>
      <c r="F181" s="33" t="str">
        <f aca="false">IF(B181="","",IFERROR(INDEX(계좌!$E$2:$E$41,MATCH(B181,계좌!$A$2:$A$41,0)),"?"))</f>
        <v>본인</v>
      </c>
      <c r="G181" s="33" t="str">
        <f aca="false">IF(B181="","",IFERROR(INDEX(계좌!$F$2:$F$41,MATCH(B181,계좌!$A$2:$A$41,0)),"?"))</f>
        <v>장기</v>
      </c>
    </row>
    <row r="182" customFormat="false" ht="15" hidden="false" customHeight="false" outlineLevel="0" collapsed="false">
      <c r="A182" s="38" t="s">
        <v>203</v>
      </c>
      <c r="B182" s="37" t="s">
        <v>187</v>
      </c>
      <c r="C182" s="35" t="n">
        <v>14489000</v>
      </c>
      <c r="D182" s="33" t="str">
        <f aca="false">IF(B182="","",IFERROR(INDEX(계좌!$B$2:$B$41,MATCH(B182,계좌!$A$2:$A$41,0)),"?"))</f>
        <v>IRP</v>
      </c>
      <c r="E182" s="33" t="str">
        <f aca="false">IF(B182="","",IFERROR(INDEX(계좌!$D$2:$D$41,MATCH(B182,계좌!$A$2:$A$41,0)),"?"))</f>
        <v>연금</v>
      </c>
      <c r="F182" s="33" t="str">
        <f aca="false">IF(B182="","",IFERROR(INDEX(계좌!$E$2:$E$41,MATCH(B182,계좌!$A$2:$A$41,0)),"?"))</f>
        <v>배우자</v>
      </c>
      <c r="G182" s="33" t="str">
        <f aca="false">IF(B182="","",IFERROR(INDEX(계좌!$F$2:$F$41,MATCH(B182,계좌!$A$2:$A$41,0)),"?"))</f>
        <v>장기</v>
      </c>
    </row>
    <row r="183" customFormat="false" ht="15" hidden="false" customHeight="false" outlineLevel="0" collapsed="false">
      <c r="A183" s="38" t="s">
        <v>203</v>
      </c>
      <c r="B183" s="37" t="s">
        <v>188</v>
      </c>
      <c r="C183" s="35" t="n">
        <v>43239000</v>
      </c>
      <c r="D183" s="33" t="str">
        <f aca="false">IF(B183="","",IFERROR(INDEX(계좌!$B$2:$B$41,MATCH(B183,계좌!$A$2:$A$41,0)),"?"))</f>
        <v>퇴직연금(DC)</v>
      </c>
      <c r="E183" s="33" t="str">
        <f aca="false">IF(B183="","",IFERROR(INDEX(계좌!$D$2:$D$41,MATCH(B183,계좌!$A$2:$A$41,0)),"?"))</f>
        <v>연금</v>
      </c>
      <c r="F183" s="33" t="str">
        <f aca="false">IF(B183="","",IFERROR(INDEX(계좌!$E$2:$E$41,MATCH(B183,계좌!$A$2:$A$41,0)),"?"))</f>
        <v>본인</v>
      </c>
      <c r="G183" s="33" t="str">
        <f aca="false">IF(B183="","",IFERROR(INDEX(계좌!$F$2:$F$41,MATCH(B183,계좌!$A$2:$A$41,0)),"?"))</f>
        <v>장기</v>
      </c>
    </row>
    <row r="184" customFormat="false" ht="15" hidden="false" customHeight="false" outlineLevel="0" collapsed="false">
      <c r="A184" s="38" t="s">
        <v>203</v>
      </c>
      <c r="B184" s="37" t="s">
        <v>189</v>
      </c>
      <c r="C184" s="35" t="n">
        <v>800000000</v>
      </c>
      <c r="D184" s="33" t="str">
        <f aca="false">IF(B184="","",IFERROR(INDEX(계좌!$B$2:$B$41,MATCH(B184,계좌!$A$2:$A$41,0)),"?"))</f>
        <v>아파트(실거주)</v>
      </c>
      <c r="E184" s="33" t="str">
        <f aca="false">IF(B184="","",IFERROR(INDEX(계좌!$D$2:$D$41,MATCH(B184,계좌!$A$2:$A$41,0)),"?"))</f>
        <v>부동산</v>
      </c>
      <c r="F184" s="33" t="str">
        <f aca="false">IF(B184="","",IFERROR(INDEX(계좌!$E$2:$E$41,MATCH(B184,계좌!$A$2:$A$41,0)),"?"))</f>
        <v>공동</v>
      </c>
      <c r="G184" s="33" t="str">
        <f aca="false">IF(B184="","",IFERROR(INDEX(계좌!$F$2:$F$41,MATCH(B184,계좌!$A$2:$A$41,0)),"?"))</f>
        <v>장기</v>
      </c>
    </row>
    <row r="185" customFormat="false" ht="15" hidden="false" customHeight="false" outlineLevel="0" collapsed="false">
      <c r="A185" s="38" t="s">
        <v>203</v>
      </c>
      <c r="B185" s="37" t="s">
        <v>190</v>
      </c>
      <c r="C185" s="35" t="n">
        <v>21500000</v>
      </c>
      <c r="D185" s="33" t="str">
        <f aca="false">IF(B185="","",IFERROR(INDEX(계좌!$B$2:$B$41,MATCH(B185,계좌!$A$2:$A$41,0)),"?"))</f>
        <v>자동차</v>
      </c>
      <c r="E185" s="33" t="str">
        <f aca="false">IF(B185="","",IFERROR(INDEX(계좌!$D$2:$D$41,MATCH(B185,계좌!$A$2:$A$41,0)),"?"))</f>
        <v>기타자산</v>
      </c>
      <c r="F185" s="33" t="str">
        <f aca="false">IF(B185="","",IFERROR(INDEX(계좌!$E$2:$E$41,MATCH(B185,계좌!$A$2:$A$41,0)),"?"))</f>
        <v>공동</v>
      </c>
      <c r="G185" s="33" t="str">
        <f aca="false">IF(B185="","",IFERROR(INDEX(계좌!$F$2:$F$41,MATCH(B185,계좌!$A$2:$A$41,0)),"?"))</f>
        <v>장기</v>
      </c>
    </row>
    <row r="186" customFormat="false" ht="15" hidden="false" customHeight="false" outlineLevel="0" collapsed="false">
      <c r="A186" s="38" t="s">
        <v>203</v>
      </c>
      <c r="B186" s="37" t="s">
        <v>191</v>
      </c>
      <c r="C186" s="35" t="n">
        <v>286000000</v>
      </c>
      <c r="D186" s="33" t="str">
        <f aca="false">IF(B186="","",IFERROR(INDEX(계좌!$B$2:$B$41,MATCH(B186,계좌!$A$2:$A$41,0)),"?"))</f>
        <v>주택담보대출</v>
      </c>
      <c r="E186" s="33" t="str">
        <f aca="false">IF(B186="","",IFERROR(INDEX(계좌!$D$2:$D$41,MATCH(B186,계좌!$A$2:$A$41,0)),"?"))</f>
        <v>부채</v>
      </c>
      <c r="F186" s="33" t="str">
        <f aca="false">IF(B186="","",IFERROR(INDEX(계좌!$E$2:$E$41,MATCH(B186,계좌!$A$2:$A$41,0)),"?"))</f>
        <v>공동</v>
      </c>
      <c r="G186" s="33" t="str">
        <f aca="false">IF(B186="","",IFERROR(INDEX(계좌!$F$2:$F$41,MATCH(B186,계좌!$A$2:$A$41,0)),"?"))</f>
        <v>장기</v>
      </c>
    </row>
    <row r="187" customFormat="false" ht="15" hidden="false" customHeight="false" outlineLevel="0" collapsed="false">
      <c r="A187" s="38" t="s">
        <v>203</v>
      </c>
      <c r="B187" s="37" t="s">
        <v>192</v>
      </c>
      <c r="C187" s="35" t="n">
        <v>15000000</v>
      </c>
      <c r="D187" s="33" t="str">
        <f aca="false">IF(B187="","",IFERROR(INDEX(계좌!$B$2:$B$41,MATCH(B187,계좌!$A$2:$A$41,0)),"?"))</f>
        <v>신용대출</v>
      </c>
      <c r="E187" s="33" t="str">
        <f aca="false">IF(B187="","",IFERROR(INDEX(계좌!$D$2:$D$41,MATCH(B187,계좌!$A$2:$A$41,0)),"?"))</f>
        <v>부채</v>
      </c>
      <c r="F187" s="33" t="str">
        <f aca="false">IF(B187="","",IFERROR(INDEX(계좌!$E$2:$E$41,MATCH(B187,계좌!$A$2:$A$41,0)),"?"))</f>
        <v>본인</v>
      </c>
      <c r="G187" s="33" t="str">
        <f aca="false">IF(B187="","",IFERROR(INDEX(계좌!$F$2:$F$41,MATCH(B187,계좌!$A$2:$A$41,0)),"?"))</f>
        <v>장기</v>
      </c>
    </row>
    <row r="188" customFormat="false" ht="15" hidden="false" customHeight="false" outlineLevel="0" collapsed="false">
      <c r="A188" s="38" t="s">
        <v>203</v>
      </c>
      <c r="B188" s="37" t="s">
        <v>193</v>
      </c>
      <c r="C188" s="35" t="n">
        <v>3717000</v>
      </c>
      <c r="D188" s="33" t="str">
        <f aca="false">IF(B188="","",IFERROR(INDEX(계좌!$B$2:$B$41,MATCH(B188,계좌!$A$2:$A$41,0)),"?"))</f>
        <v>카드 결제예정액</v>
      </c>
      <c r="E188" s="33" t="str">
        <f aca="false">IF(B188="","",IFERROR(INDEX(계좌!$D$2:$D$41,MATCH(B188,계좌!$A$2:$A$41,0)),"?"))</f>
        <v>부채</v>
      </c>
      <c r="F188" s="33" t="str">
        <f aca="false">IF(B188="","",IFERROR(INDEX(계좌!$E$2:$E$41,MATCH(B188,계좌!$A$2:$A$41,0)),"?"))</f>
        <v>공동</v>
      </c>
      <c r="G188" s="33" t="str">
        <f aca="false">IF(B188="","",IFERROR(INDEX(계좌!$F$2:$F$41,MATCH(B188,계좌!$A$2:$A$41,0)),"?"))</f>
        <v>즉시</v>
      </c>
    </row>
    <row r="189" customFormat="false" ht="15" hidden="false" customHeight="false" outlineLevel="0" collapsed="false">
      <c r="A189" s="38" t="s">
        <v>2</v>
      </c>
      <c r="B189" s="37" t="s">
        <v>177</v>
      </c>
      <c r="C189" s="35" t="n">
        <v>2511000</v>
      </c>
      <c r="D189" s="33" t="str">
        <f aca="false">IF(B189="","",IFERROR(INDEX(계좌!$B$2:$B$41,MATCH(B189,계좌!$A$2:$A$41,0)),"?"))</f>
        <v>급여통장(본인)</v>
      </c>
      <c r="E189" s="33" t="str">
        <f aca="false">IF(B189="","",IFERROR(INDEX(계좌!$D$2:$D$41,MATCH(B189,계좌!$A$2:$A$41,0)),"?"))</f>
        <v>현금성</v>
      </c>
      <c r="F189" s="33" t="str">
        <f aca="false">IF(B189="","",IFERROR(INDEX(계좌!$E$2:$E$41,MATCH(B189,계좌!$A$2:$A$41,0)),"?"))</f>
        <v>본인</v>
      </c>
      <c r="G189" s="33" t="str">
        <f aca="false">IF(B189="","",IFERROR(INDEX(계좌!$F$2:$F$41,MATCH(B189,계좌!$A$2:$A$41,0)),"?"))</f>
        <v>즉시</v>
      </c>
    </row>
    <row r="190" customFormat="false" ht="15" hidden="false" customHeight="false" outlineLevel="0" collapsed="false">
      <c r="A190" s="38" t="s">
        <v>2</v>
      </c>
      <c r="B190" s="37" t="s">
        <v>178</v>
      </c>
      <c r="C190" s="35" t="n">
        <v>1945000</v>
      </c>
      <c r="D190" s="33" t="str">
        <f aca="false">IF(B190="","",IFERROR(INDEX(계좌!$B$2:$B$41,MATCH(B190,계좌!$A$2:$A$41,0)),"?"))</f>
        <v>급여통장(배우자)</v>
      </c>
      <c r="E190" s="33" t="str">
        <f aca="false">IF(B190="","",IFERROR(INDEX(계좌!$D$2:$D$41,MATCH(B190,계좌!$A$2:$A$41,0)),"?"))</f>
        <v>현금성</v>
      </c>
      <c r="F190" s="33" t="str">
        <f aca="false">IF(B190="","",IFERROR(INDEX(계좌!$E$2:$E$41,MATCH(B190,계좌!$A$2:$A$41,0)),"?"))</f>
        <v>배우자</v>
      </c>
      <c r="G190" s="33" t="str">
        <f aca="false">IF(B190="","",IFERROR(INDEX(계좌!$F$2:$F$41,MATCH(B190,계좌!$A$2:$A$41,0)),"?"))</f>
        <v>즉시</v>
      </c>
    </row>
    <row r="191" customFormat="false" ht="15" hidden="false" customHeight="false" outlineLevel="0" collapsed="false">
      <c r="A191" s="38" t="s">
        <v>2</v>
      </c>
      <c r="B191" s="37" t="s">
        <v>179</v>
      </c>
      <c r="C191" s="35" t="n">
        <v>2207000</v>
      </c>
      <c r="D191" s="33" t="str">
        <f aca="false">IF(B191="","",IFERROR(INDEX(계좌!$B$2:$B$41,MATCH(B191,계좌!$A$2:$A$41,0)),"?"))</f>
        <v>생활비통장</v>
      </c>
      <c r="E191" s="33" t="str">
        <f aca="false">IF(B191="","",IFERROR(INDEX(계좌!$D$2:$D$41,MATCH(B191,계좌!$A$2:$A$41,0)),"?"))</f>
        <v>현금성</v>
      </c>
      <c r="F191" s="33" t="str">
        <f aca="false">IF(B191="","",IFERROR(INDEX(계좌!$E$2:$E$41,MATCH(B191,계좌!$A$2:$A$41,0)),"?"))</f>
        <v>공동</v>
      </c>
      <c r="G191" s="33" t="str">
        <f aca="false">IF(B191="","",IFERROR(INDEX(계좌!$F$2:$F$41,MATCH(B191,계좌!$A$2:$A$41,0)),"?"))</f>
        <v>즉시</v>
      </c>
    </row>
    <row r="192" customFormat="false" ht="15" hidden="false" customHeight="false" outlineLevel="0" collapsed="false">
      <c r="A192" s="38" t="s">
        <v>2</v>
      </c>
      <c r="B192" s="37" t="s">
        <v>180</v>
      </c>
      <c r="C192" s="35" t="n">
        <v>15050000</v>
      </c>
      <c r="D192" s="33" t="str">
        <f aca="false">IF(B192="","",IFERROR(INDEX(계좌!$B$2:$B$41,MATCH(B192,계좌!$A$2:$A$41,0)),"?"))</f>
        <v>비상금 파킹통장</v>
      </c>
      <c r="E192" s="33" t="str">
        <f aca="false">IF(B192="","",IFERROR(INDEX(계좌!$D$2:$D$41,MATCH(B192,계좌!$A$2:$A$41,0)),"?"))</f>
        <v>현금성</v>
      </c>
      <c r="F192" s="33" t="str">
        <f aca="false">IF(B192="","",IFERROR(INDEX(계좌!$E$2:$E$41,MATCH(B192,계좌!$A$2:$A$41,0)),"?"))</f>
        <v>공동</v>
      </c>
      <c r="G192" s="33" t="str">
        <f aca="false">IF(B192="","",IFERROR(INDEX(계좌!$F$2:$F$41,MATCH(B192,계좌!$A$2:$A$41,0)),"?"))</f>
        <v>즉시</v>
      </c>
    </row>
    <row r="193" customFormat="false" ht="15" hidden="false" customHeight="false" outlineLevel="0" collapsed="false">
      <c r="A193" s="38" t="s">
        <v>2</v>
      </c>
      <c r="B193" s="37" t="s">
        <v>181</v>
      </c>
      <c r="C193" s="35" t="n">
        <v>14000000</v>
      </c>
      <c r="D193" s="33" t="str">
        <f aca="false">IF(B193="","",IFERROR(INDEX(계좌!$B$2:$B$41,MATCH(B193,계좌!$A$2:$A$41,0)),"?"))</f>
        <v>주택청약종합저축</v>
      </c>
      <c r="E193" s="33" t="str">
        <f aca="false">IF(B193="","",IFERROR(INDEX(계좌!$D$2:$D$41,MATCH(B193,계좌!$A$2:$A$41,0)),"?"))</f>
        <v>현금성</v>
      </c>
      <c r="F193" s="33" t="str">
        <f aca="false">IF(B193="","",IFERROR(INDEX(계좌!$E$2:$E$41,MATCH(B193,계좌!$A$2:$A$41,0)),"?"))</f>
        <v>본인</v>
      </c>
      <c r="G193" s="33" t="str">
        <f aca="false">IF(B193="","",IFERROR(INDEX(계좌!$F$2:$F$41,MATCH(B193,계좌!$A$2:$A$41,0)),"?"))</f>
        <v>장기</v>
      </c>
    </row>
    <row r="194" customFormat="false" ht="15" hidden="false" customHeight="false" outlineLevel="0" collapsed="false">
      <c r="A194" s="38" t="s">
        <v>2</v>
      </c>
      <c r="B194" s="37" t="s">
        <v>182</v>
      </c>
      <c r="C194" s="35" t="n">
        <v>6300000</v>
      </c>
      <c r="D194" s="33" t="str">
        <f aca="false">IF(B194="","",IFERROR(INDEX(계좌!$B$2:$B$41,MATCH(B194,계좌!$A$2:$A$41,0)),"?"))</f>
        <v>정기적금</v>
      </c>
      <c r="E194" s="33" t="str">
        <f aca="false">IF(B194="","",IFERROR(INDEX(계좌!$D$2:$D$41,MATCH(B194,계좌!$A$2:$A$41,0)),"?"))</f>
        <v>현금성</v>
      </c>
      <c r="F194" s="33" t="str">
        <f aca="false">IF(B194="","",IFERROR(INDEX(계좌!$E$2:$E$41,MATCH(B194,계좌!$A$2:$A$41,0)),"?"))</f>
        <v>공동</v>
      </c>
      <c r="G194" s="33" t="str">
        <f aca="false">IF(B194="","",IFERROR(INDEX(계좌!$F$2:$F$41,MATCH(B194,계좌!$A$2:$A$41,0)),"?"))</f>
        <v>1년내</v>
      </c>
    </row>
    <row r="195" customFormat="false" ht="15" hidden="false" customHeight="false" outlineLevel="0" collapsed="false">
      <c r="A195" s="38" t="s">
        <v>2</v>
      </c>
      <c r="B195" s="37" t="s">
        <v>183</v>
      </c>
      <c r="C195" s="35" t="n">
        <v>44032000</v>
      </c>
      <c r="D195" s="33" t="str">
        <f aca="false">IF(B195="","",IFERROR(INDEX(계좌!$B$2:$B$41,MATCH(B195,계좌!$A$2:$A$41,0)),"?"))</f>
        <v>주식계좌</v>
      </c>
      <c r="E195" s="33" t="str">
        <f aca="false">IF(B195="","",IFERROR(INDEX(계좌!$D$2:$D$41,MATCH(B195,계좌!$A$2:$A$41,0)),"?"))</f>
        <v>투자</v>
      </c>
      <c r="F195" s="33" t="str">
        <f aca="false">IF(B195="","",IFERROR(INDEX(계좌!$E$2:$E$41,MATCH(B195,계좌!$A$2:$A$41,0)),"?"))</f>
        <v>본인</v>
      </c>
      <c r="G195" s="33" t="str">
        <f aca="false">IF(B195="","",IFERROR(INDEX(계좌!$F$2:$F$41,MATCH(B195,계좌!$A$2:$A$41,0)),"?"))</f>
        <v>즉시</v>
      </c>
    </row>
    <row r="196" customFormat="false" ht="15" hidden="false" customHeight="false" outlineLevel="0" collapsed="false">
      <c r="A196" s="38" t="s">
        <v>2</v>
      </c>
      <c r="B196" s="37" t="s">
        <v>184</v>
      </c>
      <c r="C196" s="35" t="n">
        <v>26697000</v>
      </c>
      <c r="D196" s="33" t="str">
        <f aca="false">IF(B196="","",IFERROR(INDEX(계좌!$B$2:$B$41,MATCH(B196,계좌!$A$2:$A$41,0)),"?"))</f>
        <v>ISA(중개형)</v>
      </c>
      <c r="E196" s="33" t="str">
        <f aca="false">IF(B196="","",IFERROR(INDEX(계좌!$D$2:$D$41,MATCH(B196,계좌!$A$2:$A$41,0)),"?"))</f>
        <v>투자</v>
      </c>
      <c r="F196" s="33" t="str">
        <f aca="false">IF(B196="","",IFERROR(INDEX(계좌!$E$2:$E$41,MATCH(B196,계좌!$A$2:$A$41,0)),"?"))</f>
        <v>배우자</v>
      </c>
      <c r="G196" s="33" t="str">
        <f aca="false">IF(B196="","",IFERROR(INDEX(계좌!$F$2:$F$41,MATCH(B196,계좌!$A$2:$A$41,0)),"?"))</f>
        <v>장기</v>
      </c>
    </row>
    <row r="197" customFormat="false" ht="15" hidden="false" customHeight="false" outlineLevel="0" collapsed="false">
      <c r="A197" s="38" t="s">
        <v>2</v>
      </c>
      <c r="B197" s="37" t="s">
        <v>185</v>
      </c>
      <c r="C197" s="35" t="n">
        <v>17220000</v>
      </c>
      <c r="D197" s="33" t="str">
        <f aca="false">IF(B197="","",IFERROR(INDEX(계좌!$B$2:$B$41,MATCH(B197,계좌!$A$2:$A$41,0)),"?"))</f>
        <v>해외주식계좌</v>
      </c>
      <c r="E197" s="33" t="str">
        <f aca="false">IF(B197="","",IFERROR(INDEX(계좌!$D$2:$D$41,MATCH(B197,계좌!$A$2:$A$41,0)),"?"))</f>
        <v>투자</v>
      </c>
      <c r="F197" s="33" t="str">
        <f aca="false">IF(B197="","",IFERROR(INDEX(계좌!$E$2:$E$41,MATCH(B197,계좌!$A$2:$A$41,0)),"?"))</f>
        <v>공동</v>
      </c>
      <c r="G197" s="33" t="str">
        <f aca="false">IF(B197="","",IFERROR(INDEX(계좌!$F$2:$F$41,MATCH(B197,계좌!$A$2:$A$41,0)),"?"))</f>
        <v>즉시</v>
      </c>
    </row>
    <row r="198" customFormat="false" ht="15" hidden="false" customHeight="false" outlineLevel="0" collapsed="false">
      <c r="A198" s="38" t="s">
        <v>2</v>
      </c>
      <c r="B198" s="37" t="s">
        <v>186</v>
      </c>
      <c r="C198" s="35" t="n">
        <v>25892000</v>
      </c>
      <c r="D198" s="33" t="str">
        <f aca="false">IF(B198="","",IFERROR(INDEX(계좌!$B$2:$B$41,MATCH(B198,계좌!$A$2:$A$41,0)),"?"))</f>
        <v>연금저축펀드</v>
      </c>
      <c r="E198" s="33" t="str">
        <f aca="false">IF(B198="","",IFERROR(INDEX(계좌!$D$2:$D$41,MATCH(B198,계좌!$A$2:$A$41,0)),"?"))</f>
        <v>연금</v>
      </c>
      <c r="F198" s="33" t="str">
        <f aca="false">IF(B198="","",IFERROR(INDEX(계좌!$E$2:$E$41,MATCH(B198,계좌!$A$2:$A$41,0)),"?"))</f>
        <v>본인</v>
      </c>
      <c r="G198" s="33" t="str">
        <f aca="false">IF(B198="","",IFERROR(INDEX(계좌!$F$2:$F$41,MATCH(B198,계좌!$A$2:$A$41,0)),"?"))</f>
        <v>장기</v>
      </c>
    </row>
    <row r="199" customFormat="false" ht="15" hidden="false" customHeight="false" outlineLevel="0" collapsed="false">
      <c r="A199" s="38" t="s">
        <v>2</v>
      </c>
      <c r="B199" s="37" t="s">
        <v>187</v>
      </c>
      <c r="C199" s="35" t="n">
        <v>14666000</v>
      </c>
      <c r="D199" s="33" t="str">
        <f aca="false">IF(B199="","",IFERROR(INDEX(계좌!$B$2:$B$41,MATCH(B199,계좌!$A$2:$A$41,0)),"?"))</f>
        <v>IRP</v>
      </c>
      <c r="E199" s="33" t="str">
        <f aca="false">IF(B199="","",IFERROR(INDEX(계좌!$D$2:$D$41,MATCH(B199,계좌!$A$2:$A$41,0)),"?"))</f>
        <v>연금</v>
      </c>
      <c r="F199" s="33" t="str">
        <f aca="false">IF(B199="","",IFERROR(INDEX(계좌!$E$2:$E$41,MATCH(B199,계좌!$A$2:$A$41,0)),"?"))</f>
        <v>배우자</v>
      </c>
      <c r="G199" s="33" t="str">
        <f aca="false">IF(B199="","",IFERROR(INDEX(계좌!$F$2:$F$41,MATCH(B199,계좌!$A$2:$A$41,0)),"?"))</f>
        <v>장기</v>
      </c>
    </row>
    <row r="200" customFormat="false" ht="15" hidden="false" customHeight="false" outlineLevel="0" collapsed="false">
      <c r="A200" s="38" t="s">
        <v>2</v>
      </c>
      <c r="B200" s="37" t="s">
        <v>188</v>
      </c>
      <c r="C200" s="35" t="n">
        <v>44005000</v>
      </c>
      <c r="D200" s="33" t="str">
        <f aca="false">IF(B200="","",IFERROR(INDEX(계좌!$B$2:$B$41,MATCH(B200,계좌!$A$2:$A$41,0)),"?"))</f>
        <v>퇴직연금(DC)</v>
      </c>
      <c r="E200" s="33" t="str">
        <f aca="false">IF(B200="","",IFERROR(INDEX(계좌!$D$2:$D$41,MATCH(B200,계좌!$A$2:$A$41,0)),"?"))</f>
        <v>연금</v>
      </c>
      <c r="F200" s="33" t="str">
        <f aca="false">IF(B200="","",IFERROR(INDEX(계좌!$E$2:$E$41,MATCH(B200,계좌!$A$2:$A$41,0)),"?"))</f>
        <v>본인</v>
      </c>
      <c r="G200" s="33" t="str">
        <f aca="false">IF(B200="","",IFERROR(INDEX(계좌!$F$2:$F$41,MATCH(B200,계좌!$A$2:$A$41,0)),"?"))</f>
        <v>장기</v>
      </c>
    </row>
    <row r="201" customFormat="false" ht="15" hidden="false" customHeight="false" outlineLevel="0" collapsed="false">
      <c r="A201" s="38" t="s">
        <v>2</v>
      </c>
      <c r="B201" s="37" t="s">
        <v>189</v>
      </c>
      <c r="C201" s="35" t="n">
        <v>802000000</v>
      </c>
      <c r="D201" s="33" t="str">
        <f aca="false">IF(B201="","",IFERROR(INDEX(계좌!$B$2:$B$41,MATCH(B201,계좌!$A$2:$A$41,0)),"?"))</f>
        <v>아파트(실거주)</v>
      </c>
      <c r="E201" s="33" t="str">
        <f aca="false">IF(B201="","",IFERROR(INDEX(계좌!$D$2:$D$41,MATCH(B201,계좌!$A$2:$A$41,0)),"?"))</f>
        <v>부동산</v>
      </c>
      <c r="F201" s="33" t="str">
        <f aca="false">IF(B201="","",IFERROR(INDEX(계좌!$E$2:$E$41,MATCH(B201,계좌!$A$2:$A$41,0)),"?"))</f>
        <v>공동</v>
      </c>
      <c r="G201" s="33" t="str">
        <f aca="false">IF(B201="","",IFERROR(INDEX(계좌!$F$2:$F$41,MATCH(B201,계좌!$A$2:$A$41,0)),"?"))</f>
        <v>장기</v>
      </c>
    </row>
    <row r="202" customFormat="false" ht="15" hidden="false" customHeight="false" outlineLevel="0" collapsed="false">
      <c r="A202" s="38" t="s">
        <v>2</v>
      </c>
      <c r="B202" s="37" t="s">
        <v>190</v>
      </c>
      <c r="C202" s="35" t="n">
        <v>21250000</v>
      </c>
      <c r="D202" s="33" t="str">
        <f aca="false">IF(B202="","",IFERROR(INDEX(계좌!$B$2:$B$41,MATCH(B202,계좌!$A$2:$A$41,0)),"?"))</f>
        <v>자동차</v>
      </c>
      <c r="E202" s="33" t="str">
        <f aca="false">IF(B202="","",IFERROR(INDEX(계좌!$D$2:$D$41,MATCH(B202,계좌!$A$2:$A$41,0)),"?"))</f>
        <v>기타자산</v>
      </c>
      <c r="F202" s="33" t="str">
        <f aca="false">IF(B202="","",IFERROR(INDEX(계좌!$E$2:$E$41,MATCH(B202,계좌!$A$2:$A$41,0)),"?"))</f>
        <v>공동</v>
      </c>
      <c r="G202" s="33" t="str">
        <f aca="false">IF(B202="","",IFERROR(INDEX(계좌!$F$2:$F$41,MATCH(B202,계좌!$A$2:$A$41,0)),"?"))</f>
        <v>장기</v>
      </c>
    </row>
    <row r="203" customFormat="false" ht="15" hidden="false" customHeight="false" outlineLevel="0" collapsed="false">
      <c r="A203" s="38" t="s">
        <v>2</v>
      </c>
      <c r="B203" s="37" t="s">
        <v>191</v>
      </c>
      <c r="C203" s="35" t="n">
        <v>285400000</v>
      </c>
      <c r="D203" s="33" t="str">
        <f aca="false">IF(B203="","",IFERROR(INDEX(계좌!$B$2:$B$41,MATCH(B203,계좌!$A$2:$A$41,0)),"?"))</f>
        <v>주택담보대출</v>
      </c>
      <c r="E203" s="33" t="str">
        <f aca="false">IF(B203="","",IFERROR(INDEX(계좌!$D$2:$D$41,MATCH(B203,계좌!$A$2:$A$41,0)),"?"))</f>
        <v>부채</v>
      </c>
      <c r="F203" s="33" t="str">
        <f aca="false">IF(B203="","",IFERROR(INDEX(계좌!$E$2:$E$41,MATCH(B203,계좌!$A$2:$A$41,0)),"?"))</f>
        <v>공동</v>
      </c>
      <c r="G203" s="33" t="str">
        <f aca="false">IF(B203="","",IFERROR(INDEX(계좌!$F$2:$F$41,MATCH(B203,계좌!$A$2:$A$41,0)),"?"))</f>
        <v>장기</v>
      </c>
    </row>
    <row r="204" customFormat="false" ht="15" hidden="false" customHeight="false" outlineLevel="0" collapsed="false">
      <c r="A204" s="38" t="s">
        <v>2</v>
      </c>
      <c r="B204" s="37" t="s">
        <v>192</v>
      </c>
      <c r="C204" s="35" t="n">
        <v>14700000</v>
      </c>
      <c r="D204" s="33" t="str">
        <f aca="false">IF(B204="","",IFERROR(INDEX(계좌!$B$2:$B$41,MATCH(B204,계좌!$A$2:$A$41,0)),"?"))</f>
        <v>신용대출</v>
      </c>
      <c r="E204" s="33" t="str">
        <f aca="false">IF(B204="","",IFERROR(INDEX(계좌!$D$2:$D$41,MATCH(B204,계좌!$A$2:$A$41,0)),"?"))</f>
        <v>부채</v>
      </c>
      <c r="F204" s="33" t="str">
        <f aca="false">IF(B204="","",IFERROR(INDEX(계좌!$E$2:$E$41,MATCH(B204,계좌!$A$2:$A$41,0)),"?"))</f>
        <v>본인</v>
      </c>
      <c r="G204" s="33" t="str">
        <f aca="false">IF(B204="","",IFERROR(INDEX(계좌!$F$2:$F$41,MATCH(B204,계좌!$A$2:$A$41,0)),"?"))</f>
        <v>장기</v>
      </c>
    </row>
    <row r="205" customFormat="false" ht="15" hidden="false" customHeight="false" outlineLevel="0" collapsed="false">
      <c r="A205" s="38" t="s">
        <v>2</v>
      </c>
      <c r="B205" s="37" t="s">
        <v>193</v>
      </c>
      <c r="C205" s="35" t="n">
        <v>3082000</v>
      </c>
      <c r="D205" s="33" t="str">
        <f aca="false">IF(B205="","",IFERROR(INDEX(계좌!$B$2:$B$41,MATCH(B205,계좌!$A$2:$A$41,0)),"?"))</f>
        <v>카드 결제예정액</v>
      </c>
      <c r="E205" s="33" t="str">
        <f aca="false">IF(B205="","",IFERROR(INDEX(계좌!$D$2:$D$41,MATCH(B205,계좌!$A$2:$A$41,0)),"?"))</f>
        <v>부채</v>
      </c>
      <c r="F205" s="33" t="str">
        <f aca="false">IF(B205="","",IFERROR(INDEX(계좌!$E$2:$E$41,MATCH(B205,계좌!$A$2:$A$41,0)),"?"))</f>
        <v>공동</v>
      </c>
      <c r="G205" s="33" t="str">
        <f aca="false">IF(B205="","",IFERROR(INDEX(계좌!$F$2:$F$41,MATCH(B205,계좌!$A$2:$A$41,0)),"?"))</f>
        <v>즉시</v>
      </c>
    </row>
  </sheetData>
  <autoFilter ref="A1:G205"/>
  <dataValidations count="1">
    <dataValidation allowBlank="true" error="목록에서 선택하세요." errorStyle="stop" errorTitle="입력 확인" operator="between" showDropDown="false" showErrorMessage="false" showInputMessage="false" sqref="B2:B1205" type="list">
      <formula1>계좌!$A$2:$A$41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29" t="s">
        <v>170</v>
      </c>
      <c r="B1" s="29" t="s">
        <v>171</v>
      </c>
      <c r="C1" s="29" t="s">
        <v>204</v>
      </c>
      <c r="D1" s="29" t="s">
        <v>172</v>
      </c>
      <c r="E1" s="29" t="s">
        <v>173</v>
      </c>
      <c r="F1" s="29" t="s">
        <v>174</v>
      </c>
      <c r="G1" s="29" t="s">
        <v>68</v>
      </c>
      <c r="I1" s="31" t="s">
        <v>205</v>
      </c>
    </row>
    <row r="2" customFormat="false" ht="15" hidden="false" customHeight="false" outlineLevel="0" collapsed="false">
      <c r="A2" s="37" t="s">
        <v>177</v>
      </c>
      <c r="B2" s="34" t="s">
        <v>206</v>
      </c>
      <c r="C2" s="34" t="s">
        <v>207</v>
      </c>
      <c r="D2" s="34" t="s">
        <v>208</v>
      </c>
      <c r="E2" s="34" t="s">
        <v>78</v>
      </c>
      <c r="F2" s="34" t="s">
        <v>209</v>
      </c>
      <c r="G2" s="37"/>
    </row>
    <row r="3" customFormat="false" ht="15" hidden="false" customHeight="false" outlineLevel="0" collapsed="false">
      <c r="A3" s="37" t="s">
        <v>178</v>
      </c>
      <c r="B3" s="34" t="s">
        <v>210</v>
      </c>
      <c r="C3" s="34" t="s">
        <v>211</v>
      </c>
      <c r="D3" s="34" t="s">
        <v>208</v>
      </c>
      <c r="E3" s="34" t="s">
        <v>73</v>
      </c>
      <c r="F3" s="34" t="s">
        <v>209</v>
      </c>
      <c r="G3" s="37"/>
    </row>
    <row r="4" customFormat="false" ht="15" hidden="false" customHeight="false" outlineLevel="0" collapsed="false">
      <c r="A4" s="37" t="s">
        <v>179</v>
      </c>
      <c r="B4" s="34" t="s">
        <v>212</v>
      </c>
      <c r="C4" s="34" t="s">
        <v>213</v>
      </c>
      <c r="D4" s="34" t="s">
        <v>208</v>
      </c>
      <c r="E4" s="34" t="s">
        <v>81</v>
      </c>
      <c r="F4" s="34" t="s">
        <v>209</v>
      </c>
      <c r="G4" s="34" t="s">
        <v>214</v>
      </c>
    </row>
    <row r="5" customFormat="false" ht="15" hidden="false" customHeight="false" outlineLevel="0" collapsed="false">
      <c r="A5" s="37" t="s">
        <v>180</v>
      </c>
      <c r="B5" s="34" t="s">
        <v>215</v>
      </c>
      <c r="C5" s="34" t="s">
        <v>216</v>
      </c>
      <c r="D5" s="34" t="s">
        <v>208</v>
      </c>
      <c r="E5" s="34" t="s">
        <v>81</v>
      </c>
      <c r="F5" s="34" t="s">
        <v>209</v>
      </c>
      <c r="G5" s="34" t="s">
        <v>217</v>
      </c>
    </row>
    <row r="6" customFormat="false" ht="15" hidden="false" customHeight="false" outlineLevel="0" collapsed="false">
      <c r="A6" s="37" t="s">
        <v>181</v>
      </c>
      <c r="B6" s="34" t="s">
        <v>218</v>
      </c>
      <c r="C6" s="34" t="s">
        <v>207</v>
      </c>
      <c r="D6" s="34" t="s">
        <v>208</v>
      </c>
      <c r="E6" s="34" t="s">
        <v>78</v>
      </c>
      <c r="F6" s="34" t="s">
        <v>219</v>
      </c>
      <c r="G6" s="34" t="s">
        <v>220</v>
      </c>
    </row>
    <row r="7" customFormat="false" ht="15" hidden="false" customHeight="false" outlineLevel="0" collapsed="false">
      <c r="A7" s="37" t="s">
        <v>182</v>
      </c>
      <c r="B7" s="34" t="s">
        <v>221</v>
      </c>
      <c r="C7" s="34" t="s">
        <v>222</v>
      </c>
      <c r="D7" s="34" t="s">
        <v>208</v>
      </c>
      <c r="E7" s="34" t="s">
        <v>81</v>
      </c>
      <c r="F7" s="37" t="s">
        <v>223</v>
      </c>
      <c r="G7" s="34" t="s">
        <v>224</v>
      </c>
    </row>
    <row r="8" customFormat="false" ht="15" hidden="false" customHeight="false" outlineLevel="0" collapsed="false">
      <c r="A8" s="37" t="s">
        <v>183</v>
      </c>
      <c r="B8" s="34" t="s">
        <v>225</v>
      </c>
      <c r="C8" s="34" t="s">
        <v>226</v>
      </c>
      <c r="D8" s="34" t="s">
        <v>227</v>
      </c>
      <c r="E8" s="34" t="s">
        <v>78</v>
      </c>
      <c r="F8" s="34" t="s">
        <v>209</v>
      </c>
      <c r="G8" s="37"/>
    </row>
    <row r="9" customFormat="false" ht="15" hidden="false" customHeight="false" outlineLevel="0" collapsed="false">
      <c r="A9" s="37" t="s">
        <v>184</v>
      </c>
      <c r="B9" s="37" t="s">
        <v>228</v>
      </c>
      <c r="C9" s="34" t="s">
        <v>229</v>
      </c>
      <c r="D9" s="34" t="s">
        <v>227</v>
      </c>
      <c r="E9" s="34" t="s">
        <v>73</v>
      </c>
      <c r="F9" s="34" t="s">
        <v>219</v>
      </c>
      <c r="G9" s="34" t="s">
        <v>230</v>
      </c>
    </row>
    <row r="10" customFormat="false" ht="15" hidden="false" customHeight="false" outlineLevel="0" collapsed="false">
      <c r="A10" s="37" t="s">
        <v>185</v>
      </c>
      <c r="B10" s="34" t="s">
        <v>231</v>
      </c>
      <c r="C10" s="34" t="s">
        <v>232</v>
      </c>
      <c r="D10" s="34" t="s">
        <v>227</v>
      </c>
      <c r="E10" s="34" t="s">
        <v>81</v>
      </c>
      <c r="F10" s="34" t="s">
        <v>209</v>
      </c>
      <c r="G10" s="34" t="s">
        <v>220</v>
      </c>
    </row>
    <row r="11" customFormat="false" ht="15" hidden="false" customHeight="false" outlineLevel="0" collapsed="false">
      <c r="A11" s="37" t="s">
        <v>186</v>
      </c>
      <c r="B11" s="34" t="s">
        <v>233</v>
      </c>
      <c r="C11" s="34" t="s">
        <v>234</v>
      </c>
      <c r="D11" s="34" t="s">
        <v>235</v>
      </c>
      <c r="E11" s="34" t="s">
        <v>78</v>
      </c>
      <c r="F11" s="34" t="s">
        <v>219</v>
      </c>
      <c r="G11" s="34" t="s">
        <v>236</v>
      </c>
    </row>
    <row r="12" customFormat="false" ht="15" hidden="false" customHeight="false" outlineLevel="0" collapsed="false">
      <c r="A12" s="37" t="s">
        <v>187</v>
      </c>
      <c r="B12" s="37" t="s">
        <v>237</v>
      </c>
      <c r="C12" s="34" t="s">
        <v>229</v>
      </c>
      <c r="D12" s="34" t="s">
        <v>235</v>
      </c>
      <c r="E12" s="34" t="s">
        <v>73</v>
      </c>
      <c r="F12" s="34" t="s">
        <v>219</v>
      </c>
      <c r="G12" s="34" t="s">
        <v>236</v>
      </c>
    </row>
    <row r="13" customFormat="false" ht="15" hidden="false" customHeight="false" outlineLevel="0" collapsed="false">
      <c r="A13" s="37" t="s">
        <v>188</v>
      </c>
      <c r="B13" s="34" t="s">
        <v>238</v>
      </c>
      <c r="C13" s="34" t="s">
        <v>239</v>
      </c>
      <c r="D13" s="34" t="s">
        <v>235</v>
      </c>
      <c r="E13" s="34" t="s">
        <v>78</v>
      </c>
      <c r="F13" s="34" t="s">
        <v>219</v>
      </c>
      <c r="G13" s="34" t="s">
        <v>236</v>
      </c>
    </row>
    <row r="14" customFormat="false" ht="15" hidden="false" customHeight="false" outlineLevel="0" collapsed="false">
      <c r="A14" s="37" t="s">
        <v>189</v>
      </c>
      <c r="B14" s="34" t="s">
        <v>240</v>
      </c>
      <c r="C14" s="37" t="s">
        <v>241</v>
      </c>
      <c r="D14" s="34" t="s">
        <v>242</v>
      </c>
      <c r="E14" s="34" t="s">
        <v>81</v>
      </c>
      <c r="F14" s="34" t="s">
        <v>219</v>
      </c>
      <c r="G14" s="37" t="s">
        <v>243</v>
      </c>
    </row>
    <row r="15" customFormat="false" ht="15" hidden="false" customHeight="false" outlineLevel="0" collapsed="false">
      <c r="A15" s="37" t="s">
        <v>190</v>
      </c>
      <c r="B15" s="34" t="s">
        <v>244</v>
      </c>
      <c r="C15" s="37" t="s">
        <v>241</v>
      </c>
      <c r="D15" s="34" t="s">
        <v>245</v>
      </c>
      <c r="E15" s="34" t="s">
        <v>81</v>
      </c>
      <c r="F15" s="34" t="s">
        <v>219</v>
      </c>
      <c r="G15" s="34" t="s">
        <v>246</v>
      </c>
    </row>
    <row r="16" customFormat="false" ht="15" hidden="false" customHeight="false" outlineLevel="0" collapsed="false">
      <c r="A16" s="37" t="s">
        <v>191</v>
      </c>
      <c r="B16" s="34" t="s">
        <v>247</v>
      </c>
      <c r="C16" s="34" t="s">
        <v>207</v>
      </c>
      <c r="D16" s="34" t="s">
        <v>21</v>
      </c>
      <c r="E16" s="34" t="s">
        <v>81</v>
      </c>
      <c r="F16" s="34" t="s">
        <v>219</v>
      </c>
      <c r="G16" s="37"/>
    </row>
    <row r="17" customFormat="false" ht="15" hidden="false" customHeight="false" outlineLevel="0" collapsed="false">
      <c r="A17" s="37" t="s">
        <v>192</v>
      </c>
      <c r="B17" s="34" t="s">
        <v>248</v>
      </c>
      <c r="C17" s="34" t="s">
        <v>211</v>
      </c>
      <c r="D17" s="34" t="s">
        <v>21</v>
      </c>
      <c r="E17" s="34" t="s">
        <v>78</v>
      </c>
      <c r="F17" s="34" t="s">
        <v>219</v>
      </c>
      <c r="G17" s="37"/>
    </row>
    <row r="18" customFormat="false" ht="15" hidden="false" customHeight="false" outlineLevel="0" collapsed="false">
      <c r="A18" s="37" t="s">
        <v>193</v>
      </c>
      <c r="B18" s="34" t="s">
        <v>249</v>
      </c>
      <c r="C18" s="34" t="s">
        <v>250</v>
      </c>
      <c r="D18" s="34" t="s">
        <v>21</v>
      </c>
      <c r="E18" s="34" t="s">
        <v>81</v>
      </c>
      <c r="F18" s="34" t="s">
        <v>209</v>
      </c>
      <c r="G18" s="34" t="s">
        <v>251</v>
      </c>
    </row>
  </sheetData>
  <dataValidations count="3">
    <dataValidation allowBlank="true" error="목록에서 선택하세요." errorStyle="stop" errorTitle="입력 확인" operator="between" showDropDown="false" showErrorMessage="false" showInputMessage="false" sqref="D2:D41" type="list">
      <formula1>설정!$G$3:$G$8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E2:E41" type="list">
      <formula1>설정!$L$3:$L$5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F2:F41" type="list">
      <formula1>설정!$H$3:$H$5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M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1" min="10" style="0" width="14"/>
    <col collapsed="false" customWidth="true" hidden="false" outlineLevel="0" max="12" min="12" style="0" width="13"/>
    <col collapsed="false" customWidth="true" hidden="false" outlineLevel="0" max="13" min="13" style="0" width="9"/>
  </cols>
  <sheetData>
    <row r="1" customFormat="false" ht="19.7" hidden="false" customHeight="false" outlineLevel="0" collapsed="false">
      <c r="A1" s="39" t="s">
        <v>252</v>
      </c>
    </row>
    <row r="2" customFormat="false" ht="15" hidden="false" customHeight="false" outlineLevel="0" collapsed="false">
      <c r="A2" s="31" t="s">
        <v>253</v>
      </c>
    </row>
    <row r="3" customFormat="false" ht="26.85" hidden="false" customHeight="false" outlineLevel="0" collapsed="false">
      <c r="A3" s="30" t="s">
        <v>254</v>
      </c>
      <c r="B3" s="29" t="s">
        <v>255</v>
      </c>
      <c r="C3" s="30" t="s">
        <v>256</v>
      </c>
      <c r="D3" s="30" t="s">
        <v>257</v>
      </c>
      <c r="E3" s="30" t="s">
        <v>258</v>
      </c>
      <c r="F3" s="30" t="s">
        <v>25</v>
      </c>
      <c r="G3" s="30" t="s">
        <v>259</v>
      </c>
      <c r="H3" s="40" t="s">
        <v>260</v>
      </c>
      <c r="I3" s="31" t="s">
        <v>261</v>
      </c>
    </row>
    <row r="4" customFormat="false" ht="26.85" hidden="false" customHeight="false" outlineLevel="0" collapsed="false">
      <c r="A4" s="41" t="s">
        <v>262</v>
      </c>
      <c r="B4" s="42" t="n">
        <v>0.2</v>
      </c>
      <c r="C4" s="19" t="n">
        <f aca="false">SUMIFS($K$27:$K$126,$F$27:$F$126,A4,$C$27:$C$126,설정!$B$5)</f>
        <v>22018900</v>
      </c>
      <c r="D4" s="43" t="n">
        <f aca="false">IF($C$9=0,0,C4/$C$9)</f>
        <v>0.127720652509964</v>
      </c>
      <c r="E4" s="43" t="n">
        <f aca="false">D4-B4</f>
        <v>-0.0722793474900362</v>
      </c>
      <c r="F4" s="18" t="str">
        <f aca="false">IF($C$9=0,"",IF(ABS(E4)&gt;설정!$B$16,"⚠ 리밸런싱","✅ 적정"))</f>
        <v>⚠ 리밸런싱</v>
      </c>
      <c r="G4" s="19" t="n">
        <f aca="false">B4*$C$9-C4</f>
        <v>12460880</v>
      </c>
      <c r="H4" s="44" t="str">
        <f aca="false">IF(ISNUMBER(SEARCH("리밸런싱",F4)),A4&amp;" "&amp;TEXT(E4,"+0%;-0%"),"")</f>
        <v>국내주식 -7%</v>
      </c>
    </row>
    <row r="5" customFormat="false" ht="26.85" hidden="false" customHeight="false" outlineLevel="0" collapsed="false">
      <c r="A5" s="41" t="s">
        <v>263</v>
      </c>
      <c r="B5" s="42" t="n">
        <v>0.45</v>
      </c>
      <c r="C5" s="19" t="n">
        <f aca="false">SUMIFS($K$27:$K$126,$F$27:$F$126,A5,$C$27:$C$126,설정!$B$5)</f>
        <v>97871700</v>
      </c>
      <c r="D5" s="43" t="n">
        <f aca="false">IF($C$9=0,0,C5/$C$9)</f>
        <v>0.567704898349119</v>
      </c>
      <c r="E5" s="43" t="n">
        <f aca="false">D5-B5</f>
        <v>0.117704898349119</v>
      </c>
      <c r="F5" s="18" t="str">
        <f aca="false">IF($C$9=0,"",IF(ABS(E5)&gt;설정!$B$16,"⚠ 리밸런싱","✅ 적정"))</f>
        <v>⚠ 리밸런싱</v>
      </c>
      <c r="G5" s="19" t="n">
        <f aca="false">B5*$C$9-C5</f>
        <v>-20292195</v>
      </c>
      <c r="H5" s="44" t="str">
        <f aca="false">IF(ISNUMBER(SEARCH("리밸런싱",F5)),A5&amp;" "&amp;TEXT(E5,"+0%;-0%"),"")</f>
        <v>해외주식 +12%</v>
      </c>
    </row>
    <row r="6" customFormat="false" ht="15" hidden="false" customHeight="false" outlineLevel="0" collapsed="false">
      <c r="A6" s="41" t="s">
        <v>264</v>
      </c>
      <c r="B6" s="42" t="n">
        <v>0.2</v>
      </c>
      <c r="C6" s="19" t="n">
        <f aca="false">SUMIFS($K$27:$K$126,$F$27:$F$126,A6,$C$27:$C$126,설정!$B$5)</f>
        <v>28093000</v>
      </c>
      <c r="D6" s="43" t="n">
        <f aca="false">IF($C$9=0,0,C6/$C$9)</f>
        <v>0.16295347592125</v>
      </c>
      <c r="E6" s="43" t="n">
        <f aca="false">D6-B6</f>
        <v>-0.0370465240787499</v>
      </c>
      <c r="F6" s="18" t="str">
        <f aca="false">IF($C$9=0,"",IF(ABS(E6)&gt;설정!$B$16,"⚠ 리밸런싱","✅ 적정"))</f>
        <v>✅ 적정</v>
      </c>
      <c r="G6" s="19" t="n">
        <f aca="false">B6*$C$9-C6</f>
        <v>6386780</v>
      </c>
      <c r="H6" s="44" t="str">
        <f aca="false">IF(ISNUMBER(SEARCH("리밸런싱",F6)),A6&amp;" "&amp;TEXT(E6,"+0%;-0%"),"")</f>
        <v/>
      </c>
    </row>
    <row r="7" customFormat="false" ht="15" hidden="false" customHeight="false" outlineLevel="0" collapsed="false">
      <c r="A7" s="41" t="s">
        <v>208</v>
      </c>
      <c r="B7" s="42" t="n">
        <v>0.1</v>
      </c>
      <c r="C7" s="19" t="n">
        <f aca="false">SUMIFS($K$27:$K$126,$F$27:$F$126,A7,$C$27:$C$126,설정!$B$5)</f>
        <v>20534500</v>
      </c>
      <c r="D7" s="43" t="n">
        <f aca="false">IF($C$9=0,0,C7/$C$9)</f>
        <v>0.119110388755381</v>
      </c>
      <c r="E7" s="43" t="n">
        <f aca="false">D7-B7</f>
        <v>0.0191103887553807</v>
      </c>
      <c r="F7" s="18" t="str">
        <f aca="false">IF($C$9=0,"",IF(ABS(E7)&gt;설정!$B$16,"⚠ 리밸런싱","✅ 적정"))</f>
        <v>✅ 적정</v>
      </c>
      <c r="G7" s="19" t="n">
        <f aca="false">B7*$C$9-C7</f>
        <v>-3294610</v>
      </c>
      <c r="H7" s="44" t="str">
        <f aca="false">IF(ISNUMBER(SEARCH("리밸런싱",F7)),A7&amp;" "&amp;TEXT(E7,"+0%;-0%"),"")</f>
        <v/>
      </c>
    </row>
    <row r="8" customFormat="false" ht="15" hidden="false" customHeight="false" outlineLevel="0" collapsed="false">
      <c r="A8" s="41" t="s">
        <v>265</v>
      </c>
      <c r="B8" s="42" t="n">
        <v>0.05</v>
      </c>
      <c r="C8" s="19" t="n">
        <f aca="false">SUMIFS($K$27:$K$126,$F$27:$F$126,A8,$C$27:$C$126,설정!$B$5)</f>
        <v>3880800</v>
      </c>
      <c r="D8" s="43" t="n">
        <f aca="false">IF($C$9=0,0,C8/$C$9)</f>
        <v>0.022510584464286</v>
      </c>
      <c r="E8" s="43" t="n">
        <f aca="false">D8-B8</f>
        <v>-0.027489415535714</v>
      </c>
      <c r="F8" s="18" t="str">
        <f aca="false">IF($C$9=0,"",IF(ABS(E8)&gt;설정!$B$16,"⚠ 리밸런싱","✅ 적정"))</f>
        <v>✅ 적정</v>
      </c>
      <c r="G8" s="19" t="n">
        <f aca="false">B8*$C$9-C8</f>
        <v>4739145</v>
      </c>
      <c r="H8" s="44" t="str">
        <f aca="false">IF(ISNUMBER(SEARCH("리밸런싱",F8)),A8&amp;" "&amp;TEXT(E8,"+0%;-0%"),"")</f>
        <v/>
      </c>
    </row>
    <row r="9" customFormat="false" ht="15" hidden="false" customHeight="false" outlineLevel="0" collapsed="false">
      <c r="A9" s="45" t="s">
        <v>266</v>
      </c>
      <c r="B9" s="46" t="n">
        <f aca="false">SUM(B4:B8)</f>
        <v>1</v>
      </c>
      <c r="C9" s="47" t="n">
        <f aca="false">SUM(C4:C8)</f>
        <v>172398900</v>
      </c>
      <c r="D9" s="46" t="n">
        <f aca="false">SUM(D4:D8)</f>
        <v>1</v>
      </c>
      <c r="E9" s="44" t="str">
        <f aca="false">IF(ROUND(B9,4)&lt;&gt;1,"⚠ 목표 비중 합이 100%가 아님","")</f>
        <v/>
      </c>
    </row>
    <row r="11" customFormat="false" ht="15" hidden="false" customHeight="false" outlineLevel="0" collapsed="false">
      <c r="A11" s="48" t="s">
        <v>267</v>
      </c>
      <c r="B11" s="30" t="s">
        <v>268</v>
      </c>
      <c r="C11" s="30" t="s">
        <v>269</v>
      </c>
      <c r="D11" s="30" t="s">
        <v>270</v>
      </c>
      <c r="E11" s="49"/>
      <c r="F11" s="49"/>
    </row>
    <row r="12" customFormat="false" ht="15" hidden="false" customHeight="false" outlineLevel="0" collapsed="false">
      <c r="A12" s="41" t="s">
        <v>271</v>
      </c>
      <c r="B12" s="19" t="n">
        <f aca="false">손익!M45</f>
        <v>1950000</v>
      </c>
      <c r="C12" s="19" t="n">
        <f aca="false">설정!$B$29</f>
        <v>2200000</v>
      </c>
      <c r="D12" s="43" t="n">
        <f aca="false">IF(C12=0,0,B12/C12)</f>
        <v>0.886363636363636</v>
      </c>
    </row>
    <row r="13" customFormat="false" ht="15" hidden="false" customHeight="false" outlineLevel="0" collapsed="false">
      <c r="A13" s="41" t="s">
        <v>272</v>
      </c>
      <c r="B13" s="19" t="n">
        <f aca="false">손익!N45</f>
        <v>26150000</v>
      </c>
      <c r="C13" s="19" t="n">
        <f aca="false">설정!$B$29*12</f>
        <v>26400000</v>
      </c>
      <c r="D13" s="43" t="n">
        <f aca="false">IF(C13=0,0,B13/C13)</f>
        <v>0.990530303030303</v>
      </c>
    </row>
    <row r="14" customFormat="false" ht="15" hidden="false" customHeight="false" outlineLevel="0" collapsed="false">
      <c r="A14" s="41" t="s">
        <v>273</v>
      </c>
      <c r="B14" s="19" t="n">
        <f aca="false">손익!O45</f>
        <v>2179166.66666667</v>
      </c>
      <c r="C14" s="19" t="n">
        <f aca="false">설정!$B$29</f>
        <v>2200000</v>
      </c>
      <c r="D14" s="43" t="n">
        <f aca="false">IF(C14=0,0,B14/C14)</f>
        <v>0.990530303030303</v>
      </c>
    </row>
    <row r="15" customFormat="false" ht="15" hidden="false" customHeight="false" outlineLevel="0" collapsed="false">
      <c r="A15" s="41" t="s">
        <v>274</v>
      </c>
      <c r="B15" s="19" t="n">
        <f aca="false">재무상태표!B13</f>
        <v>172512000</v>
      </c>
      <c r="C15" s="19" t="n">
        <f aca="false">재무상태표!C13</f>
        <v>168245000</v>
      </c>
      <c r="D15" s="43" t="n">
        <f aca="false">IF(C15=0,0,B15/C15-1)</f>
        <v>0.0253618235311599</v>
      </c>
    </row>
    <row r="16" customFormat="false" ht="15" hidden="false" customHeight="false" outlineLevel="0" collapsed="false">
      <c r="A16" s="41" t="s">
        <v>275</v>
      </c>
      <c r="B16" s="19" t="n">
        <f aca="false">재무상태표!D13-B12</f>
        <v>2317000</v>
      </c>
      <c r="C16" s="19"/>
      <c r="D16" s="43"/>
      <c r="E16" s="31" t="s">
        <v>276</v>
      </c>
    </row>
    <row r="18" customFormat="false" ht="15" hidden="false" customHeight="false" outlineLevel="0" collapsed="false">
      <c r="A18" s="48" t="s">
        <v>277</v>
      </c>
      <c r="B18" s="49"/>
      <c r="C18" s="49"/>
      <c r="D18" s="49"/>
      <c r="E18" s="49"/>
      <c r="F18" s="49"/>
    </row>
    <row r="19" customFormat="false" ht="26.85" hidden="false" customHeight="false" outlineLevel="0" collapsed="false">
      <c r="A19" s="30" t="s">
        <v>278</v>
      </c>
      <c r="B19" s="30" t="s">
        <v>279</v>
      </c>
      <c r="C19" s="30" t="s">
        <v>280</v>
      </c>
      <c r="D19" s="30" t="s">
        <v>281</v>
      </c>
      <c r="E19" s="30" t="s">
        <v>282</v>
      </c>
      <c r="F19" s="29" t="s">
        <v>283</v>
      </c>
    </row>
    <row r="20" customFormat="false" ht="15" hidden="false" customHeight="false" outlineLevel="0" collapsed="false">
      <c r="A20" s="41" t="s">
        <v>284</v>
      </c>
      <c r="B20" s="19" t="n">
        <f aca="false">설정!$B$23</f>
        <v>6000000</v>
      </c>
      <c r="C20" s="19" t="n">
        <f aca="false">SUMIFS(거래내역!$D$2:$D$5000,거래내역!$L$2:$L$5000,"&gt;="&amp;설정!$B$8,거래내역!$L$2:$L$5000,"&lt;="&amp;설정!$B$7,거래내역!$C$2:$C$5000,F20,거래내역!$H$2:$H$5000,설정!$B$5)</f>
        <v>2700000</v>
      </c>
      <c r="D20" s="19" t="n">
        <f aca="false">MAX(0,B20-C20)</f>
        <v>3300000</v>
      </c>
      <c r="E20" s="43" t="n">
        <f aca="false">IF(B20=0,0,C20/B20)</f>
        <v>0.45</v>
      </c>
      <c r="F20" s="37" t="s">
        <v>285</v>
      </c>
    </row>
    <row r="21" customFormat="false" ht="15" hidden="false" customHeight="false" outlineLevel="0" collapsed="false">
      <c r="A21" s="41" t="s">
        <v>286</v>
      </c>
      <c r="B21" s="19" t="n">
        <f aca="false">설정!$B$22</f>
        <v>9000000</v>
      </c>
      <c r="C21" s="19" t="n">
        <f aca="false">C20+SUMIFS(거래내역!$D$2:$D$5000,거래내역!$L$2:$L$5000,"&gt;="&amp;설정!$B$8,거래내역!$L$2:$L$5000,"&lt;="&amp;설정!$B$7,거래내역!$C$2:$C$5000,F21,거래내역!$H$2:$H$5000,설정!$B$5)</f>
        <v>4500000</v>
      </c>
      <c r="D21" s="19" t="n">
        <f aca="false">MAX(0,B21-C21)</f>
        <v>4500000</v>
      </c>
      <c r="E21" s="43" t="n">
        <f aca="false">IF(B21=0,0,C21/B21)</f>
        <v>0.5</v>
      </c>
      <c r="F21" s="37" t="s">
        <v>287</v>
      </c>
    </row>
    <row r="22" customFormat="false" ht="15" hidden="false" customHeight="false" outlineLevel="0" collapsed="false">
      <c r="A22" s="33" t="s">
        <v>288</v>
      </c>
      <c r="B22" s="19" t="n">
        <f aca="false">설정!$B$24</f>
        <v>20000000</v>
      </c>
      <c r="C22" s="19" t="n">
        <f aca="false">SUMIFS(거래내역!$D$2:$D$5000,거래내역!$L$2:$L$5000,"&gt;="&amp;설정!$B$8,거래내역!$L$2:$L$5000,"&lt;="&amp;설정!$B$7,거래내역!$C$2:$C$5000,F22,거래내역!$H$2:$H$5000,설정!$B$5)</f>
        <v>5850000</v>
      </c>
      <c r="D22" s="19" t="n">
        <f aca="false">MAX(0,B22-C22)</f>
        <v>14150000</v>
      </c>
      <c r="E22" s="43" t="n">
        <f aca="false">IF(B22=0,0,C22/B22)</f>
        <v>0.2925</v>
      </c>
      <c r="F22" s="37" t="s">
        <v>289</v>
      </c>
    </row>
    <row r="23" customFormat="false" ht="15" hidden="false" customHeight="false" outlineLevel="0" collapsed="false">
      <c r="A23" s="50" t="s">
        <v>290</v>
      </c>
    </row>
    <row r="24" customFormat="false" ht="15" hidden="false" customHeight="false" outlineLevel="0" collapsed="false">
      <c r="A24" s="48" t="s">
        <v>291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customFormat="false" ht="15" hidden="false" customHeight="false" outlineLevel="0" collapsed="false">
      <c r="A25" s="29" t="s">
        <v>170</v>
      </c>
      <c r="B25" s="30" t="s">
        <v>171</v>
      </c>
      <c r="C25" s="30" t="s">
        <v>173</v>
      </c>
      <c r="D25" s="29" t="s">
        <v>292</v>
      </c>
      <c r="E25" s="29" t="s">
        <v>293</v>
      </c>
      <c r="F25" s="29" t="s">
        <v>254</v>
      </c>
      <c r="G25" s="29" t="s">
        <v>294</v>
      </c>
      <c r="H25" s="29" t="s">
        <v>295</v>
      </c>
      <c r="I25" s="29" t="s">
        <v>296</v>
      </c>
      <c r="J25" s="30" t="s">
        <v>297</v>
      </c>
      <c r="K25" s="30" t="s">
        <v>256</v>
      </c>
      <c r="L25" s="30" t="s">
        <v>298</v>
      </c>
      <c r="M25" s="30" t="s">
        <v>299</v>
      </c>
    </row>
    <row r="26" customFormat="false" ht="15" hidden="false" customHeight="false" outlineLevel="0" collapsed="false">
      <c r="A26" s="45" t="s">
        <v>300</v>
      </c>
      <c r="J26" s="47" t="n">
        <f aca="false">SUMIFS(J27:J126,$C$27:$C$126,설정!$B$5)</f>
        <v>155513477</v>
      </c>
      <c r="K26" s="47" t="n">
        <f aca="false">SUMIFS(K27:K126,$C$27:$C$126,설정!$B$5)</f>
        <v>172398900</v>
      </c>
      <c r="L26" s="47" t="n">
        <f aca="false">SUMIFS(L27:L126,$C$27:$C$126,설정!$B$5)</f>
        <v>16885423</v>
      </c>
      <c r="M26" s="46" t="n">
        <f aca="false">IF(J26=0,0,L26/J26)</f>
        <v>0.108578518889395</v>
      </c>
    </row>
    <row r="27" customFormat="false" ht="15" hidden="false" customHeight="false" outlineLevel="0" collapsed="false">
      <c r="A27" s="37" t="s">
        <v>183</v>
      </c>
      <c r="B27" s="33" t="str">
        <f aca="false">IF(A27="","",IFERROR(INDEX(계좌!$B$2:$B$41,MATCH(A27,계좌!$A$2:$A$41,0)),"?"))</f>
        <v>주식계좌</v>
      </c>
      <c r="C27" s="33" t="str">
        <f aca="false">IF(A27="","",IFERROR(INDEX(계좌!$E$2:$E$41,MATCH(A27,계좌!$A$2:$A$41,0)),"?"))</f>
        <v>본인</v>
      </c>
      <c r="D27" s="34" t="s">
        <v>301</v>
      </c>
      <c r="E27" s="37" t="s">
        <v>302</v>
      </c>
      <c r="F27" s="34" t="s">
        <v>262</v>
      </c>
      <c r="G27" s="35" t="n">
        <v>185</v>
      </c>
      <c r="H27" s="35" t="n">
        <v>66204</v>
      </c>
      <c r="I27" s="35" t="n">
        <v>71500</v>
      </c>
      <c r="J27" s="19" t="n">
        <f aca="false">IF(A27="","",G27*H27)</f>
        <v>12247740</v>
      </c>
      <c r="K27" s="19" t="n">
        <f aca="false">IF(A27="","",G27*I27)</f>
        <v>13227500</v>
      </c>
      <c r="L27" s="19" t="n">
        <f aca="false">IF(A27="","",K27-J27)</f>
        <v>979760</v>
      </c>
      <c r="M27" s="43" t="n">
        <f aca="false">IF(OR(A27="",N(J27)=0),"",L27/J27)</f>
        <v>0.0799951664551991</v>
      </c>
    </row>
    <row r="28" customFormat="false" ht="15" hidden="false" customHeight="false" outlineLevel="0" collapsed="false">
      <c r="A28" s="37" t="s">
        <v>183</v>
      </c>
      <c r="B28" s="33" t="str">
        <f aca="false">IF(A28="","",IFERROR(INDEX(계좌!$B$2:$B$41,MATCH(A28,계좌!$A$2:$A$41,0)),"?"))</f>
        <v>주식계좌</v>
      </c>
      <c r="C28" s="33" t="str">
        <f aca="false">IF(A28="","",IFERROR(INDEX(계좌!$E$2:$E$41,MATCH(A28,계좌!$A$2:$A$41,0)),"?"))</f>
        <v>본인</v>
      </c>
      <c r="D28" s="37" t="s">
        <v>303</v>
      </c>
      <c r="E28" s="37" t="s">
        <v>304</v>
      </c>
      <c r="F28" s="34" t="s">
        <v>262</v>
      </c>
      <c r="G28" s="35" t="n">
        <v>226</v>
      </c>
      <c r="H28" s="35" t="n">
        <v>37048</v>
      </c>
      <c r="I28" s="35" t="n">
        <v>38900</v>
      </c>
      <c r="J28" s="19" t="n">
        <f aca="false">IF(A28="","",G28*H28)</f>
        <v>8372848</v>
      </c>
      <c r="K28" s="19" t="n">
        <f aca="false">IF(A28="","",G28*I28)</f>
        <v>8791400</v>
      </c>
      <c r="L28" s="19" t="n">
        <f aca="false">IF(A28="","",K28-J28)</f>
        <v>418552</v>
      </c>
      <c r="M28" s="43" t="n">
        <f aca="false">IF(OR(A28="",N(J28)=0),"",L28/J28)</f>
        <v>0.049989203195854</v>
      </c>
    </row>
    <row r="29" customFormat="false" ht="15" hidden="false" customHeight="false" outlineLevel="0" collapsed="false">
      <c r="A29" s="37" t="s">
        <v>183</v>
      </c>
      <c r="B29" s="33" t="str">
        <f aca="false">IF(A29="","",IFERROR(INDEX(계좌!$B$2:$B$41,MATCH(A29,계좌!$A$2:$A$41,0)),"?"))</f>
        <v>주식계좌</v>
      </c>
      <c r="C29" s="33" t="str">
        <f aca="false">IF(A29="","",IFERROR(INDEX(계좌!$E$2:$E$41,MATCH(A29,계좌!$A$2:$A$41,0)),"?"))</f>
        <v>본인</v>
      </c>
      <c r="D29" s="37" t="s">
        <v>305</v>
      </c>
      <c r="E29" s="37" t="s">
        <v>306</v>
      </c>
      <c r="F29" s="34" t="s">
        <v>263</v>
      </c>
      <c r="G29" s="35" t="n">
        <v>1034</v>
      </c>
      <c r="H29" s="35" t="n">
        <v>17459</v>
      </c>
      <c r="I29" s="35" t="n">
        <v>21300</v>
      </c>
      <c r="J29" s="19" t="n">
        <f aca="false">IF(A29="","",G29*H29)</f>
        <v>18052606</v>
      </c>
      <c r="K29" s="19" t="n">
        <f aca="false">IF(A29="","",G29*I29)</f>
        <v>22024200</v>
      </c>
      <c r="L29" s="19" t="n">
        <f aca="false">IF(A29="","",K29-J29)</f>
        <v>3971594</v>
      </c>
      <c r="M29" s="43" t="n">
        <f aca="false">IF(OR(A29="",N(J29)=0),"",L29/J29)</f>
        <v>0.220001145540982</v>
      </c>
    </row>
    <row r="30" customFormat="false" ht="15" hidden="false" customHeight="false" outlineLevel="0" collapsed="false">
      <c r="A30" s="37" t="s">
        <v>184</v>
      </c>
      <c r="B30" s="33" t="str">
        <f aca="false">IF(A30="","",IFERROR(INDEX(계좌!$B$2:$B$41,MATCH(A30,계좌!$A$2:$A$41,0)),"?"))</f>
        <v>ISA(중개형)</v>
      </c>
      <c r="C30" s="33" t="str">
        <f aca="false">IF(A30="","",IFERROR(INDEX(계좌!$E$2:$E$41,MATCH(A30,계좌!$A$2:$A$41,0)),"?"))</f>
        <v>배우자</v>
      </c>
      <c r="D30" s="37" t="s">
        <v>307</v>
      </c>
      <c r="E30" s="37" t="s">
        <v>308</v>
      </c>
      <c r="F30" s="34" t="s">
        <v>263</v>
      </c>
      <c r="G30" s="35" t="n">
        <v>121</v>
      </c>
      <c r="H30" s="35" t="n">
        <v>111864</v>
      </c>
      <c r="I30" s="35" t="n">
        <v>132000</v>
      </c>
      <c r="J30" s="19" t="n">
        <f aca="false">IF(A30="","",G30*H30)</f>
        <v>13535544</v>
      </c>
      <c r="K30" s="19" t="n">
        <f aca="false">IF(A30="","",G30*I30)</f>
        <v>15972000</v>
      </c>
      <c r="L30" s="19" t="n">
        <f aca="false">IF(A30="","",K30-J30)</f>
        <v>2436456</v>
      </c>
      <c r="M30" s="43" t="n">
        <f aca="false">IF(OR(A30="",N(J30)=0),"",L30/J30)</f>
        <v>0.180004290924694</v>
      </c>
    </row>
    <row r="31" customFormat="false" ht="15" hidden="false" customHeight="false" outlineLevel="0" collapsed="false">
      <c r="A31" s="37" t="s">
        <v>184</v>
      </c>
      <c r="B31" s="33" t="str">
        <f aca="false">IF(A31="","",IFERROR(INDEX(계좌!$B$2:$B$41,MATCH(A31,계좌!$A$2:$A$41,0)),"?"))</f>
        <v>ISA(중개형)</v>
      </c>
      <c r="C31" s="33" t="str">
        <f aca="false">IF(A31="","",IFERROR(INDEX(계좌!$E$2:$E$41,MATCH(A31,계좌!$A$2:$A$41,0)),"?"))</f>
        <v>배우자</v>
      </c>
      <c r="D31" s="37" t="s">
        <v>309</v>
      </c>
      <c r="E31" s="37" t="s">
        <v>310</v>
      </c>
      <c r="F31" s="34" t="s">
        <v>264</v>
      </c>
      <c r="G31" s="35" t="n">
        <v>96</v>
      </c>
      <c r="H31" s="35" t="n">
        <v>109901</v>
      </c>
      <c r="I31" s="35" t="n">
        <v>111000</v>
      </c>
      <c r="J31" s="19" t="n">
        <f aca="false">IF(A31="","",G31*H31)</f>
        <v>10550496</v>
      </c>
      <c r="K31" s="19" t="n">
        <f aca="false">IF(A31="","",G31*I31)</f>
        <v>10656000</v>
      </c>
      <c r="L31" s="19" t="n">
        <f aca="false">IF(A31="","",K31-J31)</f>
        <v>105504</v>
      </c>
      <c r="M31" s="43" t="n">
        <f aca="false">IF(OR(A31="",N(J31)=0),"",L31/J31)</f>
        <v>0.00999990900901721</v>
      </c>
    </row>
    <row r="32" customFormat="false" ht="15" hidden="false" customHeight="false" outlineLevel="0" collapsed="false">
      <c r="A32" s="37" t="s">
        <v>185</v>
      </c>
      <c r="B32" s="33" t="str">
        <f aca="false">IF(A32="","",IFERROR(INDEX(계좌!$B$2:$B$41,MATCH(A32,계좌!$A$2:$A$41,0)),"?"))</f>
        <v>해외주식계좌</v>
      </c>
      <c r="C32" s="33" t="str">
        <f aca="false">IF(A32="","",IFERROR(INDEX(계좌!$E$2:$E$41,MATCH(A32,계좌!$A$2:$A$41,0)),"?"))</f>
        <v>공동</v>
      </c>
      <c r="D32" s="37" t="s">
        <v>311</v>
      </c>
      <c r="E32" s="37" t="s">
        <v>312</v>
      </c>
      <c r="F32" s="34" t="s">
        <v>263</v>
      </c>
      <c r="G32" s="35" t="n">
        <v>1459</v>
      </c>
      <c r="H32" s="35" t="n">
        <v>10727</v>
      </c>
      <c r="I32" s="35" t="n">
        <v>11800</v>
      </c>
      <c r="J32" s="19" t="n">
        <f aca="false">IF(A32="","",G32*H32)</f>
        <v>15650693</v>
      </c>
      <c r="K32" s="19" t="n">
        <f aca="false">IF(A32="","",G32*I32)</f>
        <v>17216200</v>
      </c>
      <c r="L32" s="19" t="n">
        <f aca="false">IF(A32="","",K32-J32)</f>
        <v>1565507</v>
      </c>
      <c r="M32" s="43" t="n">
        <f aca="false">IF(OR(A32="",N(J32)=0),"",L32/J32)</f>
        <v>0.100027966812716</v>
      </c>
    </row>
    <row r="33" customFormat="false" ht="15" hidden="false" customHeight="false" outlineLevel="0" collapsed="false">
      <c r="A33" s="37" t="s">
        <v>186</v>
      </c>
      <c r="B33" s="33" t="str">
        <f aca="false">IF(A33="","",IFERROR(INDEX(계좌!$B$2:$B$41,MATCH(A33,계좌!$A$2:$A$41,0)),"?"))</f>
        <v>연금저축펀드</v>
      </c>
      <c r="C33" s="33" t="str">
        <f aca="false">IF(A33="","",IFERROR(INDEX(계좌!$E$2:$E$41,MATCH(A33,계좌!$A$2:$A$41,0)),"?"))</f>
        <v>본인</v>
      </c>
      <c r="D33" s="37" t="s">
        <v>305</v>
      </c>
      <c r="E33" s="37" t="s">
        <v>306</v>
      </c>
      <c r="F33" s="34" t="s">
        <v>263</v>
      </c>
      <c r="G33" s="35" t="n">
        <v>729</v>
      </c>
      <c r="H33" s="35" t="n">
        <v>17040</v>
      </c>
      <c r="I33" s="35" t="n">
        <v>21300</v>
      </c>
      <c r="J33" s="19" t="n">
        <f aca="false">IF(A33="","",G33*H33)</f>
        <v>12422160</v>
      </c>
      <c r="K33" s="19" t="n">
        <f aca="false">IF(A33="","",G33*I33)</f>
        <v>15527700</v>
      </c>
      <c r="L33" s="19" t="n">
        <f aca="false">IF(A33="","",K33-J33)</f>
        <v>3105540</v>
      </c>
      <c r="M33" s="43" t="n">
        <f aca="false">IF(OR(A33="",N(J33)=0),"",L33/J33)</f>
        <v>0.25</v>
      </c>
    </row>
    <row r="34" customFormat="false" ht="15" hidden="false" customHeight="false" outlineLevel="0" collapsed="false">
      <c r="A34" s="37" t="s">
        <v>186</v>
      </c>
      <c r="B34" s="33" t="str">
        <f aca="false">IF(A34="","",IFERROR(INDEX(계좌!$B$2:$B$41,MATCH(A34,계좌!$A$2:$A$41,0)),"?"))</f>
        <v>연금저축펀드</v>
      </c>
      <c r="C34" s="33" t="str">
        <f aca="false">IF(A34="","",IFERROR(INDEX(계좌!$E$2:$E$41,MATCH(A34,계좌!$A$2:$A$41,0)),"?"))</f>
        <v>본인</v>
      </c>
      <c r="D34" s="37" t="s">
        <v>313</v>
      </c>
      <c r="E34" s="37" t="s">
        <v>314</v>
      </c>
      <c r="F34" s="34" t="s">
        <v>265</v>
      </c>
      <c r="G34" s="35" t="n">
        <v>198</v>
      </c>
      <c r="H34" s="35" t="n">
        <v>15077</v>
      </c>
      <c r="I34" s="35" t="n">
        <v>19600</v>
      </c>
      <c r="J34" s="19" t="n">
        <f aca="false">IF(A34="","",G34*H34)</f>
        <v>2985246</v>
      </c>
      <c r="K34" s="19" t="n">
        <f aca="false">IF(A34="","",G34*I34)</f>
        <v>3880800</v>
      </c>
      <c r="L34" s="19" t="n">
        <f aca="false">IF(A34="","",K34-J34)</f>
        <v>895554</v>
      </c>
      <c r="M34" s="43" t="n">
        <f aca="false">IF(OR(A34="",N(J34)=0),"",L34/J34)</f>
        <v>0.299993367380779</v>
      </c>
    </row>
    <row r="35" customFormat="false" ht="15" hidden="false" customHeight="false" outlineLevel="0" collapsed="false">
      <c r="A35" s="37" t="s">
        <v>186</v>
      </c>
      <c r="B35" s="33" t="str">
        <f aca="false">IF(A35="","",IFERROR(INDEX(계좌!$B$2:$B$41,MATCH(A35,계좌!$A$2:$A$41,0)),"?"))</f>
        <v>연금저축펀드</v>
      </c>
      <c r="C35" s="33" t="str">
        <f aca="false">IF(A35="","",IFERROR(INDEX(계좌!$E$2:$E$41,MATCH(A35,계좌!$A$2:$A$41,0)),"?"))</f>
        <v>본인</v>
      </c>
      <c r="D35" s="37" t="s">
        <v>315</v>
      </c>
      <c r="E35" s="37" t="s">
        <v>316</v>
      </c>
      <c r="F35" s="34" t="s">
        <v>264</v>
      </c>
      <c r="G35" s="35" t="n">
        <v>104</v>
      </c>
      <c r="H35" s="35" t="n">
        <v>61386</v>
      </c>
      <c r="I35" s="35" t="n">
        <v>62000</v>
      </c>
      <c r="J35" s="19" t="n">
        <f aca="false">IF(A35="","",G35*H35)</f>
        <v>6384144</v>
      </c>
      <c r="K35" s="19" t="n">
        <f aca="false">IF(A35="","",G35*I35)</f>
        <v>6448000</v>
      </c>
      <c r="L35" s="19" t="n">
        <f aca="false">IF(A35="","",K35-J35)</f>
        <v>63856</v>
      </c>
      <c r="M35" s="43" t="n">
        <f aca="false">IF(OR(A35="",N(J35)=0),"",L35/J35)</f>
        <v>0.0100022806503111</v>
      </c>
    </row>
    <row r="36" customFormat="false" ht="15" hidden="false" customHeight="false" outlineLevel="0" collapsed="false">
      <c r="A36" s="37" t="s">
        <v>187</v>
      </c>
      <c r="B36" s="33" t="str">
        <f aca="false">IF(A36="","",IFERROR(INDEX(계좌!$B$2:$B$41,MATCH(A36,계좌!$A$2:$A$41,0)),"?"))</f>
        <v>IRP</v>
      </c>
      <c r="C36" s="33" t="str">
        <f aca="false">IF(A36="","",IFERROR(INDEX(계좌!$E$2:$E$41,MATCH(A36,계좌!$A$2:$A$41,0)),"?"))</f>
        <v>배우자</v>
      </c>
      <c r="D36" s="37" t="s">
        <v>305</v>
      </c>
      <c r="E36" s="37" t="s">
        <v>306</v>
      </c>
      <c r="F36" s="34" t="s">
        <v>263</v>
      </c>
      <c r="G36" s="35" t="n">
        <v>344</v>
      </c>
      <c r="H36" s="35" t="n">
        <v>17750</v>
      </c>
      <c r="I36" s="35" t="n">
        <v>21300</v>
      </c>
      <c r="J36" s="19" t="n">
        <f aca="false">IF(A36="","",G36*H36)</f>
        <v>6106000</v>
      </c>
      <c r="K36" s="19" t="n">
        <f aca="false">IF(A36="","",G36*I36)</f>
        <v>7327200</v>
      </c>
      <c r="L36" s="19" t="n">
        <f aca="false">IF(A36="","",K36-J36)</f>
        <v>1221200</v>
      </c>
      <c r="M36" s="43" t="n">
        <f aca="false">IF(OR(A36="",N(J36)=0),"",L36/J36)</f>
        <v>0.2</v>
      </c>
    </row>
    <row r="37" customFormat="false" ht="15" hidden="false" customHeight="false" outlineLevel="0" collapsed="false">
      <c r="A37" s="37" t="s">
        <v>187</v>
      </c>
      <c r="B37" s="33" t="str">
        <f aca="false">IF(A37="","",IFERROR(INDEX(계좌!$B$2:$B$41,MATCH(A37,계좌!$A$2:$A$41,0)),"?"))</f>
        <v>IRP</v>
      </c>
      <c r="C37" s="33" t="str">
        <f aca="false">IF(A37="","",IFERROR(INDEX(계좌!$E$2:$E$41,MATCH(A37,계좌!$A$2:$A$41,0)),"?"))</f>
        <v>배우자</v>
      </c>
      <c r="D37" s="34" t="s">
        <v>317</v>
      </c>
      <c r="E37" s="37"/>
      <c r="F37" s="34" t="s">
        <v>208</v>
      </c>
      <c r="G37" s="35" t="n">
        <v>7333000</v>
      </c>
      <c r="H37" s="35" t="n">
        <v>1</v>
      </c>
      <c r="I37" s="35" t="n">
        <v>1</v>
      </c>
      <c r="J37" s="19" t="n">
        <f aca="false">IF(A37="","",G37*H37)</f>
        <v>7333000</v>
      </c>
      <c r="K37" s="19" t="n">
        <f aca="false">IF(A37="","",G37*I37)</f>
        <v>7333000</v>
      </c>
      <c r="L37" s="19" t="n">
        <f aca="false">IF(A37="","",K37-J37)</f>
        <v>0</v>
      </c>
      <c r="M37" s="43" t="n">
        <f aca="false">IF(OR(A37="",N(J37)=0),"",L37/J37)</f>
        <v>0</v>
      </c>
    </row>
    <row r="38" customFormat="false" ht="15" hidden="false" customHeight="false" outlineLevel="0" collapsed="false">
      <c r="A38" s="37" t="s">
        <v>188</v>
      </c>
      <c r="B38" s="33" t="str">
        <f aca="false">IF(A38="","",IFERROR(INDEX(계좌!$B$2:$B$41,MATCH(A38,계좌!$A$2:$A$41,0)),"?"))</f>
        <v>퇴직연금(DC)</v>
      </c>
      <c r="C38" s="33" t="str">
        <f aca="false">IF(A38="","",IFERROR(INDEX(계좌!$E$2:$E$41,MATCH(A38,계좌!$A$2:$A$41,0)),"?"))</f>
        <v>본인</v>
      </c>
      <c r="D38" s="37" t="s">
        <v>318</v>
      </c>
      <c r="E38" s="37"/>
      <c r="F38" s="34" t="s">
        <v>263</v>
      </c>
      <c r="G38" s="35" t="n">
        <v>1286</v>
      </c>
      <c r="H38" s="35" t="n">
        <v>13750</v>
      </c>
      <c r="I38" s="35" t="n">
        <v>15400</v>
      </c>
      <c r="J38" s="19" t="n">
        <f aca="false">IF(A38="","",G38*H38)</f>
        <v>17682500</v>
      </c>
      <c r="K38" s="19" t="n">
        <f aca="false">IF(A38="","",G38*I38)</f>
        <v>19804400</v>
      </c>
      <c r="L38" s="19" t="n">
        <f aca="false">IF(A38="","",K38-J38)</f>
        <v>2121900</v>
      </c>
      <c r="M38" s="43" t="n">
        <f aca="false">IF(OR(A38="",N(J38)=0),"",L38/J38)</f>
        <v>0.12</v>
      </c>
    </row>
    <row r="39" customFormat="false" ht="15" hidden="false" customHeight="false" outlineLevel="0" collapsed="false">
      <c r="A39" s="37" t="s">
        <v>188</v>
      </c>
      <c r="B39" s="33" t="str">
        <f aca="false">IF(A39="","",IFERROR(INDEX(계좌!$B$2:$B$41,MATCH(A39,계좌!$A$2:$A$41,0)),"?"))</f>
        <v>퇴직연금(DC)</v>
      </c>
      <c r="C39" s="33" t="str">
        <f aca="false">IF(A39="","",IFERROR(INDEX(계좌!$E$2:$E$41,MATCH(A39,계좌!$A$2:$A$41,0)),"?"))</f>
        <v>본인</v>
      </c>
      <c r="D39" s="37" t="s">
        <v>309</v>
      </c>
      <c r="E39" s="37" t="s">
        <v>310</v>
      </c>
      <c r="F39" s="34" t="s">
        <v>264</v>
      </c>
      <c r="G39" s="35" t="n">
        <v>99</v>
      </c>
      <c r="H39" s="35" t="n">
        <v>111000</v>
      </c>
      <c r="I39" s="35" t="n">
        <v>111000</v>
      </c>
      <c r="J39" s="19" t="n">
        <f aca="false">IF(A39="","",G39*H39)</f>
        <v>10989000</v>
      </c>
      <c r="K39" s="19" t="n">
        <f aca="false">IF(A39="","",G39*I39)</f>
        <v>10989000</v>
      </c>
      <c r="L39" s="19" t="n">
        <f aca="false">IF(A39="","",K39-J39)</f>
        <v>0</v>
      </c>
      <c r="M39" s="43" t="n">
        <f aca="false">IF(OR(A39="",N(J39)=0),"",L39/J39)</f>
        <v>0</v>
      </c>
    </row>
    <row r="40" customFormat="false" ht="15" hidden="false" customHeight="false" outlineLevel="0" collapsed="false">
      <c r="A40" s="37" t="s">
        <v>188</v>
      </c>
      <c r="B40" s="33" t="str">
        <f aca="false">IF(A40="","",IFERROR(INDEX(계좌!$B$2:$B$41,MATCH(A40,계좌!$A$2:$A$41,0)),"?"))</f>
        <v>퇴직연금(DC)</v>
      </c>
      <c r="C40" s="33" t="str">
        <f aca="false">IF(A40="","",IFERROR(INDEX(계좌!$E$2:$E$41,MATCH(A40,계좌!$A$2:$A$41,0)),"?"))</f>
        <v>본인</v>
      </c>
      <c r="D40" s="34" t="s">
        <v>319</v>
      </c>
      <c r="E40" s="37"/>
      <c r="F40" s="34" t="s">
        <v>208</v>
      </c>
      <c r="G40" s="35" t="n">
        <v>13201500</v>
      </c>
      <c r="H40" s="35" t="n">
        <v>1</v>
      </c>
      <c r="I40" s="35" t="n">
        <v>1</v>
      </c>
      <c r="J40" s="19" t="n">
        <f aca="false">IF(A40="","",G40*H40)</f>
        <v>13201500</v>
      </c>
      <c r="K40" s="19" t="n">
        <f aca="false">IF(A40="","",G40*I40)</f>
        <v>13201500</v>
      </c>
      <c r="L40" s="19" t="n">
        <f aca="false">IF(A40="","",K40-J40)</f>
        <v>0</v>
      </c>
      <c r="M40" s="43" t="n">
        <f aca="false">IF(OR(A40="",N(J40)=0),"",L40/J40)</f>
        <v>0</v>
      </c>
    </row>
    <row r="41" customFormat="false" ht="15" hidden="false" customHeight="false" outlineLevel="0" collapsed="false">
      <c r="A41" s="37"/>
      <c r="B41" s="33" t="str">
        <f aca="false">IF(A41="","",IFERROR(INDEX(계좌!$B$2:$B$41,MATCH(A41,계좌!$A$2:$A$41,0)),"?"))</f>
        <v/>
      </c>
      <c r="C41" s="33" t="str">
        <f aca="false">IF(A41="","",IFERROR(INDEX(계좌!$E$2:$E$41,MATCH(A41,계좌!$A$2:$A$41,0)),"?"))</f>
        <v/>
      </c>
      <c r="D41" s="37"/>
      <c r="E41" s="37"/>
      <c r="F41" s="34"/>
      <c r="G41" s="35"/>
      <c r="H41" s="35"/>
      <c r="I41" s="35"/>
      <c r="J41" s="19" t="str">
        <f aca="false">IF(A41="","",G41*H41)</f>
        <v/>
      </c>
      <c r="K41" s="19" t="str">
        <f aca="false">IF(A41="","",G41*I41)</f>
        <v/>
      </c>
      <c r="L41" s="19" t="str">
        <f aca="false">IF(A41="","",K41-J41)</f>
        <v/>
      </c>
      <c r="M41" s="43" t="str">
        <f aca="false">IF(OR(A41="",N(J41)=0),"",L41/J41)</f>
        <v/>
      </c>
    </row>
    <row r="42" customFormat="false" ht="15" hidden="false" customHeight="false" outlineLevel="0" collapsed="false">
      <c r="A42" s="37"/>
      <c r="B42" s="33" t="str">
        <f aca="false">IF(A42="","",IFERROR(INDEX(계좌!$B$2:$B$41,MATCH(A42,계좌!$A$2:$A$41,0)),"?"))</f>
        <v/>
      </c>
      <c r="C42" s="33" t="str">
        <f aca="false">IF(A42="","",IFERROR(INDEX(계좌!$E$2:$E$41,MATCH(A42,계좌!$A$2:$A$41,0)),"?"))</f>
        <v/>
      </c>
      <c r="D42" s="37"/>
      <c r="E42" s="37"/>
      <c r="F42" s="34"/>
      <c r="G42" s="35"/>
      <c r="H42" s="35"/>
      <c r="I42" s="35"/>
      <c r="J42" s="19" t="str">
        <f aca="false">IF(A42="","",G42*H42)</f>
        <v/>
      </c>
      <c r="K42" s="19" t="str">
        <f aca="false">IF(A42="","",G42*I42)</f>
        <v/>
      </c>
      <c r="L42" s="19" t="str">
        <f aca="false">IF(A42="","",K42-J42)</f>
        <v/>
      </c>
      <c r="M42" s="43" t="str">
        <f aca="false">IF(OR(A42="",N(J42)=0),"",L42/J42)</f>
        <v/>
      </c>
    </row>
    <row r="43" customFormat="false" ht="15" hidden="false" customHeight="false" outlineLevel="0" collapsed="false">
      <c r="A43" s="37"/>
      <c r="B43" s="33" t="str">
        <f aca="false">IF(A43="","",IFERROR(INDEX(계좌!$B$2:$B$41,MATCH(A43,계좌!$A$2:$A$41,0)),"?"))</f>
        <v/>
      </c>
      <c r="C43" s="33" t="str">
        <f aca="false">IF(A43="","",IFERROR(INDEX(계좌!$E$2:$E$41,MATCH(A43,계좌!$A$2:$A$41,0)),"?"))</f>
        <v/>
      </c>
      <c r="D43" s="37"/>
      <c r="E43" s="37"/>
      <c r="F43" s="34"/>
      <c r="G43" s="35"/>
      <c r="H43" s="35"/>
      <c r="I43" s="35"/>
      <c r="J43" s="19" t="str">
        <f aca="false">IF(A43="","",G43*H43)</f>
        <v/>
      </c>
      <c r="K43" s="19" t="str">
        <f aca="false">IF(A43="","",G43*I43)</f>
        <v/>
      </c>
      <c r="L43" s="19" t="str">
        <f aca="false">IF(A43="","",K43-J43)</f>
        <v/>
      </c>
      <c r="M43" s="43" t="str">
        <f aca="false">IF(OR(A43="",N(J43)=0),"",L43/J43)</f>
        <v/>
      </c>
    </row>
    <row r="44" customFormat="false" ht="15" hidden="false" customHeight="false" outlineLevel="0" collapsed="false">
      <c r="A44" s="37"/>
      <c r="B44" s="33" t="str">
        <f aca="false">IF(A44="","",IFERROR(INDEX(계좌!$B$2:$B$41,MATCH(A44,계좌!$A$2:$A$41,0)),"?"))</f>
        <v/>
      </c>
      <c r="C44" s="33" t="str">
        <f aca="false">IF(A44="","",IFERROR(INDEX(계좌!$E$2:$E$41,MATCH(A44,계좌!$A$2:$A$41,0)),"?"))</f>
        <v/>
      </c>
      <c r="D44" s="37"/>
      <c r="E44" s="37"/>
      <c r="F44" s="34"/>
      <c r="G44" s="35"/>
      <c r="H44" s="35"/>
      <c r="I44" s="35"/>
      <c r="J44" s="19" t="str">
        <f aca="false">IF(A44="","",G44*H44)</f>
        <v/>
      </c>
      <c r="K44" s="19" t="str">
        <f aca="false">IF(A44="","",G44*I44)</f>
        <v/>
      </c>
      <c r="L44" s="19" t="str">
        <f aca="false">IF(A44="","",K44-J44)</f>
        <v/>
      </c>
      <c r="M44" s="43" t="str">
        <f aca="false">IF(OR(A44="",N(J44)=0),"",L44/J44)</f>
        <v/>
      </c>
    </row>
    <row r="45" customFormat="false" ht="15" hidden="false" customHeight="false" outlineLevel="0" collapsed="false">
      <c r="A45" s="37"/>
      <c r="B45" s="33" t="str">
        <f aca="false">IF(A45="","",IFERROR(INDEX(계좌!$B$2:$B$41,MATCH(A45,계좌!$A$2:$A$41,0)),"?"))</f>
        <v/>
      </c>
      <c r="C45" s="33" t="str">
        <f aca="false">IF(A45="","",IFERROR(INDEX(계좌!$E$2:$E$41,MATCH(A45,계좌!$A$2:$A$41,0)),"?"))</f>
        <v/>
      </c>
      <c r="D45" s="37"/>
      <c r="E45" s="37"/>
      <c r="F45" s="34"/>
      <c r="G45" s="35"/>
      <c r="H45" s="35"/>
      <c r="I45" s="35"/>
      <c r="J45" s="19" t="str">
        <f aca="false">IF(A45="","",G45*H45)</f>
        <v/>
      </c>
      <c r="K45" s="19" t="str">
        <f aca="false">IF(A45="","",G45*I45)</f>
        <v/>
      </c>
      <c r="L45" s="19" t="str">
        <f aca="false">IF(A45="","",K45-J45)</f>
        <v/>
      </c>
      <c r="M45" s="43" t="str">
        <f aca="false">IF(OR(A45="",N(J45)=0),"",L45/J45)</f>
        <v/>
      </c>
    </row>
    <row r="46" customFormat="false" ht="15" hidden="false" customHeight="false" outlineLevel="0" collapsed="false">
      <c r="A46" s="37"/>
      <c r="B46" s="33" t="str">
        <f aca="false">IF(A46="","",IFERROR(INDEX(계좌!$B$2:$B$41,MATCH(A46,계좌!$A$2:$A$41,0)),"?"))</f>
        <v/>
      </c>
      <c r="C46" s="33" t="str">
        <f aca="false">IF(A46="","",IFERROR(INDEX(계좌!$E$2:$E$41,MATCH(A46,계좌!$A$2:$A$41,0)),"?"))</f>
        <v/>
      </c>
      <c r="D46" s="37"/>
      <c r="E46" s="37"/>
      <c r="F46" s="34"/>
      <c r="G46" s="35"/>
      <c r="H46" s="35"/>
      <c r="I46" s="35"/>
      <c r="J46" s="19" t="str">
        <f aca="false">IF(A46="","",G46*H46)</f>
        <v/>
      </c>
      <c r="K46" s="19" t="str">
        <f aca="false">IF(A46="","",G46*I46)</f>
        <v/>
      </c>
      <c r="L46" s="19" t="str">
        <f aca="false">IF(A46="","",K46-J46)</f>
        <v/>
      </c>
      <c r="M46" s="43" t="str">
        <f aca="false">IF(OR(A46="",N(J46)=0),"",L46/J46)</f>
        <v/>
      </c>
    </row>
    <row r="47" customFormat="false" ht="15" hidden="false" customHeight="false" outlineLevel="0" collapsed="false">
      <c r="A47" s="37"/>
      <c r="B47" s="33" t="str">
        <f aca="false">IF(A47="","",IFERROR(INDEX(계좌!$B$2:$B$41,MATCH(A47,계좌!$A$2:$A$41,0)),"?"))</f>
        <v/>
      </c>
      <c r="C47" s="33" t="str">
        <f aca="false">IF(A47="","",IFERROR(INDEX(계좌!$E$2:$E$41,MATCH(A47,계좌!$A$2:$A$41,0)),"?"))</f>
        <v/>
      </c>
      <c r="D47" s="37"/>
      <c r="E47" s="37"/>
      <c r="F47" s="34"/>
      <c r="G47" s="35"/>
      <c r="H47" s="35"/>
      <c r="I47" s="35"/>
      <c r="J47" s="19" t="str">
        <f aca="false">IF(A47="","",G47*H47)</f>
        <v/>
      </c>
      <c r="K47" s="19" t="str">
        <f aca="false">IF(A47="","",G47*I47)</f>
        <v/>
      </c>
      <c r="L47" s="19" t="str">
        <f aca="false">IF(A47="","",K47-J47)</f>
        <v/>
      </c>
      <c r="M47" s="43" t="str">
        <f aca="false">IF(OR(A47="",N(J47)=0),"",L47/J47)</f>
        <v/>
      </c>
    </row>
    <row r="48" customFormat="false" ht="15" hidden="false" customHeight="false" outlineLevel="0" collapsed="false">
      <c r="A48" s="37"/>
      <c r="B48" s="33" t="str">
        <f aca="false">IF(A48="","",IFERROR(INDEX(계좌!$B$2:$B$41,MATCH(A48,계좌!$A$2:$A$41,0)),"?"))</f>
        <v/>
      </c>
      <c r="C48" s="33" t="str">
        <f aca="false">IF(A48="","",IFERROR(INDEX(계좌!$E$2:$E$41,MATCH(A48,계좌!$A$2:$A$41,0)),"?"))</f>
        <v/>
      </c>
      <c r="D48" s="37"/>
      <c r="E48" s="37"/>
      <c r="F48" s="34"/>
      <c r="G48" s="35"/>
      <c r="H48" s="35"/>
      <c r="I48" s="35"/>
      <c r="J48" s="19" t="str">
        <f aca="false">IF(A48="","",G48*H48)</f>
        <v/>
      </c>
      <c r="K48" s="19" t="str">
        <f aca="false">IF(A48="","",G48*I48)</f>
        <v/>
      </c>
      <c r="L48" s="19" t="str">
        <f aca="false">IF(A48="","",K48-J48)</f>
        <v/>
      </c>
      <c r="M48" s="43" t="str">
        <f aca="false">IF(OR(A48="",N(J48)=0),"",L48/J48)</f>
        <v/>
      </c>
    </row>
    <row r="49" customFormat="false" ht="15" hidden="false" customHeight="false" outlineLevel="0" collapsed="false">
      <c r="A49" s="37"/>
      <c r="B49" s="33" t="str">
        <f aca="false">IF(A49="","",IFERROR(INDEX(계좌!$B$2:$B$41,MATCH(A49,계좌!$A$2:$A$41,0)),"?"))</f>
        <v/>
      </c>
      <c r="C49" s="33" t="str">
        <f aca="false">IF(A49="","",IFERROR(INDEX(계좌!$E$2:$E$41,MATCH(A49,계좌!$A$2:$A$41,0)),"?"))</f>
        <v/>
      </c>
      <c r="D49" s="37"/>
      <c r="E49" s="37"/>
      <c r="F49" s="34"/>
      <c r="G49" s="35"/>
      <c r="H49" s="35"/>
      <c r="I49" s="35"/>
      <c r="J49" s="19" t="str">
        <f aca="false">IF(A49="","",G49*H49)</f>
        <v/>
      </c>
      <c r="K49" s="19" t="str">
        <f aca="false">IF(A49="","",G49*I49)</f>
        <v/>
      </c>
      <c r="L49" s="19" t="str">
        <f aca="false">IF(A49="","",K49-J49)</f>
        <v/>
      </c>
      <c r="M49" s="43" t="str">
        <f aca="false">IF(OR(A49="",N(J49)=0),"",L49/J49)</f>
        <v/>
      </c>
    </row>
    <row r="50" customFormat="false" ht="15" hidden="false" customHeight="false" outlineLevel="0" collapsed="false">
      <c r="A50" s="37"/>
      <c r="B50" s="33" t="str">
        <f aca="false">IF(A50="","",IFERROR(INDEX(계좌!$B$2:$B$41,MATCH(A50,계좌!$A$2:$A$41,0)),"?"))</f>
        <v/>
      </c>
      <c r="C50" s="33" t="str">
        <f aca="false">IF(A50="","",IFERROR(INDEX(계좌!$E$2:$E$41,MATCH(A50,계좌!$A$2:$A$41,0)),"?"))</f>
        <v/>
      </c>
      <c r="D50" s="37"/>
      <c r="E50" s="37"/>
      <c r="F50" s="34"/>
      <c r="G50" s="35"/>
      <c r="H50" s="35"/>
      <c r="I50" s="35"/>
      <c r="J50" s="19" t="str">
        <f aca="false">IF(A50="","",G50*H50)</f>
        <v/>
      </c>
      <c r="K50" s="19" t="str">
        <f aca="false">IF(A50="","",G50*I50)</f>
        <v/>
      </c>
      <c r="L50" s="19" t="str">
        <f aca="false">IF(A50="","",K50-J50)</f>
        <v/>
      </c>
      <c r="M50" s="43" t="str">
        <f aca="false">IF(OR(A50="",N(J50)=0),"",L50/J50)</f>
        <v/>
      </c>
    </row>
    <row r="51" customFormat="false" ht="15" hidden="false" customHeight="false" outlineLevel="0" collapsed="false">
      <c r="A51" s="37"/>
      <c r="B51" s="33" t="str">
        <f aca="false">IF(A51="","",IFERROR(INDEX(계좌!$B$2:$B$41,MATCH(A51,계좌!$A$2:$A$41,0)),"?"))</f>
        <v/>
      </c>
      <c r="C51" s="33" t="str">
        <f aca="false">IF(A51="","",IFERROR(INDEX(계좌!$E$2:$E$41,MATCH(A51,계좌!$A$2:$A$41,0)),"?"))</f>
        <v/>
      </c>
      <c r="D51" s="37"/>
      <c r="E51" s="37"/>
      <c r="F51" s="34"/>
      <c r="G51" s="35"/>
      <c r="H51" s="35"/>
      <c r="I51" s="35"/>
      <c r="J51" s="19" t="str">
        <f aca="false">IF(A51="","",G51*H51)</f>
        <v/>
      </c>
      <c r="K51" s="19" t="str">
        <f aca="false">IF(A51="","",G51*I51)</f>
        <v/>
      </c>
      <c r="L51" s="19" t="str">
        <f aca="false">IF(A51="","",K51-J51)</f>
        <v/>
      </c>
      <c r="M51" s="43" t="str">
        <f aca="false">IF(OR(A51="",N(J51)=0),"",L51/J51)</f>
        <v/>
      </c>
    </row>
    <row r="52" customFormat="false" ht="15" hidden="false" customHeight="false" outlineLevel="0" collapsed="false">
      <c r="A52" s="37"/>
      <c r="B52" s="33" t="str">
        <f aca="false">IF(A52="","",IFERROR(INDEX(계좌!$B$2:$B$41,MATCH(A52,계좌!$A$2:$A$41,0)),"?"))</f>
        <v/>
      </c>
      <c r="C52" s="33" t="str">
        <f aca="false">IF(A52="","",IFERROR(INDEX(계좌!$E$2:$E$41,MATCH(A52,계좌!$A$2:$A$41,0)),"?"))</f>
        <v/>
      </c>
      <c r="D52" s="37"/>
      <c r="E52" s="37"/>
      <c r="F52" s="34"/>
      <c r="G52" s="35"/>
      <c r="H52" s="35"/>
      <c r="I52" s="35"/>
      <c r="J52" s="19" t="str">
        <f aca="false">IF(A52="","",G52*H52)</f>
        <v/>
      </c>
      <c r="K52" s="19" t="str">
        <f aca="false">IF(A52="","",G52*I52)</f>
        <v/>
      </c>
      <c r="L52" s="19" t="str">
        <f aca="false">IF(A52="","",K52-J52)</f>
        <v/>
      </c>
      <c r="M52" s="43" t="str">
        <f aca="false">IF(OR(A52="",N(J52)=0),"",L52/J52)</f>
        <v/>
      </c>
    </row>
    <row r="53" customFormat="false" ht="15" hidden="false" customHeight="false" outlineLevel="0" collapsed="false">
      <c r="A53" s="37"/>
      <c r="B53" s="33" t="str">
        <f aca="false">IF(A53="","",IFERROR(INDEX(계좌!$B$2:$B$41,MATCH(A53,계좌!$A$2:$A$41,0)),"?"))</f>
        <v/>
      </c>
      <c r="C53" s="33" t="str">
        <f aca="false">IF(A53="","",IFERROR(INDEX(계좌!$E$2:$E$41,MATCH(A53,계좌!$A$2:$A$41,0)),"?"))</f>
        <v/>
      </c>
      <c r="D53" s="37"/>
      <c r="E53" s="37"/>
      <c r="F53" s="34"/>
      <c r="G53" s="35"/>
      <c r="H53" s="35"/>
      <c r="I53" s="35"/>
      <c r="J53" s="19" t="str">
        <f aca="false">IF(A53="","",G53*H53)</f>
        <v/>
      </c>
      <c r="K53" s="19" t="str">
        <f aca="false">IF(A53="","",G53*I53)</f>
        <v/>
      </c>
      <c r="L53" s="19" t="str">
        <f aca="false">IF(A53="","",K53-J53)</f>
        <v/>
      </c>
      <c r="M53" s="43" t="str">
        <f aca="false">IF(OR(A53="",N(J53)=0),"",L53/J53)</f>
        <v/>
      </c>
    </row>
    <row r="54" customFormat="false" ht="15" hidden="false" customHeight="false" outlineLevel="0" collapsed="false">
      <c r="A54" s="37"/>
      <c r="B54" s="33" t="str">
        <f aca="false">IF(A54="","",IFERROR(INDEX(계좌!$B$2:$B$41,MATCH(A54,계좌!$A$2:$A$41,0)),"?"))</f>
        <v/>
      </c>
      <c r="C54" s="33" t="str">
        <f aca="false">IF(A54="","",IFERROR(INDEX(계좌!$E$2:$E$41,MATCH(A54,계좌!$A$2:$A$41,0)),"?"))</f>
        <v/>
      </c>
      <c r="D54" s="37"/>
      <c r="E54" s="37"/>
      <c r="F54" s="34"/>
      <c r="G54" s="35"/>
      <c r="H54" s="35"/>
      <c r="I54" s="35"/>
      <c r="J54" s="19" t="str">
        <f aca="false">IF(A54="","",G54*H54)</f>
        <v/>
      </c>
      <c r="K54" s="19" t="str">
        <f aca="false">IF(A54="","",G54*I54)</f>
        <v/>
      </c>
      <c r="L54" s="19" t="str">
        <f aca="false">IF(A54="","",K54-J54)</f>
        <v/>
      </c>
      <c r="M54" s="43" t="str">
        <f aca="false">IF(OR(A54="",N(J54)=0),"",L54/J54)</f>
        <v/>
      </c>
    </row>
    <row r="55" customFormat="false" ht="15" hidden="false" customHeight="false" outlineLevel="0" collapsed="false">
      <c r="A55" s="37"/>
      <c r="B55" s="33" t="str">
        <f aca="false">IF(A55="","",IFERROR(INDEX(계좌!$B$2:$B$41,MATCH(A55,계좌!$A$2:$A$41,0)),"?"))</f>
        <v/>
      </c>
      <c r="C55" s="33" t="str">
        <f aca="false">IF(A55="","",IFERROR(INDEX(계좌!$E$2:$E$41,MATCH(A55,계좌!$A$2:$A$41,0)),"?"))</f>
        <v/>
      </c>
      <c r="D55" s="37"/>
      <c r="E55" s="37"/>
      <c r="F55" s="34"/>
      <c r="G55" s="35"/>
      <c r="H55" s="35"/>
      <c r="I55" s="35"/>
      <c r="J55" s="19" t="str">
        <f aca="false">IF(A55="","",G55*H55)</f>
        <v/>
      </c>
      <c r="K55" s="19" t="str">
        <f aca="false">IF(A55="","",G55*I55)</f>
        <v/>
      </c>
      <c r="L55" s="19" t="str">
        <f aca="false">IF(A55="","",K55-J55)</f>
        <v/>
      </c>
      <c r="M55" s="43" t="str">
        <f aca="false">IF(OR(A55="",N(J55)=0),"",L55/J55)</f>
        <v/>
      </c>
    </row>
    <row r="56" customFormat="false" ht="15" hidden="false" customHeight="false" outlineLevel="0" collapsed="false">
      <c r="A56" s="37"/>
      <c r="B56" s="33" t="str">
        <f aca="false">IF(A56="","",IFERROR(INDEX(계좌!$B$2:$B$41,MATCH(A56,계좌!$A$2:$A$41,0)),"?"))</f>
        <v/>
      </c>
      <c r="C56" s="33" t="str">
        <f aca="false">IF(A56="","",IFERROR(INDEX(계좌!$E$2:$E$41,MATCH(A56,계좌!$A$2:$A$41,0)),"?"))</f>
        <v/>
      </c>
      <c r="D56" s="37"/>
      <c r="E56" s="37"/>
      <c r="F56" s="34"/>
      <c r="G56" s="35"/>
      <c r="H56" s="35"/>
      <c r="I56" s="35"/>
      <c r="J56" s="19" t="str">
        <f aca="false">IF(A56="","",G56*H56)</f>
        <v/>
      </c>
      <c r="K56" s="19" t="str">
        <f aca="false">IF(A56="","",G56*I56)</f>
        <v/>
      </c>
      <c r="L56" s="19" t="str">
        <f aca="false">IF(A56="","",K56-J56)</f>
        <v/>
      </c>
      <c r="M56" s="43" t="str">
        <f aca="false">IF(OR(A56="",N(J56)=0),"",L56/J56)</f>
        <v/>
      </c>
    </row>
    <row r="57" customFormat="false" ht="15" hidden="false" customHeight="false" outlineLevel="0" collapsed="false">
      <c r="A57" s="37"/>
      <c r="B57" s="33" t="str">
        <f aca="false">IF(A57="","",IFERROR(INDEX(계좌!$B$2:$B$41,MATCH(A57,계좌!$A$2:$A$41,0)),"?"))</f>
        <v/>
      </c>
      <c r="C57" s="33" t="str">
        <f aca="false">IF(A57="","",IFERROR(INDEX(계좌!$E$2:$E$41,MATCH(A57,계좌!$A$2:$A$41,0)),"?"))</f>
        <v/>
      </c>
      <c r="D57" s="37"/>
      <c r="E57" s="37"/>
      <c r="F57" s="34"/>
      <c r="G57" s="35"/>
      <c r="H57" s="35"/>
      <c r="I57" s="35"/>
      <c r="J57" s="19" t="str">
        <f aca="false">IF(A57="","",G57*H57)</f>
        <v/>
      </c>
      <c r="K57" s="19" t="str">
        <f aca="false">IF(A57="","",G57*I57)</f>
        <v/>
      </c>
      <c r="L57" s="19" t="str">
        <f aca="false">IF(A57="","",K57-J57)</f>
        <v/>
      </c>
      <c r="M57" s="43" t="str">
        <f aca="false">IF(OR(A57="",N(J57)=0),"",L57/J57)</f>
        <v/>
      </c>
    </row>
    <row r="58" customFormat="false" ht="15" hidden="false" customHeight="false" outlineLevel="0" collapsed="false">
      <c r="A58" s="37"/>
      <c r="B58" s="33" t="str">
        <f aca="false">IF(A58="","",IFERROR(INDEX(계좌!$B$2:$B$41,MATCH(A58,계좌!$A$2:$A$41,0)),"?"))</f>
        <v/>
      </c>
      <c r="C58" s="33" t="str">
        <f aca="false">IF(A58="","",IFERROR(INDEX(계좌!$E$2:$E$41,MATCH(A58,계좌!$A$2:$A$41,0)),"?"))</f>
        <v/>
      </c>
      <c r="D58" s="37"/>
      <c r="E58" s="37"/>
      <c r="F58" s="34"/>
      <c r="G58" s="35"/>
      <c r="H58" s="35"/>
      <c r="I58" s="35"/>
      <c r="J58" s="19" t="str">
        <f aca="false">IF(A58="","",G58*H58)</f>
        <v/>
      </c>
      <c r="K58" s="19" t="str">
        <f aca="false">IF(A58="","",G58*I58)</f>
        <v/>
      </c>
      <c r="L58" s="19" t="str">
        <f aca="false">IF(A58="","",K58-J58)</f>
        <v/>
      </c>
      <c r="M58" s="43" t="str">
        <f aca="false">IF(OR(A58="",N(J58)=0),"",L58/J58)</f>
        <v/>
      </c>
    </row>
    <row r="59" customFormat="false" ht="15" hidden="false" customHeight="false" outlineLevel="0" collapsed="false">
      <c r="A59" s="37"/>
      <c r="B59" s="33" t="str">
        <f aca="false">IF(A59="","",IFERROR(INDEX(계좌!$B$2:$B$41,MATCH(A59,계좌!$A$2:$A$41,0)),"?"))</f>
        <v/>
      </c>
      <c r="C59" s="33" t="str">
        <f aca="false">IF(A59="","",IFERROR(INDEX(계좌!$E$2:$E$41,MATCH(A59,계좌!$A$2:$A$41,0)),"?"))</f>
        <v/>
      </c>
      <c r="D59" s="37"/>
      <c r="E59" s="37"/>
      <c r="F59" s="34"/>
      <c r="G59" s="35"/>
      <c r="H59" s="35"/>
      <c r="I59" s="35"/>
      <c r="J59" s="19" t="str">
        <f aca="false">IF(A59="","",G59*H59)</f>
        <v/>
      </c>
      <c r="K59" s="19" t="str">
        <f aca="false">IF(A59="","",G59*I59)</f>
        <v/>
      </c>
      <c r="L59" s="19" t="str">
        <f aca="false">IF(A59="","",K59-J59)</f>
        <v/>
      </c>
      <c r="M59" s="43" t="str">
        <f aca="false">IF(OR(A59="",N(J59)=0),"",L59/J59)</f>
        <v/>
      </c>
    </row>
    <row r="60" customFormat="false" ht="15" hidden="false" customHeight="false" outlineLevel="0" collapsed="false">
      <c r="A60" s="37"/>
      <c r="B60" s="33" t="str">
        <f aca="false">IF(A60="","",IFERROR(INDEX(계좌!$B$2:$B$41,MATCH(A60,계좌!$A$2:$A$41,0)),"?"))</f>
        <v/>
      </c>
      <c r="C60" s="33" t="str">
        <f aca="false">IF(A60="","",IFERROR(INDEX(계좌!$E$2:$E$41,MATCH(A60,계좌!$A$2:$A$41,0)),"?"))</f>
        <v/>
      </c>
      <c r="D60" s="37"/>
      <c r="E60" s="37"/>
      <c r="F60" s="34"/>
      <c r="G60" s="35"/>
      <c r="H60" s="35"/>
      <c r="I60" s="35"/>
      <c r="J60" s="19" t="str">
        <f aca="false">IF(A60="","",G60*H60)</f>
        <v/>
      </c>
      <c r="K60" s="19" t="str">
        <f aca="false">IF(A60="","",G60*I60)</f>
        <v/>
      </c>
      <c r="L60" s="19" t="str">
        <f aca="false">IF(A60="","",K60-J60)</f>
        <v/>
      </c>
      <c r="M60" s="43" t="str">
        <f aca="false">IF(OR(A60="",N(J60)=0),"",L60/J60)</f>
        <v/>
      </c>
    </row>
    <row r="61" customFormat="false" ht="15" hidden="false" customHeight="false" outlineLevel="0" collapsed="false">
      <c r="A61" s="37"/>
      <c r="B61" s="33" t="str">
        <f aca="false">IF(A61="","",IFERROR(INDEX(계좌!$B$2:$B$41,MATCH(A61,계좌!$A$2:$A$41,0)),"?"))</f>
        <v/>
      </c>
      <c r="C61" s="33" t="str">
        <f aca="false">IF(A61="","",IFERROR(INDEX(계좌!$E$2:$E$41,MATCH(A61,계좌!$A$2:$A$41,0)),"?"))</f>
        <v/>
      </c>
      <c r="D61" s="37"/>
      <c r="E61" s="37"/>
      <c r="F61" s="34"/>
      <c r="G61" s="35"/>
      <c r="H61" s="35"/>
      <c r="I61" s="35"/>
      <c r="J61" s="19" t="str">
        <f aca="false">IF(A61="","",G61*H61)</f>
        <v/>
      </c>
      <c r="K61" s="19" t="str">
        <f aca="false">IF(A61="","",G61*I61)</f>
        <v/>
      </c>
      <c r="L61" s="19" t="str">
        <f aca="false">IF(A61="","",K61-J61)</f>
        <v/>
      </c>
      <c r="M61" s="43" t="str">
        <f aca="false">IF(OR(A61="",N(J61)=0),"",L61/J61)</f>
        <v/>
      </c>
    </row>
    <row r="62" customFormat="false" ht="15" hidden="false" customHeight="false" outlineLevel="0" collapsed="false">
      <c r="A62" s="37"/>
      <c r="B62" s="33" t="str">
        <f aca="false">IF(A62="","",IFERROR(INDEX(계좌!$B$2:$B$41,MATCH(A62,계좌!$A$2:$A$41,0)),"?"))</f>
        <v/>
      </c>
      <c r="C62" s="33" t="str">
        <f aca="false">IF(A62="","",IFERROR(INDEX(계좌!$E$2:$E$41,MATCH(A62,계좌!$A$2:$A$41,0)),"?"))</f>
        <v/>
      </c>
      <c r="D62" s="37"/>
      <c r="E62" s="37"/>
      <c r="F62" s="34"/>
      <c r="G62" s="35"/>
      <c r="H62" s="35"/>
      <c r="I62" s="35"/>
      <c r="J62" s="19" t="str">
        <f aca="false">IF(A62="","",G62*H62)</f>
        <v/>
      </c>
      <c r="K62" s="19" t="str">
        <f aca="false">IF(A62="","",G62*I62)</f>
        <v/>
      </c>
      <c r="L62" s="19" t="str">
        <f aca="false">IF(A62="","",K62-J62)</f>
        <v/>
      </c>
      <c r="M62" s="43" t="str">
        <f aca="false">IF(OR(A62="",N(J62)=0),"",L62/J62)</f>
        <v/>
      </c>
    </row>
    <row r="63" customFormat="false" ht="15" hidden="false" customHeight="false" outlineLevel="0" collapsed="false">
      <c r="A63" s="37"/>
      <c r="B63" s="33" t="str">
        <f aca="false">IF(A63="","",IFERROR(INDEX(계좌!$B$2:$B$41,MATCH(A63,계좌!$A$2:$A$41,0)),"?"))</f>
        <v/>
      </c>
      <c r="C63" s="33" t="str">
        <f aca="false">IF(A63="","",IFERROR(INDEX(계좌!$E$2:$E$41,MATCH(A63,계좌!$A$2:$A$41,0)),"?"))</f>
        <v/>
      </c>
      <c r="D63" s="37"/>
      <c r="E63" s="37"/>
      <c r="F63" s="34"/>
      <c r="G63" s="35"/>
      <c r="H63" s="35"/>
      <c r="I63" s="35"/>
      <c r="J63" s="19" t="str">
        <f aca="false">IF(A63="","",G63*H63)</f>
        <v/>
      </c>
      <c r="K63" s="19" t="str">
        <f aca="false">IF(A63="","",G63*I63)</f>
        <v/>
      </c>
      <c r="L63" s="19" t="str">
        <f aca="false">IF(A63="","",K63-J63)</f>
        <v/>
      </c>
      <c r="M63" s="43" t="str">
        <f aca="false">IF(OR(A63="",N(J63)=0),"",L63/J63)</f>
        <v/>
      </c>
    </row>
    <row r="64" customFormat="false" ht="15" hidden="false" customHeight="false" outlineLevel="0" collapsed="false">
      <c r="A64" s="37"/>
      <c r="B64" s="33" t="str">
        <f aca="false">IF(A64="","",IFERROR(INDEX(계좌!$B$2:$B$41,MATCH(A64,계좌!$A$2:$A$41,0)),"?"))</f>
        <v/>
      </c>
      <c r="C64" s="33" t="str">
        <f aca="false">IF(A64="","",IFERROR(INDEX(계좌!$E$2:$E$41,MATCH(A64,계좌!$A$2:$A$41,0)),"?"))</f>
        <v/>
      </c>
      <c r="D64" s="37"/>
      <c r="E64" s="37"/>
      <c r="F64" s="34"/>
      <c r="G64" s="35"/>
      <c r="H64" s="35"/>
      <c r="I64" s="35"/>
      <c r="J64" s="19" t="str">
        <f aca="false">IF(A64="","",G64*H64)</f>
        <v/>
      </c>
      <c r="K64" s="19" t="str">
        <f aca="false">IF(A64="","",G64*I64)</f>
        <v/>
      </c>
      <c r="L64" s="19" t="str">
        <f aca="false">IF(A64="","",K64-J64)</f>
        <v/>
      </c>
      <c r="M64" s="43" t="str">
        <f aca="false">IF(OR(A64="",N(J64)=0),"",L64/J64)</f>
        <v/>
      </c>
    </row>
    <row r="65" customFormat="false" ht="15" hidden="false" customHeight="false" outlineLevel="0" collapsed="false">
      <c r="A65" s="37"/>
      <c r="B65" s="33" t="str">
        <f aca="false">IF(A65="","",IFERROR(INDEX(계좌!$B$2:$B$41,MATCH(A65,계좌!$A$2:$A$41,0)),"?"))</f>
        <v/>
      </c>
      <c r="C65" s="33" t="str">
        <f aca="false">IF(A65="","",IFERROR(INDEX(계좌!$E$2:$E$41,MATCH(A65,계좌!$A$2:$A$41,0)),"?"))</f>
        <v/>
      </c>
      <c r="D65" s="37"/>
      <c r="E65" s="37"/>
      <c r="F65" s="34"/>
      <c r="G65" s="35"/>
      <c r="H65" s="35"/>
      <c r="I65" s="35"/>
      <c r="J65" s="19" t="str">
        <f aca="false">IF(A65="","",G65*H65)</f>
        <v/>
      </c>
      <c r="K65" s="19" t="str">
        <f aca="false">IF(A65="","",G65*I65)</f>
        <v/>
      </c>
      <c r="L65" s="19" t="str">
        <f aca="false">IF(A65="","",K65-J65)</f>
        <v/>
      </c>
      <c r="M65" s="43" t="str">
        <f aca="false">IF(OR(A65="",N(J65)=0),"",L65/J65)</f>
        <v/>
      </c>
    </row>
    <row r="66" customFormat="false" ht="15" hidden="false" customHeight="false" outlineLevel="0" collapsed="false">
      <c r="A66" s="37"/>
      <c r="B66" s="33" t="str">
        <f aca="false">IF(A66="","",IFERROR(INDEX(계좌!$B$2:$B$41,MATCH(A66,계좌!$A$2:$A$41,0)),"?"))</f>
        <v/>
      </c>
      <c r="C66" s="33" t="str">
        <f aca="false">IF(A66="","",IFERROR(INDEX(계좌!$E$2:$E$41,MATCH(A66,계좌!$A$2:$A$41,0)),"?"))</f>
        <v/>
      </c>
      <c r="D66" s="37"/>
      <c r="E66" s="37"/>
      <c r="F66" s="34"/>
      <c r="G66" s="35"/>
      <c r="H66" s="35"/>
      <c r="I66" s="35"/>
      <c r="J66" s="19" t="str">
        <f aca="false">IF(A66="","",G66*H66)</f>
        <v/>
      </c>
      <c r="K66" s="19" t="str">
        <f aca="false">IF(A66="","",G66*I66)</f>
        <v/>
      </c>
      <c r="L66" s="19" t="str">
        <f aca="false">IF(A66="","",K66-J66)</f>
        <v/>
      </c>
      <c r="M66" s="43" t="str">
        <f aca="false">IF(OR(A66="",N(J66)=0),"",L66/J66)</f>
        <v/>
      </c>
    </row>
    <row r="67" customFormat="false" ht="15" hidden="false" customHeight="false" outlineLevel="0" collapsed="false">
      <c r="A67" s="37"/>
      <c r="B67" s="33" t="str">
        <f aca="false">IF(A67="","",IFERROR(INDEX(계좌!$B$2:$B$41,MATCH(A67,계좌!$A$2:$A$41,0)),"?"))</f>
        <v/>
      </c>
      <c r="C67" s="33" t="str">
        <f aca="false">IF(A67="","",IFERROR(INDEX(계좌!$E$2:$E$41,MATCH(A67,계좌!$A$2:$A$41,0)),"?"))</f>
        <v/>
      </c>
      <c r="D67" s="37"/>
      <c r="E67" s="37"/>
      <c r="F67" s="34"/>
      <c r="G67" s="35"/>
      <c r="H67" s="35"/>
      <c r="I67" s="35"/>
      <c r="J67" s="19" t="str">
        <f aca="false">IF(A67="","",G67*H67)</f>
        <v/>
      </c>
      <c r="K67" s="19" t="str">
        <f aca="false">IF(A67="","",G67*I67)</f>
        <v/>
      </c>
      <c r="L67" s="19" t="str">
        <f aca="false">IF(A67="","",K67-J67)</f>
        <v/>
      </c>
      <c r="M67" s="43" t="str">
        <f aca="false">IF(OR(A67="",N(J67)=0),"",L67/J67)</f>
        <v/>
      </c>
    </row>
    <row r="68" customFormat="false" ht="15" hidden="false" customHeight="false" outlineLevel="0" collapsed="false">
      <c r="A68" s="37"/>
      <c r="B68" s="33" t="str">
        <f aca="false">IF(A68="","",IFERROR(INDEX(계좌!$B$2:$B$41,MATCH(A68,계좌!$A$2:$A$41,0)),"?"))</f>
        <v/>
      </c>
      <c r="C68" s="33" t="str">
        <f aca="false">IF(A68="","",IFERROR(INDEX(계좌!$E$2:$E$41,MATCH(A68,계좌!$A$2:$A$41,0)),"?"))</f>
        <v/>
      </c>
      <c r="D68" s="37"/>
      <c r="E68" s="37"/>
      <c r="F68" s="34"/>
      <c r="G68" s="35"/>
      <c r="H68" s="35"/>
      <c r="I68" s="35"/>
      <c r="J68" s="19" t="str">
        <f aca="false">IF(A68="","",G68*H68)</f>
        <v/>
      </c>
      <c r="K68" s="19" t="str">
        <f aca="false">IF(A68="","",G68*I68)</f>
        <v/>
      </c>
      <c r="L68" s="19" t="str">
        <f aca="false">IF(A68="","",K68-J68)</f>
        <v/>
      </c>
      <c r="M68" s="43" t="str">
        <f aca="false">IF(OR(A68="",N(J68)=0),"",L68/J68)</f>
        <v/>
      </c>
    </row>
    <row r="69" customFormat="false" ht="15" hidden="false" customHeight="false" outlineLevel="0" collapsed="false">
      <c r="A69" s="37"/>
      <c r="B69" s="33" t="str">
        <f aca="false">IF(A69="","",IFERROR(INDEX(계좌!$B$2:$B$41,MATCH(A69,계좌!$A$2:$A$41,0)),"?"))</f>
        <v/>
      </c>
      <c r="C69" s="33" t="str">
        <f aca="false">IF(A69="","",IFERROR(INDEX(계좌!$E$2:$E$41,MATCH(A69,계좌!$A$2:$A$41,0)),"?"))</f>
        <v/>
      </c>
      <c r="D69" s="37"/>
      <c r="E69" s="37"/>
      <c r="F69" s="34"/>
      <c r="G69" s="35"/>
      <c r="H69" s="35"/>
      <c r="I69" s="35"/>
      <c r="J69" s="19" t="str">
        <f aca="false">IF(A69="","",G69*H69)</f>
        <v/>
      </c>
      <c r="K69" s="19" t="str">
        <f aca="false">IF(A69="","",G69*I69)</f>
        <v/>
      </c>
      <c r="L69" s="19" t="str">
        <f aca="false">IF(A69="","",K69-J69)</f>
        <v/>
      </c>
      <c r="M69" s="43" t="str">
        <f aca="false">IF(OR(A69="",N(J69)=0),"",L69/J69)</f>
        <v/>
      </c>
    </row>
    <row r="70" customFormat="false" ht="15" hidden="false" customHeight="false" outlineLevel="0" collapsed="false">
      <c r="A70" s="37"/>
      <c r="B70" s="33" t="str">
        <f aca="false">IF(A70="","",IFERROR(INDEX(계좌!$B$2:$B$41,MATCH(A70,계좌!$A$2:$A$41,0)),"?"))</f>
        <v/>
      </c>
      <c r="C70" s="33" t="str">
        <f aca="false">IF(A70="","",IFERROR(INDEX(계좌!$E$2:$E$41,MATCH(A70,계좌!$A$2:$A$41,0)),"?"))</f>
        <v/>
      </c>
      <c r="D70" s="37"/>
      <c r="E70" s="37"/>
      <c r="F70" s="34"/>
      <c r="G70" s="35"/>
      <c r="H70" s="35"/>
      <c r="I70" s="35"/>
      <c r="J70" s="19" t="str">
        <f aca="false">IF(A70="","",G70*H70)</f>
        <v/>
      </c>
      <c r="K70" s="19" t="str">
        <f aca="false">IF(A70="","",G70*I70)</f>
        <v/>
      </c>
      <c r="L70" s="19" t="str">
        <f aca="false">IF(A70="","",K70-J70)</f>
        <v/>
      </c>
      <c r="M70" s="43" t="str">
        <f aca="false">IF(OR(A70="",N(J70)=0),"",L70/J70)</f>
        <v/>
      </c>
    </row>
    <row r="71" customFormat="false" ht="15" hidden="false" customHeight="false" outlineLevel="0" collapsed="false">
      <c r="A71" s="37"/>
      <c r="B71" s="33" t="str">
        <f aca="false">IF(A71="","",IFERROR(INDEX(계좌!$B$2:$B$41,MATCH(A71,계좌!$A$2:$A$41,0)),"?"))</f>
        <v/>
      </c>
      <c r="C71" s="33" t="str">
        <f aca="false">IF(A71="","",IFERROR(INDEX(계좌!$E$2:$E$41,MATCH(A71,계좌!$A$2:$A$41,0)),"?"))</f>
        <v/>
      </c>
      <c r="D71" s="37"/>
      <c r="E71" s="37"/>
      <c r="F71" s="34"/>
      <c r="G71" s="35"/>
      <c r="H71" s="35"/>
      <c r="I71" s="35"/>
      <c r="J71" s="19" t="str">
        <f aca="false">IF(A71="","",G71*H71)</f>
        <v/>
      </c>
      <c r="K71" s="19" t="str">
        <f aca="false">IF(A71="","",G71*I71)</f>
        <v/>
      </c>
      <c r="L71" s="19" t="str">
        <f aca="false">IF(A71="","",K71-J71)</f>
        <v/>
      </c>
      <c r="M71" s="43" t="str">
        <f aca="false">IF(OR(A71="",N(J71)=0),"",L71/J71)</f>
        <v/>
      </c>
    </row>
    <row r="72" customFormat="false" ht="15" hidden="false" customHeight="false" outlineLevel="0" collapsed="false">
      <c r="A72" s="37"/>
      <c r="B72" s="33" t="str">
        <f aca="false">IF(A72="","",IFERROR(INDEX(계좌!$B$2:$B$41,MATCH(A72,계좌!$A$2:$A$41,0)),"?"))</f>
        <v/>
      </c>
      <c r="C72" s="33" t="str">
        <f aca="false">IF(A72="","",IFERROR(INDEX(계좌!$E$2:$E$41,MATCH(A72,계좌!$A$2:$A$41,0)),"?"))</f>
        <v/>
      </c>
      <c r="D72" s="37"/>
      <c r="E72" s="37"/>
      <c r="F72" s="34"/>
      <c r="G72" s="35"/>
      <c r="H72" s="35"/>
      <c r="I72" s="35"/>
      <c r="J72" s="19" t="str">
        <f aca="false">IF(A72="","",G72*H72)</f>
        <v/>
      </c>
      <c r="K72" s="19" t="str">
        <f aca="false">IF(A72="","",G72*I72)</f>
        <v/>
      </c>
      <c r="L72" s="19" t="str">
        <f aca="false">IF(A72="","",K72-J72)</f>
        <v/>
      </c>
      <c r="M72" s="43" t="str">
        <f aca="false">IF(OR(A72="",N(J72)=0),"",L72/J72)</f>
        <v/>
      </c>
    </row>
    <row r="73" customFormat="false" ht="15" hidden="false" customHeight="false" outlineLevel="0" collapsed="false">
      <c r="A73" s="37"/>
      <c r="B73" s="33" t="str">
        <f aca="false">IF(A73="","",IFERROR(INDEX(계좌!$B$2:$B$41,MATCH(A73,계좌!$A$2:$A$41,0)),"?"))</f>
        <v/>
      </c>
      <c r="C73" s="33" t="str">
        <f aca="false">IF(A73="","",IFERROR(INDEX(계좌!$E$2:$E$41,MATCH(A73,계좌!$A$2:$A$41,0)),"?"))</f>
        <v/>
      </c>
      <c r="D73" s="37"/>
      <c r="E73" s="37"/>
      <c r="F73" s="34"/>
      <c r="G73" s="35"/>
      <c r="H73" s="35"/>
      <c r="I73" s="35"/>
      <c r="J73" s="19" t="str">
        <f aca="false">IF(A73="","",G73*H73)</f>
        <v/>
      </c>
      <c r="K73" s="19" t="str">
        <f aca="false">IF(A73="","",G73*I73)</f>
        <v/>
      </c>
      <c r="L73" s="19" t="str">
        <f aca="false">IF(A73="","",K73-J73)</f>
        <v/>
      </c>
      <c r="M73" s="43" t="str">
        <f aca="false">IF(OR(A73="",N(J73)=0),"",L73/J73)</f>
        <v/>
      </c>
    </row>
    <row r="74" customFormat="false" ht="15" hidden="false" customHeight="false" outlineLevel="0" collapsed="false">
      <c r="A74" s="37"/>
      <c r="B74" s="33" t="str">
        <f aca="false">IF(A74="","",IFERROR(INDEX(계좌!$B$2:$B$41,MATCH(A74,계좌!$A$2:$A$41,0)),"?"))</f>
        <v/>
      </c>
      <c r="C74" s="33" t="str">
        <f aca="false">IF(A74="","",IFERROR(INDEX(계좌!$E$2:$E$41,MATCH(A74,계좌!$A$2:$A$41,0)),"?"))</f>
        <v/>
      </c>
      <c r="D74" s="37"/>
      <c r="E74" s="37"/>
      <c r="F74" s="34"/>
      <c r="G74" s="35"/>
      <c r="H74" s="35"/>
      <c r="I74" s="35"/>
      <c r="J74" s="19" t="str">
        <f aca="false">IF(A74="","",G74*H74)</f>
        <v/>
      </c>
      <c r="K74" s="19" t="str">
        <f aca="false">IF(A74="","",G74*I74)</f>
        <v/>
      </c>
      <c r="L74" s="19" t="str">
        <f aca="false">IF(A74="","",K74-J74)</f>
        <v/>
      </c>
      <c r="M74" s="43" t="str">
        <f aca="false">IF(OR(A74="",N(J74)=0),"",L74/J74)</f>
        <v/>
      </c>
    </row>
    <row r="75" customFormat="false" ht="15" hidden="false" customHeight="false" outlineLevel="0" collapsed="false">
      <c r="A75" s="37"/>
      <c r="B75" s="33" t="str">
        <f aca="false">IF(A75="","",IFERROR(INDEX(계좌!$B$2:$B$41,MATCH(A75,계좌!$A$2:$A$41,0)),"?"))</f>
        <v/>
      </c>
      <c r="C75" s="33" t="str">
        <f aca="false">IF(A75="","",IFERROR(INDEX(계좌!$E$2:$E$41,MATCH(A75,계좌!$A$2:$A$41,0)),"?"))</f>
        <v/>
      </c>
      <c r="D75" s="37"/>
      <c r="E75" s="37"/>
      <c r="F75" s="34"/>
      <c r="G75" s="35"/>
      <c r="H75" s="35"/>
      <c r="I75" s="35"/>
      <c r="J75" s="19" t="str">
        <f aca="false">IF(A75="","",G75*H75)</f>
        <v/>
      </c>
      <c r="K75" s="19" t="str">
        <f aca="false">IF(A75="","",G75*I75)</f>
        <v/>
      </c>
      <c r="L75" s="19" t="str">
        <f aca="false">IF(A75="","",K75-J75)</f>
        <v/>
      </c>
      <c r="M75" s="43" t="str">
        <f aca="false">IF(OR(A75="",N(J75)=0),"",L75/J75)</f>
        <v/>
      </c>
    </row>
    <row r="76" customFormat="false" ht="15" hidden="false" customHeight="false" outlineLevel="0" collapsed="false">
      <c r="A76" s="37"/>
      <c r="B76" s="33" t="str">
        <f aca="false">IF(A76="","",IFERROR(INDEX(계좌!$B$2:$B$41,MATCH(A76,계좌!$A$2:$A$41,0)),"?"))</f>
        <v/>
      </c>
      <c r="C76" s="33" t="str">
        <f aca="false">IF(A76="","",IFERROR(INDEX(계좌!$E$2:$E$41,MATCH(A76,계좌!$A$2:$A$41,0)),"?"))</f>
        <v/>
      </c>
      <c r="D76" s="37"/>
      <c r="E76" s="37"/>
      <c r="F76" s="34"/>
      <c r="G76" s="35"/>
      <c r="H76" s="35"/>
      <c r="I76" s="35"/>
      <c r="J76" s="19" t="str">
        <f aca="false">IF(A76="","",G76*H76)</f>
        <v/>
      </c>
      <c r="K76" s="19" t="str">
        <f aca="false">IF(A76="","",G76*I76)</f>
        <v/>
      </c>
      <c r="L76" s="19" t="str">
        <f aca="false">IF(A76="","",K76-J76)</f>
        <v/>
      </c>
      <c r="M76" s="43" t="str">
        <f aca="false">IF(OR(A76="",N(J76)=0),"",L76/J76)</f>
        <v/>
      </c>
    </row>
    <row r="77" customFormat="false" ht="15" hidden="false" customHeight="false" outlineLevel="0" collapsed="false">
      <c r="A77" s="37"/>
      <c r="B77" s="33" t="str">
        <f aca="false">IF(A77="","",IFERROR(INDEX(계좌!$B$2:$B$41,MATCH(A77,계좌!$A$2:$A$41,0)),"?"))</f>
        <v/>
      </c>
      <c r="C77" s="33" t="str">
        <f aca="false">IF(A77="","",IFERROR(INDEX(계좌!$E$2:$E$41,MATCH(A77,계좌!$A$2:$A$41,0)),"?"))</f>
        <v/>
      </c>
      <c r="D77" s="37"/>
      <c r="E77" s="37"/>
      <c r="F77" s="34"/>
      <c r="G77" s="35"/>
      <c r="H77" s="35"/>
      <c r="I77" s="35"/>
      <c r="J77" s="19" t="str">
        <f aca="false">IF(A77="","",G77*H77)</f>
        <v/>
      </c>
      <c r="K77" s="19" t="str">
        <f aca="false">IF(A77="","",G77*I77)</f>
        <v/>
      </c>
      <c r="L77" s="19" t="str">
        <f aca="false">IF(A77="","",K77-J77)</f>
        <v/>
      </c>
      <c r="M77" s="43" t="str">
        <f aca="false">IF(OR(A77="",N(J77)=0),"",L77/J77)</f>
        <v/>
      </c>
    </row>
    <row r="78" customFormat="false" ht="15" hidden="false" customHeight="false" outlineLevel="0" collapsed="false">
      <c r="A78" s="37"/>
      <c r="B78" s="33" t="str">
        <f aca="false">IF(A78="","",IFERROR(INDEX(계좌!$B$2:$B$41,MATCH(A78,계좌!$A$2:$A$41,0)),"?"))</f>
        <v/>
      </c>
      <c r="C78" s="33" t="str">
        <f aca="false">IF(A78="","",IFERROR(INDEX(계좌!$E$2:$E$41,MATCH(A78,계좌!$A$2:$A$41,0)),"?"))</f>
        <v/>
      </c>
      <c r="D78" s="37"/>
      <c r="E78" s="37"/>
      <c r="F78" s="34"/>
      <c r="G78" s="35"/>
      <c r="H78" s="35"/>
      <c r="I78" s="35"/>
      <c r="J78" s="19" t="str">
        <f aca="false">IF(A78="","",G78*H78)</f>
        <v/>
      </c>
      <c r="K78" s="19" t="str">
        <f aca="false">IF(A78="","",G78*I78)</f>
        <v/>
      </c>
      <c r="L78" s="19" t="str">
        <f aca="false">IF(A78="","",K78-J78)</f>
        <v/>
      </c>
      <c r="M78" s="43" t="str">
        <f aca="false">IF(OR(A78="",N(J78)=0),"",L78/J78)</f>
        <v/>
      </c>
    </row>
    <row r="79" customFormat="false" ht="15" hidden="false" customHeight="false" outlineLevel="0" collapsed="false">
      <c r="A79" s="37"/>
      <c r="B79" s="33" t="str">
        <f aca="false">IF(A79="","",IFERROR(INDEX(계좌!$B$2:$B$41,MATCH(A79,계좌!$A$2:$A$41,0)),"?"))</f>
        <v/>
      </c>
      <c r="C79" s="33" t="str">
        <f aca="false">IF(A79="","",IFERROR(INDEX(계좌!$E$2:$E$41,MATCH(A79,계좌!$A$2:$A$41,0)),"?"))</f>
        <v/>
      </c>
      <c r="D79" s="37"/>
      <c r="E79" s="37"/>
      <c r="F79" s="34"/>
      <c r="G79" s="35"/>
      <c r="H79" s="35"/>
      <c r="I79" s="35"/>
      <c r="J79" s="19" t="str">
        <f aca="false">IF(A79="","",G79*H79)</f>
        <v/>
      </c>
      <c r="K79" s="19" t="str">
        <f aca="false">IF(A79="","",G79*I79)</f>
        <v/>
      </c>
      <c r="L79" s="19" t="str">
        <f aca="false">IF(A79="","",K79-J79)</f>
        <v/>
      </c>
      <c r="M79" s="43" t="str">
        <f aca="false">IF(OR(A79="",N(J79)=0),"",L79/J79)</f>
        <v/>
      </c>
    </row>
    <row r="80" customFormat="false" ht="15" hidden="false" customHeight="false" outlineLevel="0" collapsed="false">
      <c r="A80" s="37"/>
      <c r="B80" s="33" t="str">
        <f aca="false">IF(A80="","",IFERROR(INDEX(계좌!$B$2:$B$41,MATCH(A80,계좌!$A$2:$A$41,0)),"?"))</f>
        <v/>
      </c>
      <c r="C80" s="33" t="str">
        <f aca="false">IF(A80="","",IFERROR(INDEX(계좌!$E$2:$E$41,MATCH(A80,계좌!$A$2:$A$41,0)),"?"))</f>
        <v/>
      </c>
      <c r="D80" s="37"/>
      <c r="E80" s="37"/>
      <c r="F80" s="34"/>
      <c r="G80" s="35"/>
      <c r="H80" s="35"/>
      <c r="I80" s="35"/>
      <c r="J80" s="19" t="str">
        <f aca="false">IF(A80="","",G80*H80)</f>
        <v/>
      </c>
      <c r="K80" s="19" t="str">
        <f aca="false">IF(A80="","",G80*I80)</f>
        <v/>
      </c>
      <c r="L80" s="19" t="str">
        <f aca="false">IF(A80="","",K80-J80)</f>
        <v/>
      </c>
      <c r="M80" s="43" t="str">
        <f aca="false">IF(OR(A80="",N(J80)=0),"",L80/J80)</f>
        <v/>
      </c>
    </row>
    <row r="81" customFormat="false" ht="15" hidden="false" customHeight="false" outlineLevel="0" collapsed="false">
      <c r="A81" s="37"/>
      <c r="B81" s="33" t="str">
        <f aca="false">IF(A81="","",IFERROR(INDEX(계좌!$B$2:$B$41,MATCH(A81,계좌!$A$2:$A$41,0)),"?"))</f>
        <v/>
      </c>
      <c r="C81" s="33" t="str">
        <f aca="false">IF(A81="","",IFERROR(INDEX(계좌!$E$2:$E$41,MATCH(A81,계좌!$A$2:$A$41,0)),"?"))</f>
        <v/>
      </c>
      <c r="D81" s="37"/>
      <c r="E81" s="37"/>
      <c r="F81" s="34"/>
      <c r="G81" s="35"/>
      <c r="H81" s="35"/>
      <c r="I81" s="35"/>
      <c r="J81" s="19" t="str">
        <f aca="false">IF(A81="","",G81*H81)</f>
        <v/>
      </c>
      <c r="K81" s="19" t="str">
        <f aca="false">IF(A81="","",G81*I81)</f>
        <v/>
      </c>
      <c r="L81" s="19" t="str">
        <f aca="false">IF(A81="","",K81-J81)</f>
        <v/>
      </c>
      <c r="M81" s="43" t="str">
        <f aca="false">IF(OR(A81="",N(J81)=0),"",L81/J81)</f>
        <v/>
      </c>
    </row>
    <row r="82" customFormat="false" ht="15" hidden="false" customHeight="false" outlineLevel="0" collapsed="false">
      <c r="A82" s="37"/>
      <c r="B82" s="33" t="str">
        <f aca="false">IF(A82="","",IFERROR(INDEX(계좌!$B$2:$B$41,MATCH(A82,계좌!$A$2:$A$41,0)),"?"))</f>
        <v/>
      </c>
      <c r="C82" s="33" t="str">
        <f aca="false">IF(A82="","",IFERROR(INDEX(계좌!$E$2:$E$41,MATCH(A82,계좌!$A$2:$A$41,0)),"?"))</f>
        <v/>
      </c>
      <c r="D82" s="37"/>
      <c r="E82" s="37"/>
      <c r="F82" s="34"/>
      <c r="G82" s="35"/>
      <c r="H82" s="35"/>
      <c r="I82" s="35"/>
      <c r="J82" s="19" t="str">
        <f aca="false">IF(A82="","",G82*H82)</f>
        <v/>
      </c>
      <c r="K82" s="19" t="str">
        <f aca="false">IF(A82="","",G82*I82)</f>
        <v/>
      </c>
      <c r="L82" s="19" t="str">
        <f aca="false">IF(A82="","",K82-J82)</f>
        <v/>
      </c>
      <c r="M82" s="43" t="str">
        <f aca="false">IF(OR(A82="",N(J82)=0),"",L82/J82)</f>
        <v/>
      </c>
    </row>
    <row r="83" customFormat="false" ht="15" hidden="false" customHeight="false" outlineLevel="0" collapsed="false">
      <c r="A83" s="37"/>
      <c r="B83" s="33" t="str">
        <f aca="false">IF(A83="","",IFERROR(INDEX(계좌!$B$2:$B$41,MATCH(A83,계좌!$A$2:$A$41,0)),"?"))</f>
        <v/>
      </c>
      <c r="C83" s="33" t="str">
        <f aca="false">IF(A83="","",IFERROR(INDEX(계좌!$E$2:$E$41,MATCH(A83,계좌!$A$2:$A$41,0)),"?"))</f>
        <v/>
      </c>
      <c r="D83" s="37"/>
      <c r="E83" s="37"/>
      <c r="F83" s="34"/>
      <c r="G83" s="35"/>
      <c r="H83" s="35"/>
      <c r="I83" s="35"/>
      <c r="J83" s="19" t="str">
        <f aca="false">IF(A83="","",G83*H83)</f>
        <v/>
      </c>
      <c r="K83" s="19" t="str">
        <f aca="false">IF(A83="","",G83*I83)</f>
        <v/>
      </c>
      <c r="L83" s="19" t="str">
        <f aca="false">IF(A83="","",K83-J83)</f>
        <v/>
      </c>
      <c r="M83" s="43" t="str">
        <f aca="false">IF(OR(A83="",N(J83)=0),"",L83/J83)</f>
        <v/>
      </c>
    </row>
    <row r="84" customFormat="false" ht="15" hidden="false" customHeight="false" outlineLevel="0" collapsed="false">
      <c r="A84" s="37"/>
      <c r="B84" s="33" t="str">
        <f aca="false">IF(A84="","",IFERROR(INDEX(계좌!$B$2:$B$41,MATCH(A84,계좌!$A$2:$A$41,0)),"?"))</f>
        <v/>
      </c>
      <c r="C84" s="33" t="str">
        <f aca="false">IF(A84="","",IFERROR(INDEX(계좌!$E$2:$E$41,MATCH(A84,계좌!$A$2:$A$41,0)),"?"))</f>
        <v/>
      </c>
      <c r="D84" s="37"/>
      <c r="E84" s="37"/>
      <c r="F84" s="34"/>
      <c r="G84" s="35"/>
      <c r="H84" s="35"/>
      <c r="I84" s="35"/>
      <c r="J84" s="19" t="str">
        <f aca="false">IF(A84="","",G84*H84)</f>
        <v/>
      </c>
      <c r="K84" s="19" t="str">
        <f aca="false">IF(A84="","",G84*I84)</f>
        <v/>
      </c>
      <c r="L84" s="19" t="str">
        <f aca="false">IF(A84="","",K84-J84)</f>
        <v/>
      </c>
      <c r="M84" s="43" t="str">
        <f aca="false">IF(OR(A84="",N(J84)=0),"",L84/J84)</f>
        <v/>
      </c>
    </row>
    <row r="85" customFormat="false" ht="15" hidden="false" customHeight="false" outlineLevel="0" collapsed="false">
      <c r="A85" s="37"/>
      <c r="B85" s="33" t="str">
        <f aca="false">IF(A85="","",IFERROR(INDEX(계좌!$B$2:$B$41,MATCH(A85,계좌!$A$2:$A$41,0)),"?"))</f>
        <v/>
      </c>
      <c r="C85" s="33" t="str">
        <f aca="false">IF(A85="","",IFERROR(INDEX(계좌!$E$2:$E$41,MATCH(A85,계좌!$A$2:$A$41,0)),"?"))</f>
        <v/>
      </c>
      <c r="D85" s="37"/>
      <c r="E85" s="37"/>
      <c r="F85" s="34"/>
      <c r="G85" s="35"/>
      <c r="H85" s="35"/>
      <c r="I85" s="35"/>
      <c r="J85" s="19" t="str">
        <f aca="false">IF(A85="","",G85*H85)</f>
        <v/>
      </c>
      <c r="K85" s="19" t="str">
        <f aca="false">IF(A85="","",G85*I85)</f>
        <v/>
      </c>
      <c r="L85" s="19" t="str">
        <f aca="false">IF(A85="","",K85-J85)</f>
        <v/>
      </c>
      <c r="M85" s="43" t="str">
        <f aca="false">IF(OR(A85="",N(J85)=0),"",L85/J85)</f>
        <v/>
      </c>
    </row>
    <row r="86" customFormat="false" ht="15" hidden="false" customHeight="false" outlineLevel="0" collapsed="false">
      <c r="A86" s="37"/>
      <c r="B86" s="33" t="str">
        <f aca="false">IF(A86="","",IFERROR(INDEX(계좌!$B$2:$B$41,MATCH(A86,계좌!$A$2:$A$41,0)),"?"))</f>
        <v/>
      </c>
      <c r="C86" s="33" t="str">
        <f aca="false">IF(A86="","",IFERROR(INDEX(계좌!$E$2:$E$41,MATCH(A86,계좌!$A$2:$A$41,0)),"?"))</f>
        <v/>
      </c>
      <c r="D86" s="37"/>
      <c r="E86" s="37"/>
      <c r="F86" s="34"/>
      <c r="G86" s="35"/>
      <c r="H86" s="35"/>
      <c r="I86" s="35"/>
      <c r="J86" s="19" t="str">
        <f aca="false">IF(A86="","",G86*H86)</f>
        <v/>
      </c>
      <c r="K86" s="19" t="str">
        <f aca="false">IF(A86="","",G86*I86)</f>
        <v/>
      </c>
      <c r="L86" s="19" t="str">
        <f aca="false">IF(A86="","",K86-J86)</f>
        <v/>
      </c>
      <c r="M86" s="43" t="str">
        <f aca="false">IF(OR(A86="",N(J86)=0),"",L86/J86)</f>
        <v/>
      </c>
    </row>
    <row r="87" customFormat="false" ht="15" hidden="false" customHeight="false" outlineLevel="0" collapsed="false">
      <c r="A87" s="37"/>
      <c r="B87" s="33" t="str">
        <f aca="false">IF(A87="","",IFERROR(INDEX(계좌!$B$2:$B$41,MATCH(A87,계좌!$A$2:$A$41,0)),"?"))</f>
        <v/>
      </c>
      <c r="C87" s="33" t="str">
        <f aca="false">IF(A87="","",IFERROR(INDEX(계좌!$E$2:$E$41,MATCH(A87,계좌!$A$2:$A$41,0)),"?"))</f>
        <v/>
      </c>
      <c r="D87" s="37"/>
      <c r="E87" s="37"/>
      <c r="F87" s="34"/>
      <c r="G87" s="35"/>
      <c r="H87" s="35"/>
      <c r="I87" s="35"/>
      <c r="J87" s="19" t="str">
        <f aca="false">IF(A87="","",G87*H87)</f>
        <v/>
      </c>
      <c r="K87" s="19" t="str">
        <f aca="false">IF(A87="","",G87*I87)</f>
        <v/>
      </c>
      <c r="L87" s="19" t="str">
        <f aca="false">IF(A87="","",K87-J87)</f>
        <v/>
      </c>
      <c r="M87" s="43" t="str">
        <f aca="false">IF(OR(A87="",N(J87)=0),"",L87/J87)</f>
        <v/>
      </c>
    </row>
    <row r="88" customFormat="false" ht="15" hidden="false" customHeight="false" outlineLevel="0" collapsed="false">
      <c r="A88" s="37"/>
      <c r="B88" s="33" t="str">
        <f aca="false">IF(A88="","",IFERROR(INDEX(계좌!$B$2:$B$41,MATCH(A88,계좌!$A$2:$A$41,0)),"?"))</f>
        <v/>
      </c>
      <c r="C88" s="33" t="str">
        <f aca="false">IF(A88="","",IFERROR(INDEX(계좌!$E$2:$E$41,MATCH(A88,계좌!$A$2:$A$41,0)),"?"))</f>
        <v/>
      </c>
      <c r="D88" s="37"/>
      <c r="E88" s="37"/>
      <c r="F88" s="34"/>
      <c r="G88" s="35"/>
      <c r="H88" s="35"/>
      <c r="I88" s="35"/>
      <c r="J88" s="19" t="str">
        <f aca="false">IF(A88="","",G88*H88)</f>
        <v/>
      </c>
      <c r="K88" s="19" t="str">
        <f aca="false">IF(A88="","",G88*I88)</f>
        <v/>
      </c>
      <c r="L88" s="19" t="str">
        <f aca="false">IF(A88="","",K88-J88)</f>
        <v/>
      </c>
      <c r="M88" s="43" t="str">
        <f aca="false">IF(OR(A88="",N(J88)=0),"",L88/J88)</f>
        <v/>
      </c>
    </row>
    <row r="89" customFormat="false" ht="15" hidden="false" customHeight="false" outlineLevel="0" collapsed="false">
      <c r="A89" s="37"/>
      <c r="B89" s="33" t="str">
        <f aca="false">IF(A89="","",IFERROR(INDEX(계좌!$B$2:$B$41,MATCH(A89,계좌!$A$2:$A$41,0)),"?"))</f>
        <v/>
      </c>
      <c r="C89" s="33" t="str">
        <f aca="false">IF(A89="","",IFERROR(INDEX(계좌!$E$2:$E$41,MATCH(A89,계좌!$A$2:$A$41,0)),"?"))</f>
        <v/>
      </c>
      <c r="D89" s="37"/>
      <c r="E89" s="37"/>
      <c r="F89" s="34"/>
      <c r="G89" s="35"/>
      <c r="H89" s="35"/>
      <c r="I89" s="35"/>
      <c r="J89" s="19" t="str">
        <f aca="false">IF(A89="","",G89*H89)</f>
        <v/>
      </c>
      <c r="K89" s="19" t="str">
        <f aca="false">IF(A89="","",G89*I89)</f>
        <v/>
      </c>
      <c r="L89" s="19" t="str">
        <f aca="false">IF(A89="","",K89-J89)</f>
        <v/>
      </c>
      <c r="M89" s="43" t="str">
        <f aca="false">IF(OR(A89="",N(J89)=0),"",L89/J89)</f>
        <v/>
      </c>
    </row>
    <row r="90" customFormat="false" ht="15" hidden="false" customHeight="false" outlineLevel="0" collapsed="false">
      <c r="A90" s="37"/>
      <c r="B90" s="33" t="str">
        <f aca="false">IF(A90="","",IFERROR(INDEX(계좌!$B$2:$B$41,MATCH(A90,계좌!$A$2:$A$41,0)),"?"))</f>
        <v/>
      </c>
      <c r="C90" s="33" t="str">
        <f aca="false">IF(A90="","",IFERROR(INDEX(계좌!$E$2:$E$41,MATCH(A90,계좌!$A$2:$A$41,0)),"?"))</f>
        <v/>
      </c>
      <c r="D90" s="37"/>
      <c r="E90" s="37"/>
      <c r="F90" s="34"/>
      <c r="G90" s="35"/>
      <c r="H90" s="35"/>
      <c r="I90" s="35"/>
      <c r="J90" s="19" t="str">
        <f aca="false">IF(A90="","",G90*H90)</f>
        <v/>
      </c>
      <c r="K90" s="19" t="str">
        <f aca="false">IF(A90="","",G90*I90)</f>
        <v/>
      </c>
      <c r="L90" s="19" t="str">
        <f aca="false">IF(A90="","",K90-J90)</f>
        <v/>
      </c>
      <c r="M90" s="43" t="str">
        <f aca="false">IF(OR(A90="",N(J90)=0),"",L90/J90)</f>
        <v/>
      </c>
    </row>
    <row r="91" customFormat="false" ht="15" hidden="false" customHeight="false" outlineLevel="0" collapsed="false">
      <c r="A91" s="37"/>
      <c r="B91" s="33" t="str">
        <f aca="false">IF(A91="","",IFERROR(INDEX(계좌!$B$2:$B$41,MATCH(A91,계좌!$A$2:$A$41,0)),"?"))</f>
        <v/>
      </c>
      <c r="C91" s="33" t="str">
        <f aca="false">IF(A91="","",IFERROR(INDEX(계좌!$E$2:$E$41,MATCH(A91,계좌!$A$2:$A$41,0)),"?"))</f>
        <v/>
      </c>
      <c r="D91" s="37"/>
      <c r="E91" s="37"/>
      <c r="F91" s="34"/>
      <c r="G91" s="35"/>
      <c r="H91" s="35"/>
      <c r="I91" s="35"/>
      <c r="J91" s="19" t="str">
        <f aca="false">IF(A91="","",G91*H91)</f>
        <v/>
      </c>
      <c r="K91" s="19" t="str">
        <f aca="false">IF(A91="","",G91*I91)</f>
        <v/>
      </c>
      <c r="L91" s="19" t="str">
        <f aca="false">IF(A91="","",K91-J91)</f>
        <v/>
      </c>
      <c r="M91" s="43" t="str">
        <f aca="false">IF(OR(A91="",N(J91)=0),"",L91/J91)</f>
        <v/>
      </c>
    </row>
    <row r="92" customFormat="false" ht="15" hidden="false" customHeight="false" outlineLevel="0" collapsed="false">
      <c r="A92" s="37"/>
      <c r="B92" s="33" t="str">
        <f aca="false">IF(A92="","",IFERROR(INDEX(계좌!$B$2:$B$41,MATCH(A92,계좌!$A$2:$A$41,0)),"?"))</f>
        <v/>
      </c>
      <c r="C92" s="33" t="str">
        <f aca="false">IF(A92="","",IFERROR(INDEX(계좌!$E$2:$E$41,MATCH(A92,계좌!$A$2:$A$41,0)),"?"))</f>
        <v/>
      </c>
      <c r="D92" s="37"/>
      <c r="E92" s="37"/>
      <c r="F92" s="34"/>
      <c r="G92" s="35"/>
      <c r="H92" s="35"/>
      <c r="I92" s="35"/>
      <c r="J92" s="19" t="str">
        <f aca="false">IF(A92="","",G92*H92)</f>
        <v/>
      </c>
      <c r="K92" s="19" t="str">
        <f aca="false">IF(A92="","",G92*I92)</f>
        <v/>
      </c>
      <c r="L92" s="19" t="str">
        <f aca="false">IF(A92="","",K92-J92)</f>
        <v/>
      </c>
      <c r="M92" s="43" t="str">
        <f aca="false">IF(OR(A92="",N(J92)=0),"",L92/J92)</f>
        <v/>
      </c>
    </row>
    <row r="93" customFormat="false" ht="15" hidden="false" customHeight="false" outlineLevel="0" collapsed="false">
      <c r="A93" s="37"/>
      <c r="B93" s="33" t="str">
        <f aca="false">IF(A93="","",IFERROR(INDEX(계좌!$B$2:$B$41,MATCH(A93,계좌!$A$2:$A$41,0)),"?"))</f>
        <v/>
      </c>
      <c r="C93" s="33" t="str">
        <f aca="false">IF(A93="","",IFERROR(INDEX(계좌!$E$2:$E$41,MATCH(A93,계좌!$A$2:$A$41,0)),"?"))</f>
        <v/>
      </c>
      <c r="D93" s="37"/>
      <c r="E93" s="37"/>
      <c r="F93" s="34"/>
      <c r="G93" s="35"/>
      <c r="H93" s="35"/>
      <c r="I93" s="35"/>
      <c r="J93" s="19" t="str">
        <f aca="false">IF(A93="","",G93*H93)</f>
        <v/>
      </c>
      <c r="K93" s="19" t="str">
        <f aca="false">IF(A93="","",G93*I93)</f>
        <v/>
      </c>
      <c r="L93" s="19" t="str">
        <f aca="false">IF(A93="","",K93-J93)</f>
        <v/>
      </c>
      <c r="M93" s="43" t="str">
        <f aca="false">IF(OR(A93="",N(J93)=0),"",L93/J93)</f>
        <v/>
      </c>
    </row>
    <row r="94" customFormat="false" ht="15" hidden="false" customHeight="false" outlineLevel="0" collapsed="false">
      <c r="A94" s="37"/>
      <c r="B94" s="33" t="str">
        <f aca="false">IF(A94="","",IFERROR(INDEX(계좌!$B$2:$B$41,MATCH(A94,계좌!$A$2:$A$41,0)),"?"))</f>
        <v/>
      </c>
      <c r="C94" s="33" t="str">
        <f aca="false">IF(A94="","",IFERROR(INDEX(계좌!$E$2:$E$41,MATCH(A94,계좌!$A$2:$A$41,0)),"?"))</f>
        <v/>
      </c>
      <c r="D94" s="37"/>
      <c r="E94" s="37"/>
      <c r="F94" s="34"/>
      <c r="G94" s="35"/>
      <c r="H94" s="35"/>
      <c r="I94" s="35"/>
      <c r="J94" s="19" t="str">
        <f aca="false">IF(A94="","",G94*H94)</f>
        <v/>
      </c>
      <c r="K94" s="19" t="str">
        <f aca="false">IF(A94="","",G94*I94)</f>
        <v/>
      </c>
      <c r="L94" s="19" t="str">
        <f aca="false">IF(A94="","",K94-J94)</f>
        <v/>
      </c>
      <c r="M94" s="43" t="str">
        <f aca="false">IF(OR(A94="",N(J94)=0),"",L94/J94)</f>
        <v/>
      </c>
    </row>
    <row r="95" customFormat="false" ht="15" hidden="false" customHeight="false" outlineLevel="0" collapsed="false">
      <c r="A95" s="37"/>
      <c r="B95" s="33" t="str">
        <f aca="false">IF(A95="","",IFERROR(INDEX(계좌!$B$2:$B$41,MATCH(A95,계좌!$A$2:$A$41,0)),"?"))</f>
        <v/>
      </c>
      <c r="C95" s="33" t="str">
        <f aca="false">IF(A95="","",IFERROR(INDEX(계좌!$E$2:$E$41,MATCH(A95,계좌!$A$2:$A$41,0)),"?"))</f>
        <v/>
      </c>
      <c r="D95" s="37"/>
      <c r="E95" s="37"/>
      <c r="F95" s="34"/>
      <c r="G95" s="35"/>
      <c r="H95" s="35"/>
      <c r="I95" s="35"/>
      <c r="J95" s="19" t="str">
        <f aca="false">IF(A95="","",G95*H95)</f>
        <v/>
      </c>
      <c r="K95" s="19" t="str">
        <f aca="false">IF(A95="","",G95*I95)</f>
        <v/>
      </c>
      <c r="L95" s="19" t="str">
        <f aca="false">IF(A95="","",K95-J95)</f>
        <v/>
      </c>
      <c r="M95" s="43" t="str">
        <f aca="false">IF(OR(A95="",N(J95)=0),"",L95/J95)</f>
        <v/>
      </c>
    </row>
    <row r="96" customFormat="false" ht="15" hidden="false" customHeight="false" outlineLevel="0" collapsed="false">
      <c r="A96" s="37"/>
      <c r="B96" s="33" t="str">
        <f aca="false">IF(A96="","",IFERROR(INDEX(계좌!$B$2:$B$41,MATCH(A96,계좌!$A$2:$A$41,0)),"?"))</f>
        <v/>
      </c>
      <c r="C96" s="33" t="str">
        <f aca="false">IF(A96="","",IFERROR(INDEX(계좌!$E$2:$E$41,MATCH(A96,계좌!$A$2:$A$41,0)),"?"))</f>
        <v/>
      </c>
      <c r="D96" s="37"/>
      <c r="E96" s="37"/>
      <c r="F96" s="34"/>
      <c r="G96" s="35"/>
      <c r="H96" s="35"/>
      <c r="I96" s="35"/>
      <c r="J96" s="19" t="str">
        <f aca="false">IF(A96="","",G96*H96)</f>
        <v/>
      </c>
      <c r="K96" s="19" t="str">
        <f aca="false">IF(A96="","",G96*I96)</f>
        <v/>
      </c>
      <c r="L96" s="19" t="str">
        <f aca="false">IF(A96="","",K96-J96)</f>
        <v/>
      </c>
      <c r="M96" s="43" t="str">
        <f aca="false">IF(OR(A96="",N(J96)=0),"",L96/J96)</f>
        <v/>
      </c>
    </row>
    <row r="97" customFormat="false" ht="15" hidden="false" customHeight="false" outlineLevel="0" collapsed="false">
      <c r="A97" s="37"/>
      <c r="B97" s="33" t="str">
        <f aca="false">IF(A97="","",IFERROR(INDEX(계좌!$B$2:$B$41,MATCH(A97,계좌!$A$2:$A$41,0)),"?"))</f>
        <v/>
      </c>
      <c r="C97" s="33" t="str">
        <f aca="false">IF(A97="","",IFERROR(INDEX(계좌!$E$2:$E$41,MATCH(A97,계좌!$A$2:$A$41,0)),"?"))</f>
        <v/>
      </c>
      <c r="D97" s="37"/>
      <c r="E97" s="37"/>
      <c r="F97" s="34"/>
      <c r="G97" s="35"/>
      <c r="H97" s="35"/>
      <c r="I97" s="35"/>
      <c r="J97" s="19" t="str">
        <f aca="false">IF(A97="","",G97*H97)</f>
        <v/>
      </c>
      <c r="K97" s="19" t="str">
        <f aca="false">IF(A97="","",G97*I97)</f>
        <v/>
      </c>
      <c r="L97" s="19" t="str">
        <f aca="false">IF(A97="","",K97-J97)</f>
        <v/>
      </c>
      <c r="M97" s="43" t="str">
        <f aca="false">IF(OR(A97="",N(J97)=0),"",L97/J97)</f>
        <v/>
      </c>
    </row>
    <row r="98" customFormat="false" ht="15" hidden="false" customHeight="false" outlineLevel="0" collapsed="false">
      <c r="A98" s="37"/>
      <c r="B98" s="33" t="str">
        <f aca="false">IF(A98="","",IFERROR(INDEX(계좌!$B$2:$B$41,MATCH(A98,계좌!$A$2:$A$41,0)),"?"))</f>
        <v/>
      </c>
      <c r="C98" s="33" t="str">
        <f aca="false">IF(A98="","",IFERROR(INDEX(계좌!$E$2:$E$41,MATCH(A98,계좌!$A$2:$A$41,0)),"?"))</f>
        <v/>
      </c>
      <c r="D98" s="37"/>
      <c r="E98" s="37"/>
      <c r="F98" s="34"/>
      <c r="G98" s="35"/>
      <c r="H98" s="35"/>
      <c r="I98" s="35"/>
      <c r="J98" s="19" t="str">
        <f aca="false">IF(A98="","",G98*H98)</f>
        <v/>
      </c>
      <c r="K98" s="19" t="str">
        <f aca="false">IF(A98="","",G98*I98)</f>
        <v/>
      </c>
      <c r="L98" s="19" t="str">
        <f aca="false">IF(A98="","",K98-J98)</f>
        <v/>
      </c>
      <c r="M98" s="43" t="str">
        <f aca="false">IF(OR(A98="",N(J98)=0),"",L98/J98)</f>
        <v/>
      </c>
    </row>
    <row r="99" customFormat="false" ht="15" hidden="false" customHeight="false" outlineLevel="0" collapsed="false">
      <c r="A99" s="37"/>
      <c r="B99" s="33" t="str">
        <f aca="false">IF(A99="","",IFERROR(INDEX(계좌!$B$2:$B$41,MATCH(A99,계좌!$A$2:$A$41,0)),"?"))</f>
        <v/>
      </c>
      <c r="C99" s="33" t="str">
        <f aca="false">IF(A99="","",IFERROR(INDEX(계좌!$E$2:$E$41,MATCH(A99,계좌!$A$2:$A$41,0)),"?"))</f>
        <v/>
      </c>
      <c r="D99" s="37"/>
      <c r="E99" s="37"/>
      <c r="F99" s="34"/>
      <c r="G99" s="35"/>
      <c r="H99" s="35"/>
      <c r="I99" s="35"/>
      <c r="J99" s="19" t="str">
        <f aca="false">IF(A99="","",G99*H99)</f>
        <v/>
      </c>
      <c r="K99" s="19" t="str">
        <f aca="false">IF(A99="","",G99*I99)</f>
        <v/>
      </c>
      <c r="L99" s="19" t="str">
        <f aca="false">IF(A99="","",K99-J99)</f>
        <v/>
      </c>
      <c r="M99" s="43" t="str">
        <f aca="false">IF(OR(A99="",N(J99)=0),"",L99/J99)</f>
        <v/>
      </c>
    </row>
    <row r="100" customFormat="false" ht="15" hidden="false" customHeight="false" outlineLevel="0" collapsed="false">
      <c r="A100" s="37"/>
      <c r="B100" s="33" t="str">
        <f aca="false">IF(A100="","",IFERROR(INDEX(계좌!$B$2:$B$41,MATCH(A100,계좌!$A$2:$A$41,0)),"?"))</f>
        <v/>
      </c>
      <c r="C100" s="33" t="str">
        <f aca="false">IF(A100="","",IFERROR(INDEX(계좌!$E$2:$E$41,MATCH(A100,계좌!$A$2:$A$41,0)),"?"))</f>
        <v/>
      </c>
      <c r="D100" s="37"/>
      <c r="E100" s="37"/>
      <c r="F100" s="34"/>
      <c r="G100" s="35"/>
      <c r="H100" s="35"/>
      <c r="I100" s="35"/>
      <c r="J100" s="19" t="str">
        <f aca="false">IF(A100="","",G100*H100)</f>
        <v/>
      </c>
      <c r="K100" s="19" t="str">
        <f aca="false">IF(A100="","",G100*I100)</f>
        <v/>
      </c>
      <c r="L100" s="19" t="str">
        <f aca="false">IF(A100="","",K100-J100)</f>
        <v/>
      </c>
      <c r="M100" s="43" t="str">
        <f aca="false">IF(OR(A100="",N(J100)=0),"",L100/J100)</f>
        <v/>
      </c>
    </row>
    <row r="101" customFormat="false" ht="15" hidden="false" customHeight="false" outlineLevel="0" collapsed="false">
      <c r="A101" s="37"/>
      <c r="B101" s="33" t="str">
        <f aca="false">IF(A101="","",IFERROR(INDEX(계좌!$B$2:$B$41,MATCH(A101,계좌!$A$2:$A$41,0)),"?"))</f>
        <v/>
      </c>
      <c r="C101" s="33" t="str">
        <f aca="false">IF(A101="","",IFERROR(INDEX(계좌!$E$2:$E$41,MATCH(A101,계좌!$A$2:$A$41,0)),"?"))</f>
        <v/>
      </c>
      <c r="D101" s="37"/>
      <c r="E101" s="37"/>
      <c r="F101" s="34"/>
      <c r="G101" s="35"/>
      <c r="H101" s="35"/>
      <c r="I101" s="35"/>
      <c r="J101" s="19" t="str">
        <f aca="false">IF(A101="","",G101*H101)</f>
        <v/>
      </c>
      <c r="K101" s="19" t="str">
        <f aca="false">IF(A101="","",G101*I101)</f>
        <v/>
      </c>
      <c r="L101" s="19" t="str">
        <f aca="false">IF(A101="","",K101-J101)</f>
        <v/>
      </c>
      <c r="M101" s="43" t="str">
        <f aca="false">IF(OR(A101="",N(J101)=0),"",L101/J101)</f>
        <v/>
      </c>
    </row>
    <row r="102" customFormat="false" ht="15" hidden="false" customHeight="false" outlineLevel="0" collapsed="false">
      <c r="A102" s="37"/>
      <c r="B102" s="33" t="str">
        <f aca="false">IF(A102="","",IFERROR(INDEX(계좌!$B$2:$B$41,MATCH(A102,계좌!$A$2:$A$41,0)),"?"))</f>
        <v/>
      </c>
      <c r="C102" s="33" t="str">
        <f aca="false">IF(A102="","",IFERROR(INDEX(계좌!$E$2:$E$41,MATCH(A102,계좌!$A$2:$A$41,0)),"?"))</f>
        <v/>
      </c>
      <c r="D102" s="37"/>
      <c r="E102" s="37"/>
      <c r="F102" s="34"/>
      <c r="G102" s="35"/>
      <c r="H102" s="35"/>
      <c r="I102" s="35"/>
      <c r="J102" s="19" t="str">
        <f aca="false">IF(A102="","",G102*H102)</f>
        <v/>
      </c>
      <c r="K102" s="19" t="str">
        <f aca="false">IF(A102="","",G102*I102)</f>
        <v/>
      </c>
      <c r="L102" s="19" t="str">
        <f aca="false">IF(A102="","",K102-J102)</f>
        <v/>
      </c>
      <c r="M102" s="43" t="str">
        <f aca="false">IF(OR(A102="",N(J102)=0),"",L102/J102)</f>
        <v/>
      </c>
    </row>
    <row r="103" customFormat="false" ht="15" hidden="false" customHeight="false" outlineLevel="0" collapsed="false">
      <c r="A103" s="37"/>
      <c r="B103" s="33" t="str">
        <f aca="false">IF(A103="","",IFERROR(INDEX(계좌!$B$2:$B$41,MATCH(A103,계좌!$A$2:$A$41,0)),"?"))</f>
        <v/>
      </c>
      <c r="C103" s="33" t="str">
        <f aca="false">IF(A103="","",IFERROR(INDEX(계좌!$E$2:$E$41,MATCH(A103,계좌!$A$2:$A$41,0)),"?"))</f>
        <v/>
      </c>
      <c r="D103" s="37"/>
      <c r="E103" s="37"/>
      <c r="F103" s="34"/>
      <c r="G103" s="35"/>
      <c r="H103" s="35"/>
      <c r="I103" s="35"/>
      <c r="J103" s="19" t="str">
        <f aca="false">IF(A103="","",G103*H103)</f>
        <v/>
      </c>
      <c r="K103" s="19" t="str">
        <f aca="false">IF(A103="","",G103*I103)</f>
        <v/>
      </c>
      <c r="L103" s="19" t="str">
        <f aca="false">IF(A103="","",K103-J103)</f>
        <v/>
      </c>
      <c r="M103" s="43" t="str">
        <f aca="false">IF(OR(A103="",N(J103)=0),"",L103/J103)</f>
        <v/>
      </c>
    </row>
    <row r="104" customFormat="false" ht="15" hidden="false" customHeight="false" outlineLevel="0" collapsed="false">
      <c r="A104" s="37"/>
      <c r="B104" s="33" t="str">
        <f aca="false">IF(A104="","",IFERROR(INDEX(계좌!$B$2:$B$41,MATCH(A104,계좌!$A$2:$A$41,0)),"?"))</f>
        <v/>
      </c>
      <c r="C104" s="33" t="str">
        <f aca="false">IF(A104="","",IFERROR(INDEX(계좌!$E$2:$E$41,MATCH(A104,계좌!$A$2:$A$41,0)),"?"))</f>
        <v/>
      </c>
      <c r="D104" s="37"/>
      <c r="E104" s="37"/>
      <c r="F104" s="34"/>
      <c r="G104" s="35"/>
      <c r="H104" s="35"/>
      <c r="I104" s="35"/>
      <c r="J104" s="19" t="str">
        <f aca="false">IF(A104="","",G104*H104)</f>
        <v/>
      </c>
      <c r="K104" s="19" t="str">
        <f aca="false">IF(A104="","",G104*I104)</f>
        <v/>
      </c>
      <c r="L104" s="19" t="str">
        <f aca="false">IF(A104="","",K104-J104)</f>
        <v/>
      </c>
      <c r="M104" s="43" t="str">
        <f aca="false">IF(OR(A104="",N(J104)=0),"",L104/J104)</f>
        <v/>
      </c>
    </row>
    <row r="105" customFormat="false" ht="15" hidden="false" customHeight="false" outlineLevel="0" collapsed="false">
      <c r="A105" s="37"/>
      <c r="B105" s="33" t="str">
        <f aca="false">IF(A105="","",IFERROR(INDEX(계좌!$B$2:$B$41,MATCH(A105,계좌!$A$2:$A$41,0)),"?"))</f>
        <v/>
      </c>
      <c r="C105" s="33" t="str">
        <f aca="false">IF(A105="","",IFERROR(INDEX(계좌!$E$2:$E$41,MATCH(A105,계좌!$A$2:$A$41,0)),"?"))</f>
        <v/>
      </c>
      <c r="D105" s="37"/>
      <c r="E105" s="37"/>
      <c r="F105" s="34"/>
      <c r="G105" s="35"/>
      <c r="H105" s="35"/>
      <c r="I105" s="35"/>
      <c r="J105" s="19" t="str">
        <f aca="false">IF(A105="","",G105*H105)</f>
        <v/>
      </c>
      <c r="K105" s="19" t="str">
        <f aca="false">IF(A105="","",G105*I105)</f>
        <v/>
      </c>
      <c r="L105" s="19" t="str">
        <f aca="false">IF(A105="","",K105-J105)</f>
        <v/>
      </c>
      <c r="M105" s="43" t="str">
        <f aca="false">IF(OR(A105="",N(J105)=0),"",L105/J105)</f>
        <v/>
      </c>
    </row>
    <row r="106" customFormat="false" ht="15" hidden="false" customHeight="false" outlineLevel="0" collapsed="false">
      <c r="A106" s="37"/>
      <c r="B106" s="33" t="str">
        <f aca="false">IF(A106="","",IFERROR(INDEX(계좌!$B$2:$B$41,MATCH(A106,계좌!$A$2:$A$41,0)),"?"))</f>
        <v/>
      </c>
      <c r="C106" s="33" t="str">
        <f aca="false">IF(A106="","",IFERROR(INDEX(계좌!$E$2:$E$41,MATCH(A106,계좌!$A$2:$A$41,0)),"?"))</f>
        <v/>
      </c>
      <c r="D106" s="37"/>
      <c r="E106" s="37"/>
      <c r="F106" s="34"/>
      <c r="G106" s="35"/>
      <c r="H106" s="35"/>
      <c r="I106" s="35"/>
      <c r="J106" s="19" t="str">
        <f aca="false">IF(A106="","",G106*H106)</f>
        <v/>
      </c>
      <c r="K106" s="19" t="str">
        <f aca="false">IF(A106="","",G106*I106)</f>
        <v/>
      </c>
      <c r="L106" s="19" t="str">
        <f aca="false">IF(A106="","",K106-J106)</f>
        <v/>
      </c>
      <c r="M106" s="43" t="str">
        <f aca="false">IF(OR(A106="",N(J106)=0),"",L106/J106)</f>
        <v/>
      </c>
    </row>
    <row r="107" customFormat="false" ht="15" hidden="false" customHeight="false" outlineLevel="0" collapsed="false">
      <c r="A107" s="37"/>
      <c r="B107" s="33" t="str">
        <f aca="false">IF(A107="","",IFERROR(INDEX(계좌!$B$2:$B$41,MATCH(A107,계좌!$A$2:$A$41,0)),"?"))</f>
        <v/>
      </c>
      <c r="C107" s="33" t="str">
        <f aca="false">IF(A107="","",IFERROR(INDEX(계좌!$E$2:$E$41,MATCH(A107,계좌!$A$2:$A$41,0)),"?"))</f>
        <v/>
      </c>
      <c r="D107" s="37"/>
      <c r="E107" s="37"/>
      <c r="F107" s="34"/>
      <c r="G107" s="35"/>
      <c r="H107" s="35"/>
      <c r="I107" s="35"/>
      <c r="J107" s="19" t="str">
        <f aca="false">IF(A107="","",G107*H107)</f>
        <v/>
      </c>
      <c r="K107" s="19" t="str">
        <f aca="false">IF(A107="","",G107*I107)</f>
        <v/>
      </c>
      <c r="L107" s="19" t="str">
        <f aca="false">IF(A107="","",K107-J107)</f>
        <v/>
      </c>
      <c r="M107" s="43" t="str">
        <f aca="false">IF(OR(A107="",N(J107)=0),"",L107/J107)</f>
        <v/>
      </c>
    </row>
    <row r="108" customFormat="false" ht="15" hidden="false" customHeight="false" outlineLevel="0" collapsed="false">
      <c r="A108" s="37"/>
      <c r="B108" s="33" t="str">
        <f aca="false">IF(A108="","",IFERROR(INDEX(계좌!$B$2:$B$41,MATCH(A108,계좌!$A$2:$A$41,0)),"?"))</f>
        <v/>
      </c>
      <c r="C108" s="33" t="str">
        <f aca="false">IF(A108="","",IFERROR(INDEX(계좌!$E$2:$E$41,MATCH(A108,계좌!$A$2:$A$41,0)),"?"))</f>
        <v/>
      </c>
      <c r="D108" s="37"/>
      <c r="E108" s="37"/>
      <c r="F108" s="34"/>
      <c r="G108" s="35"/>
      <c r="H108" s="35"/>
      <c r="I108" s="35"/>
      <c r="J108" s="19" t="str">
        <f aca="false">IF(A108="","",G108*H108)</f>
        <v/>
      </c>
      <c r="K108" s="19" t="str">
        <f aca="false">IF(A108="","",G108*I108)</f>
        <v/>
      </c>
      <c r="L108" s="19" t="str">
        <f aca="false">IF(A108="","",K108-J108)</f>
        <v/>
      </c>
      <c r="M108" s="43" t="str">
        <f aca="false">IF(OR(A108="",N(J108)=0),"",L108/J108)</f>
        <v/>
      </c>
    </row>
    <row r="109" customFormat="false" ht="15" hidden="false" customHeight="false" outlineLevel="0" collapsed="false">
      <c r="A109" s="37"/>
      <c r="B109" s="33" t="str">
        <f aca="false">IF(A109="","",IFERROR(INDEX(계좌!$B$2:$B$41,MATCH(A109,계좌!$A$2:$A$41,0)),"?"))</f>
        <v/>
      </c>
      <c r="C109" s="33" t="str">
        <f aca="false">IF(A109="","",IFERROR(INDEX(계좌!$E$2:$E$41,MATCH(A109,계좌!$A$2:$A$41,0)),"?"))</f>
        <v/>
      </c>
      <c r="D109" s="37"/>
      <c r="E109" s="37"/>
      <c r="F109" s="34"/>
      <c r="G109" s="35"/>
      <c r="H109" s="35"/>
      <c r="I109" s="35"/>
      <c r="J109" s="19" t="str">
        <f aca="false">IF(A109="","",G109*H109)</f>
        <v/>
      </c>
      <c r="K109" s="19" t="str">
        <f aca="false">IF(A109="","",G109*I109)</f>
        <v/>
      </c>
      <c r="L109" s="19" t="str">
        <f aca="false">IF(A109="","",K109-J109)</f>
        <v/>
      </c>
      <c r="M109" s="43" t="str">
        <f aca="false">IF(OR(A109="",N(J109)=0),"",L109/J109)</f>
        <v/>
      </c>
    </row>
    <row r="110" customFormat="false" ht="15" hidden="false" customHeight="false" outlineLevel="0" collapsed="false">
      <c r="A110" s="37"/>
      <c r="B110" s="33" t="str">
        <f aca="false">IF(A110="","",IFERROR(INDEX(계좌!$B$2:$B$41,MATCH(A110,계좌!$A$2:$A$41,0)),"?"))</f>
        <v/>
      </c>
      <c r="C110" s="33" t="str">
        <f aca="false">IF(A110="","",IFERROR(INDEX(계좌!$E$2:$E$41,MATCH(A110,계좌!$A$2:$A$41,0)),"?"))</f>
        <v/>
      </c>
      <c r="D110" s="37"/>
      <c r="E110" s="37"/>
      <c r="F110" s="34"/>
      <c r="G110" s="35"/>
      <c r="H110" s="35"/>
      <c r="I110" s="35"/>
      <c r="J110" s="19" t="str">
        <f aca="false">IF(A110="","",G110*H110)</f>
        <v/>
      </c>
      <c r="K110" s="19" t="str">
        <f aca="false">IF(A110="","",G110*I110)</f>
        <v/>
      </c>
      <c r="L110" s="19" t="str">
        <f aca="false">IF(A110="","",K110-J110)</f>
        <v/>
      </c>
      <c r="M110" s="43" t="str">
        <f aca="false">IF(OR(A110="",N(J110)=0),"",L110/J110)</f>
        <v/>
      </c>
    </row>
    <row r="111" customFormat="false" ht="15" hidden="false" customHeight="false" outlineLevel="0" collapsed="false">
      <c r="A111" s="37"/>
      <c r="B111" s="33" t="str">
        <f aca="false">IF(A111="","",IFERROR(INDEX(계좌!$B$2:$B$41,MATCH(A111,계좌!$A$2:$A$41,0)),"?"))</f>
        <v/>
      </c>
      <c r="C111" s="33" t="str">
        <f aca="false">IF(A111="","",IFERROR(INDEX(계좌!$E$2:$E$41,MATCH(A111,계좌!$A$2:$A$41,0)),"?"))</f>
        <v/>
      </c>
      <c r="D111" s="37"/>
      <c r="E111" s="37"/>
      <c r="F111" s="34"/>
      <c r="G111" s="35"/>
      <c r="H111" s="35"/>
      <c r="I111" s="35"/>
      <c r="J111" s="19" t="str">
        <f aca="false">IF(A111="","",G111*H111)</f>
        <v/>
      </c>
      <c r="K111" s="19" t="str">
        <f aca="false">IF(A111="","",G111*I111)</f>
        <v/>
      </c>
      <c r="L111" s="19" t="str">
        <f aca="false">IF(A111="","",K111-J111)</f>
        <v/>
      </c>
      <c r="M111" s="43" t="str">
        <f aca="false">IF(OR(A111="",N(J111)=0),"",L111/J111)</f>
        <v/>
      </c>
    </row>
    <row r="112" customFormat="false" ht="15" hidden="false" customHeight="false" outlineLevel="0" collapsed="false">
      <c r="A112" s="37"/>
      <c r="B112" s="33" t="str">
        <f aca="false">IF(A112="","",IFERROR(INDEX(계좌!$B$2:$B$41,MATCH(A112,계좌!$A$2:$A$41,0)),"?"))</f>
        <v/>
      </c>
      <c r="C112" s="33" t="str">
        <f aca="false">IF(A112="","",IFERROR(INDEX(계좌!$E$2:$E$41,MATCH(A112,계좌!$A$2:$A$41,0)),"?"))</f>
        <v/>
      </c>
      <c r="D112" s="37"/>
      <c r="E112" s="37"/>
      <c r="F112" s="34"/>
      <c r="G112" s="35"/>
      <c r="H112" s="35"/>
      <c r="I112" s="35"/>
      <c r="J112" s="19" t="str">
        <f aca="false">IF(A112="","",G112*H112)</f>
        <v/>
      </c>
      <c r="K112" s="19" t="str">
        <f aca="false">IF(A112="","",G112*I112)</f>
        <v/>
      </c>
      <c r="L112" s="19" t="str">
        <f aca="false">IF(A112="","",K112-J112)</f>
        <v/>
      </c>
      <c r="M112" s="43" t="str">
        <f aca="false">IF(OR(A112="",N(J112)=0),"",L112/J112)</f>
        <v/>
      </c>
    </row>
    <row r="113" customFormat="false" ht="15" hidden="false" customHeight="false" outlineLevel="0" collapsed="false">
      <c r="A113" s="37"/>
      <c r="B113" s="33" t="str">
        <f aca="false">IF(A113="","",IFERROR(INDEX(계좌!$B$2:$B$41,MATCH(A113,계좌!$A$2:$A$41,0)),"?"))</f>
        <v/>
      </c>
      <c r="C113" s="33" t="str">
        <f aca="false">IF(A113="","",IFERROR(INDEX(계좌!$E$2:$E$41,MATCH(A113,계좌!$A$2:$A$41,0)),"?"))</f>
        <v/>
      </c>
      <c r="D113" s="37"/>
      <c r="E113" s="37"/>
      <c r="F113" s="34"/>
      <c r="G113" s="35"/>
      <c r="H113" s="35"/>
      <c r="I113" s="35"/>
      <c r="J113" s="19" t="str">
        <f aca="false">IF(A113="","",G113*H113)</f>
        <v/>
      </c>
      <c r="K113" s="19" t="str">
        <f aca="false">IF(A113="","",G113*I113)</f>
        <v/>
      </c>
      <c r="L113" s="19" t="str">
        <f aca="false">IF(A113="","",K113-J113)</f>
        <v/>
      </c>
      <c r="M113" s="43" t="str">
        <f aca="false">IF(OR(A113="",N(J113)=0),"",L113/J113)</f>
        <v/>
      </c>
    </row>
    <row r="114" customFormat="false" ht="15" hidden="false" customHeight="false" outlineLevel="0" collapsed="false">
      <c r="A114" s="37"/>
      <c r="B114" s="33" t="str">
        <f aca="false">IF(A114="","",IFERROR(INDEX(계좌!$B$2:$B$41,MATCH(A114,계좌!$A$2:$A$41,0)),"?"))</f>
        <v/>
      </c>
      <c r="C114" s="33" t="str">
        <f aca="false">IF(A114="","",IFERROR(INDEX(계좌!$E$2:$E$41,MATCH(A114,계좌!$A$2:$A$41,0)),"?"))</f>
        <v/>
      </c>
      <c r="D114" s="37"/>
      <c r="E114" s="37"/>
      <c r="F114" s="34"/>
      <c r="G114" s="35"/>
      <c r="H114" s="35"/>
      <c r="I114" s="35"/>
      <c r="J114" s="19" t="str">
        <f aca="false">IF(A114="","",G114*H114)</f>
        <v/>
      </c>
      <c r="K114" s="19" t="str">
        <f aca="false">IF(A114="","",G114*I114)</f>
        <v/>
      </c>
      <c r="L114" s="19" t="str">
        <f aca="false">IF(A114="","",K114-J114)</f>
        <v/>
      </c>
      <c r="M114" s="43" t="str">
        <f aca="false">IF(OR(A114="",N(J114)=0),"",L114/J114)</f>
        <v/>
      </c>
    </row>
    <row r="115" customFormat="false" ht="15" hidden="false" customHeight="false" outlineLevel="0" collapsed="false">
      <c r="A115" s="37"/>
      <c r="B115" s="33" t="str">
        <f aca="false">IF(A115="","",IFERROR(INDEX(계좌!$B$2:$B$41,MATCH(A115,계좌!$A$2:$A$41,0)),"?"))</f>
        <v/>
      </c>
      <c r="C115" s="33" t="str">
        <f aca="false">IF(A115="","",IFERROR(INDEX(계좌!$E$2:$E$41,MATCH(A115,계좌!$A$2:$A$41,0)),"?"))</f>
        <v/>
      </c>
      <c r="D115" s="37"/>
      <c r="E115" s="37"/>
      <c r="F115" s="34"/>
      <c r="G115" s="35"/>
      <c r="H115" s="35"/>
      <c r="I115" s="35"/>
      <c r="J115" s="19" t="str">
        <f aca="false">IF(A115="","",G115*H115)</f>
        <v/>
      </c>
      <c r="K115" s="19" t="str">
        <f aca="false">IF(A115="","",G115*I115)</f>
        <v/>
      </c>
      <c r="L115" s="19" t="str">
        <f aca="false">IF(A115="","",K115-J115)</f>
        <v/>
      </c>
      <c r="M115" s="43" t="str">
        <f aca="false">IF(OR(A115="",N(J115)=0),"",L115/J115)</f>
        <v/>
      </c>
    </row>
    <row r="116" customFormat="false" ht="15" hidden="false" customHeight="false" outlineLevel="0" collapsed="false">
      <c r="A116" s="37"/>
      <c r="B116" s="33" t="str">
        <f aca="false">IF(A116="","",IFERROR(INDEX(계좌!$B$2:$B$41,MATCH(A116,계좌!$A$2:$A$41,0)),"?"))</f>
        <v/>
      </c>
      <c r="C116" s="33" t="str">
        <f aca="false">IF(A116="","",IFERROR(INDEX(계좌!$E$2:$E$41,MATCH(A116,계좌!$A$2:$A$41,0)),"?"))</f>
        <v/>
      </c>
      <c r="D116" s="37"/>
      <c r="E116" s="37"/>
      <c r="F116" s="34"/>
      <c r="G116" s="35"/>
      <c r="H116" s="35"/>
      <c r="I116" s="35"/>
      <c r="J116" s="19" t="str">
        <f aca="false">IF(A116="","",G116*H116)</f>
        <v/>
      </c>
      <c r="K116" s="19" t="str">
        <f aca="false">IF(A116="","",G116*I116)</f>
        <v/>
      </c>
      <c r="L116" s="19" t="str">
        <f aca="false">IF(A116="","",K116-J116)</f>
        <v/>
      </c>
      <c r="M116" s="43" t="str">
        <f aca="false">IF(OR(A116="",N(J116)=0),"",L116/J116)</f>
        <v/>
      </c>
    </row>
    <row r="117" customFormat="false" ht="15" hidden="false" customHeight="false" outlineLevel="0" collapsed="false">
      <c r="A117" s="37"/>
      <c r="B117" s="33" t="str">
        <f aca="false">IF(A117="","",IFERROR(INDEX(계좌!$B$2:$B$41,MATCH(A117,계좌!$A$2:$A$41,0)),"?"))</f>
        <v/>
      </c>
      <c r="C117" s="33" t="str">
        <f aca="false">IF(A117="","",IFERROR(INDEX(계좌!$E$2:$E$41,MATCH(A117,계좌!$A$2:$A$41,0)),"?"))</f>
        <v/>
      </c>
      <c r="D117" s="37"/>
      <c r="E117" s="37"/>
      <c r="F117" s="34"/>
      <c r="G117" s="35"/>
      <c r="H117" s="35"/>
      <c r="I117" s="35"/>
      <c r="J117" s="19" t="str">
        <f aca="false">IF(A117="","",G117*H117)</f>
        <v/>
      </c>
      <c r="K117" s="19" t="str">
        <f aca="false">IF(A117="","",G117*I117)</f>
        <v/>
      </c>
      <c r="L117" s="19" t="str">
        <f aca="false">IF(A117="","",K117-J117)</f>
        <v/>
      </c>
      <c r="M117" s="43" t="str">
        <f aca="false">IF(OR(A117="",N(J117)=0),"",L117/J117)</f>
        <v/>
      </c>
    </row>
    <row r="118" customFormat="false" ht="15" hidden="false" customHeight="false" outlineLevel="0" collapsed="false">
      <c r="A118" s="37"/>
      <c r="B118" s="33" t="str">
        <f aca="false">IF(A118="","",IFERROR(INDEX(계좌!$B$2:$B$41,MATCH(A118,계좌!$A$2:$A$41,0)),"?"))</f>
        <v/>
      </c>
      <c r="C118" s="33" t="str">
        <f aca="false">IF(A118="","",IFERROR(INDEX(계좌!$E$2:$E$41,MATCH(A118,계좌!$A$2:$A$41,0)),"?"))</f>
        <v/>
      </c>
      <c r="D118" s="37"/>
      <c r="E118" s="37"/>
      <c r="F118" s="34"/>
      <c r="G118" s="35"/>
      <c r="H118" s="35"/>
      <c r="I118" s="35"/>
      <c r="J118" s="19" t="str">
        <f aca="false">IF(A118="","",G118*H118)</f>
        <v/>
      </c>
      <c r="K118" s="19" t="str">
        <f aca="false">IF(A118="","",G118*I118)</f>
        <v/>
      </c>
      <c r="L118" s="19" t="str">
        <f aca="false">IF(A118="","",K118-J118)</f>
        <v/>
      </c>
      <c r="M118" s="43" t="str">
        <f aca="false">IF(OR(A118="",N(J118)=0),"",L118/J118)</f>
        <v/>
      </c>
    </row>
    <row r="119" customFormat="false" ht="15" hidden="false" customHeight="false" outlineLevel="0" collapsed="false">
      <c r="A119" s="37"/>
      <c r="B119" s="33" t="str">
        <f aca="false">IF(A119="","",IFERROR(INDEX(계좌!$B$2:$B$41,MATCH(A119,계좌!$A$2:$A$41,0)),"?"))</f>
        <v/>
      </c>
      <c r="C119" s="33" t="str">
        <f aca="false">IF(A119="","",IFERROR(INDEX(계좌!$E$2:$E$41,MATCH(A119,계좌!$A$2:$A$41,0)),"?"))</f>
        <v/>
      </c>
      <c r="D119" s="37"/>
      <c r="E119" s="37"/>
      <c r="F119" s="34"/>
      <c r="G119" s="35"/>
      <c r="H119" s="35"/>
      <c r="I119" s="35"/>
      <c r="J119" s="19" t="str">
        <f aca="false">IF(A119="","",G119*H119)</f>
        <v/>
      </c>
      <c r="K119" s="19" t="str">
        <f aca="false">IF(A119="","",G119*I119)</f>
        <v/>
      </c>
      <c r="L119" s="19" t="str">
        <f aca="false">IF(A119="","",K119-J119)</f>
        <v/>
      </c>
      <c r="M119" s="43" t="str">
        <f aca="false">IF(OR(A119="",N(J119)=0),"",L119/J119)</f>
        <v/>
      </c>
    </row>
    <row r="120" customFormat="false" ht="15" hidden="false" customHeight="false" outlineLevel="0" collapsed="false">
      <c r="A120" s="37"/>
      <c r="B120" s="33" t="str">
        <f aca="false">IF(A120="","",IFERROR(INDEX(계좌!$B$2:$B$41,MATCH(A120,계좌!$A$2:$A$41,0)),"?"))</f>
        <v/>
      </c>
      <c r="C120" s="33" t="str">
        <f aca="false">IF(A120="","",IFERROR(INDEX(계좌!$E$2:$E$41,MATCH(A120,계좌!$A$2:$A$41,0)),"?"))</f>
        <v/>
      </c>
      <c r="D120" s="37"/>
      <c r="E120" s="37"/>
      <c r="F120" s="34"/>
      <c r="G120" s="35"/>
      <c r="H120" s="35"/>
      <c r="I120" s="35"/>
      <c r="J120" s="19" t="str">
        <f aca="false">IF(A120="","",G120*H120)</f>
        <v/>
      </c>
      <c r="K120" s="19" t="str">
        <f aca="false">IF(A120="","",G120*I120)</f>
        <v/>
      </c>
      <c r="L120" s="19" t="str">
        <f aca="false">IF(A120="","",K120-J120)</f>
        <v/>
      </c>
      <c r="M120" s="43" t="str">
        <f aca="false">IF(OR(A120="",N(J120)=0),"",L120/J120)</f>
        <v/>
      </c>
    </row>
    <row r="121" customFormat="false" ht="15" hidden="false" customHeight="false" outlineLevel="0" collapsed="false">
      <c r="A121" s="37"/>
      <c r="B121" s="33" t="str">
        <f aca="false">IF(A121="","",IFERROR(INDEX(계좌!$B$2:$B$41,MATCH(A121,계좌!$A$2:$A$41,0)),"?"))</f>
        <v/>
      </c>
      <c r="C121" s="33" t="str">
        <f aca="false">IF(A121="","",IFERROR(INDEX(계좌!$E$2:$E$41,MATCH(A121,계좌!$A$2:$A$41,0)),"?"))</f>
        <v/>
      </c>
      <c r="D121" s="37"/>
      <c r="E121" s="37"/>
      <c r="F121" s="34"/>
      <c r="G121" s="35"/>
      <c r="H121" s="35"/>
      <c r="I121" s="35"/>
      <c r="J121" s="19" t="str">
        <f aca="false">IF(A121="","",G121*H121)</f>
        <v/>
      </c>
      <c r="K121" s="19" t="str">
        <f aca="false">IF(A121="","",G121*I121)</f>
        <v/>
      </c>
      <c r="L121" s="19" t="str">
        <f aca="false">IF(A121="","",K121-J121)</f>
        <v/>
      </c>
      <c r="M121" s="43" t="str">
        <f aca="false">IF(OR(A121="",N(J121)=0),"",L121/J121)</f>
        <v/>
      </c>
    </row>
    <row r="122" customFormat="false" ht="15" hidden="false" customHeight="false" outlineLevel="0" collapsed="false">
      <c r="A122" s="37"/>
      <c r="B122" s="33" t="str">
        <f aca="false">IF(A122="","",IFERROR(INDEX(계좌!$B$2:$B$41,MATCH(A122,계좌!$A$2:$A$41,0)),"?"))</f>
        <v/>
      </c>
      <c r="C122" s="33" t="str">
        <f aca="false">IF(A122="","",IFERROR(INDEX(계좌!$E$2:$E$41,MATCH(A122,계좌!$A$2:$A$41,0)),"?"))</f>
        <v/>
      </c>
      <c r="D122" s="37"/>
      <c r="E122" s="37"/>
      <c r="F122" s="34"/>
      <c r="G122" s="35"/>
      <c r="H122" s="35"/>
      <c r="I122" s="35"/>
      <c r="J122" s="19" t="str">
        <f aca="false">IF(A122="","",G122*H122)</f>
        <v/>
      </c>
      <c r="K122" s="19" t="str">
        <f aca="false">IF(A122="","",G122*I122)</f>
        <v/>
      </c>
      <c r="L122" s="19" t="str">
        <f aca="false">IF(A122="","",K122-J122)</f>
        <v/>
      </c>
      <c r="M122" s="43" t="str">
        <f aca="false">IF(OR(A122="",N(J122)=0),"",L122/J122)</f>
        <v/>
      </c>
    </row>
    <row r="123" customFormat="false" ht="15" hidden="false" customHeight="false" outlineLevel="0" collapsed="false">
      <c r="A123" s="37"/>
      <c r="B123" s="33" t="str">
        <f aca="false">IF(A123="","",IFERROR(INDEX(계좌!$B$2:$B$41,MATCH(A123,계좌!$A$2:$A$41,0)),"?"))</f>
        <v/>
      </c>
      <c r="C123" s="33" t="str">
        <f aca="false">IF(A123="","",IFERROR(INDEX(계좌!$E$2:$E$41,MATCH(A123,계좌!$A$2:$A$41,0)),"?"))</f>
        <v/>
      </c>
      <c r="D123" s="37"/>
      <c r="E123" s="37"/>
      <c r="F123" s="34"/>
      <c r="G123" s="35"/>
      <c r="H123" s="35"/>
      <c r="I123" s="35"/>
      <c r="J123" s="19" t="str">
        <f aca="false">IF(A123="","",G123*H123)</f>
        <v/>
      </c>
      <c r="K123" s="19" t="str">
        <f aca="false">IF(A123="","",G123*I123)</f>
        <v/>
      </c>
      <c r="L123" s="19" t="str">
        <f aca="false">IF(A123="","",K123-J123)</f>
        <v/>
      </c>
      <c r="M123" s="43" t="str">
        <f aca="false">IF(OR(A123="",N(J123)=0),"",L123/J123)</f>
        <v/>
      </c>
    </row>
    <row r="124" customFormat="false" ht="15" hidden="false" customHeight="false" outlineLevel="0" collapsed="false">
      <c r="A124" s="37"/>
      <c r="B124" s="33" t="str">
        <f aca="false">IF(A124="","",IFERROR(INDEX(계좌!$B$2:$B$41,MATCH(A124,계좌!$A$2:$A$41,0)),"?"))</f>
        <v/>
      </c>
      <c r="C124" s="33" t="str">
        <f aca="false">IF(A124="","",IFERROR(INDEX(계좌!$E$2:$E$41,MATCH(A124,계좌!$A$2:$A$41,0)),"?"))</f>
        <v/>
      </c>
      <c r="D124" s="37"/>
      <c r="E124" s="37"/>
      <c r="F124" s="34"/>
      <c r="G124" s="35"/>
      <c r="H124" s="35"/>
      <c r="I124" s="35"/>
      <c r="J124" s="19" t="str">
        <f aca="false">IF(A124="","",G124*H124)</f>
        <v/>
      </c>
      <c r="K124" s="19" t="str">
        <f aca="false">IF(A124="","",G124*I124)</f>
        <v/>
      </c>
      <c r="L124" s="19" t="str">
        <f aca="false">IF(A124="","",K124-J124)</f>
        <v/>
      </c>
      <c r="M124" s="43" t="str">
        <f aca="false">IF(OR(A124="",N(J124)=0),"",L124/J124)</f>
        <v/>
      </c>
    </row>
    <row r="125" customFormat="false" ht="15" hidden="false" customHeight="false" outlineLevel="0" collapsed="false">
      <c r="A125" s="37"/>
      <c r="B125" s="33" t="str">
        <f aca="false">IF(A125="","",IFERROR(INDEX(계좌!$B$2:$B$41,MATCH(A125,계좌!$A$2:$A$41,0)),"?"))</f>
        <v/>
      </c>
      <c r="C125" s="33" t="str">
        <f aca="false">IF(A125="","",IFERROR(INDEX(계좌!$E$2:$E$41,MATCH(A125,계좌!$A$2:$A$41,0)),"?"))</f>
        <v/>
      </c>
      <c r="D125" s="37"/>
      <c r="E125" s="37"/>
      <c r="F125" s="34"/>
      <c r="G125" s="35"/>
      <c r="H125" s="35"/>
      <c r="I125" s="35"/>
      <c r="J125" s="19" t="str">
        <f aca="false">IF(A125="","",G125*H125)</f>
        <v/>
      </c>
      <c r="K125" s="19" t="str">
        <f aca="false">IF(A125="","",G125*I125)</f>
        <v/>
      </c>
      <c r="L125" s="19" t="str">
        <f aca="false">IF(A125="","",K125-J125)</f>
        <v/>
      </c>
      <c r="M125" s="43" t="str">
        <f aca="false">IF(OR(A125="",N(J125)=0),"",L125/J125)</f>
        <v/>
      </c>
    </row>
    <row r="126" customFormat="false" ht="15" hidden="false" customHeight="false" outlineLevel="0" collapsed="false">
      <c r="A126" s="37"/>
      <c r="B126" s="33" t="str">
        <f aca="false">IF(A126="","",IFERROR(INDEX(계좌!$B$2:$B$41,MATCH(A126,계좌!$A$2:$A$41,0)),"?"))</f>
        <v/>
      </c>
      <c r="C126" s="33" t="str">
        <f aca="false">IF(A126="","",IFERROR(INDEX(계좌!$E$2:$E$41,MATCH(A126,계좌!$A$2:$A$41,0)),"?"))</f>
        <v/>
      </c>
      <c r="D126" s="37"/>
      <c r="E126" s="37"/>
      <c r="F126" s="34"/>
      <c r="G126" s="35"/>
      <c r="H126" s="35"/>
      <c r="I126" s="35"/>
      <c r="J126" s="19" t="str">
        <f aca="false">IF(A126="","",G126*H126)</f>
        <v/>
      </c>
      <c r="K126" s="19" t="str">
        <f aca="false">IF(A126="","",G126*I126)</f>
        <v/>
      </c>
      <c r="L126" s="19" t="str">
        <f aca="false">IF(A126="","",K126-J126)</f>
        <v/>
      </c>
      <c r="M126" s="43" t="str">
        <f aca="false">IF(OR(A126="",N(J126)=0),"",L126/J126)</f>
        <v/>
      </c>
    </row>
  </sheetData>
  <conditionalFormatting sqref="F4:F8">
    <cfRule type="expression" priority="2" aboveAverage="0" equalAverage="0" bottom="0" percent="0" rank="0" text="" dxfId="0">
      <formula>OR(ISNUMBER(SEARCH("초과",F4)),ISNUMBER(SEARCH("부족",F4)),ISNUMBER(SEARCH("공백",F4)))</formula>
    </cfRule>
    <cfRule type="expression" priority="3" aboveAverage="0" equalAverage="0" bottom="0" percent="0" rank="0" text="" dxfId="1">
      <formula>OR(ISNUMBER(SEARCH("주의",F4)),ISNUMBER(SEARCH("미달",F4)),ISNUMBER(SEARCH("지연",F4)),ISNUMBER(SEARCH("리밸런싱",F4)),ISNUMBER(SEARCH("감소",F4)))</formula>
    </cfRule>
    <cfRule type="expression" priority="4" aboveAverage="0" equalAverage="0" bottom="0" percent="0" rank="0" text="" dxfId="2">
      <formula>OR(ISNUMBER(SEARCH("양호",F4)),ISNUMBER(SEARCH("달성",F4)),ISNUMBER(SEARCH("순항",F4)),ISNUMBER(SEARCH("정상",F4)),ISNUMBER(SEARCH("증가",F4)),ISNUMBER(SEARCH("보장",F4)),ISNUMBER(SEARCH("적정",F4)))</formula>
    </cfRule>
  </conditionalFormatting>
  <dataValidations count="2">
    <dataValidation allowBlank="true" error="목록에서 선택하세요." errorStyle="stop" errorTitle="입력 확인" operator="between" showDropDown="false" showErrorMessage="false" showInputMessage="false" sqref="A27:A126" type="list">
      <formula1>계좌!$A$2:$A$41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F27:F126" type="list">
      <formula1>설정!$I$3:$I$7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9"/>
    <col collapsed="false" customWidth="true" hidden="false" outlineLevel="0" max="13" min="13" style="0" width="11"/>
  </cols>
  <sheetData>
    <row r="1" customFormat="false" ht="19.7" hidden="false" customHeight="false" outlineLevel="0" collapsed="false">
      <c r="A1" s="39" t="s">
        <v>320</v>
      </c>
    </row>
    <row r="2" customFormat="false" ht="15" hidden="false" customHeight="false" outlineLevel="0" collapsed="false">
      <c r="A2" s="31" t="s">
        <v>321</v>
      </c>
    </row>
    <row r="3" customFormat="false" ht="26.85" hidden="false" customHeight="false" outlineLevel="0" collapsed="false">
      <c r="A3" s="29" t="s">
        <v>322</v>
      </c>
      <c r="B3" s="29" t="s">
        <v>170</v>
      </c>
      <c r="C3" s="30" t="s">
        <v>173</v>
      </c>
      <c r="D3" s="30" t="s">
        <v>323</v>
      </c>
      <c r="E3" s="29" t="s">
        <v>324</v>
      </c>
      <c r="F3" s="29" t="s">
        <v>325</v>
      </c>
      <c r="G3" s="29" t="s">
        <v>326</v>
      </c>
      <c r="H3" s="29" t="s">
        <v>327</v>
      </c>
      <c r="I3" s="30" t="s">
        <v>328</v>
      </c>
      <c r="J3" s="30" t="s">
        <v>329</v>
      </c>
      <c r="K3" s="30" t="s">
        <v>330</v>
      </c>
      <c r="L3" s="30" t="s">
        <v>331</v>
      </c>
      <c r="M3" s="30" t="s">
        <v>332</v>
      </c>
    </row>
    <row r="4" customFormat="false" ht="15" hidden="false" customHeight="false" outlineLevel="0" collapsed="false">
      <c r="A4" s="34" t="s">
        <v>247</v>
      </c>
      <c r="B4" s="37" t="s">
        <v>191</v>
      </c>
      <c r="C4" s="33" t="str">
        <f aca="false">IF(B4="","",IFERROR(INDEX(계좌!$E$2:$E$41,MATCH(B4,계좌!$A$2:$A$41,0)),"?"))</f>
        <v>공동</v>
      </c>
      <c r="D4" s="19" t="n">
        <f aca="false">IF(B4="","",SUMIFS(스냅샷!$C$2:$C$3000,스냅샷!$A$2:$A$3000,설정!$B$3,스냅샷!$B$2:$B$3000,B4))</f>
        <v>285400000</v>
      </c>
      <c r="E4" s="51" t="n">
        <v>0.0415</v>
      </c>
      <c r="F4" s="32" t="n">
        <v>55243</v>
      </c>
      <c r="G4" s="34" t="s">
        <v>333</v>
      </c>
      <c r="H4" s="35" t="n">
        <v>1603000</v>
      </c>
      <c r="I4" s="19" t="n">
        <f aca="false">IF(B4="","",D4*E4/12)</f>
        <v>987008.333333333</v>
      </c>
      <c r="J4" s="19" t="n">
        <f aca="false">IF(B4="","",H4*12)</f>
        <v>19236000</v>
      </c>
      <c r="K4" s="19" t="n">
        <f aca="false">IF(B4="","",D4*0.01/12)</f>
        <v>237833.333333333</v>
      </c>
      <c r="L4" s="52" t="n">
        <f aca="false">IF(F4="","",MAX(0,ROUND((F4-설정!$B$10)/30.4,0)))</f>
        <v>294</v>
      </c>
      <c r="M4" s="53" t="n">
        <f aca="false">IF(OR(B4="",E4=""),"",RANK(E4,$E$4:$E$13))</f>
        <v>2</v>
      </c>
    </row>
    <row r="5" customFormat="false" ht="15" hidden="false" customHeight="false" outlineLevel="0" collapsed="false">
      <c r="A5" s="34" t="s">
        <v>248</v>
      </c>
      <c r="B5" s="37" t="s">
        <v>192</v>
      </c>
      <c r="C5" s="33" t="str">
        <f aca="false">IF(B5="","",IFERROR(INDEX(계좌!$E$2:$E$41,MATCH(B5,계좌!$A$2:$A$41,0)),"?"))</f>
        <v>본인</v>
      </c>
      <c r="D5" s="19" t="n">
        <f aca="false">IF(B5="","",SUMIFS(스냅샷!$C$2:$C$3000,스냅샷!$A$2:$A$3000,설정!$B$3,스냅샷!$B$2:$B$3000,B5))</f>
        <v>14700000</v>
      </c>
      <c r="E5" s="51" t="n">
        <v>0.056</v>
      </c>
      <c r="F5" s="32" t="n">
        <v>46934</v>
      </c>
      <c r="G5" s="34" t="s">
        <v>334</v>
      </c>
      <c r="H5" s="35" t="n">
        <v>382000</v>
      </c>
      <c r="I5" s="19" t="n">
        <f aca="false">IF(B5="","",D5*E5/12)</f>
        <v>68600</v>
      </c>
      <c r="J5" s="19" t="n">
        <f aca="false">IF(B5="","",H5*12)</f>
        <v>4584000</v>
      </c>
      <c r="K5" s="19" t="n">
        <f aca="false">IF(B5="","",D5*0.01/12)</f>
        <v>12250</v>
      </c>
      <c r="L5" s="52" t="n">
        <f aca="false">IF(F5="","",MAX(0,ROUND((F5-설정!$B$10)/30.4,0)))</f>
        <v>21</v>
      </c>
      <c r="M5" s="53" t="n">
        <f aca="false">IF(OR(B5="",E5=""),"",RANK(E5,$E$4:$E$13))</f>
        <v>1</v>
      </c>
    </row>
    <row r="6" customFormat="false" ht="15" hidden="false" customHeight="false" outlineLevel="0" collapsed="false">
      <c r="A6" s="37"/>
      <c r="B6" s="37"/>
      <c r="C6" s="33" t="str">
        <f aca="false">IF(B6="","",IFERROR(INDEX(계좌!$E$2:$E$41,MATCH(B6,계좌!$A$2:$A$41,0)),"?"))</f>
        <v/>
      </c>
      <c r="D6" s="19" t="str">
        <f aca="false">IF(B6="","",SUMIFS(스냅샷!$C$2:$C$3000,스냅샷!$A$2:$A$3000,설정!$B$3,스냅샷!$B$2:$B$3000,B6))</f>
        <v/>
      </c>
      <c r="E6" s="51"/>
      <c r="F6" s="32"/>
      <c r="G6" s="37"/>
      <c r="H6" s="35"/>
      <c r="I6" s="19" t="str">
        <f aca="false">IF(B6="","",D6*E6/12)</f>
        <v/>
      </c>
      <c r="J6" s="19" t="str">
        <f aca="false">IF(B6="","",H6*12)</f>
        <v/>
      </c>
      <c r="K6" s="19" t="str">
        <f aca="false">IF(B6="","",D6*0.01/12)</f>
        <v/>
      </c>
      <c r="L6" s="52" t="str">
        <f aca="false">IF(F6="","",MAX(0,ROUND((F6-설정!$B$10)/30.4,0)))</f>
        <v/>
      </c>
      <c r="M6" s="53" t="str">
        <f aca="false">IF(OR(B6="",E6=""),"",RANK(E6,$E$4:$E$13))</f>
        <v/>
      </c>
    </row>
    <row r="7" customFormat="false" ht="15" hidden="false" customHeight="false" outlineLevel="0" collapsed="false">
      <c r="A7" s="37"/>
      <c r="B7" s="37"/>
      <c r="C7" s="33" t="str">
        <f aca="false">IF(B7="","",IFERROR(INDEX(계좌!$E$2:$E$41,MATCH(B7,계좌!$A$2:$A$41,0)),"?"))</f>
        <v/>
      </c>
      <c r="D7" s="19" t="str">
        <f aca="false">IF(B7="","",SUMIFS(스냅샷!$C$2:$C$3000,스냅샷!$A$2:$A$3000,설정!$B$3,스냅샷!$B$2:$B$3000,B7))</f>
        <v/>
      </c>
      <c r="E7" s="51"/>
      <c r="F7" s="32"/>
      <c r="G7" s="37"/>
      <c r="H7" s="35"/>
      <c r="I7" s="19" t="str">
        <f aca="false">IF(B7="","",D7*E7/12)</f>
        <v/>
      </c>
      <c r="J7" s="19" t="str">
        <f aca="false">IF(B7="","",H7*12)</f>
        <v/>
      </c>
      <c r="K7" s="19" t="str">
        <f aca="false">IF(B7="","",D7*0.01/12)</f>
        <v/>
      </c>
      <c r="L7" s="52" t="str">
        <f aca="false">IF(F7="","",MAX(0,ROUND((F7-설정!$B$10)/30.4,0)))</f>
        <v/>
      </c>
      <c r="M7" s="53" t="str">
        <f aca="false">IF(OR(B7="",E7=""),"",RANK(E7,$E$4:$E$13))</f>
        <v/>
      </c>
    </row>
    <row r="8" customFormat="false" ht="15" hidden="false" customHeight="false" outlineLevel="0" collapsed="false">
      <c r="A8" s="37"/>
      <c r="B8" s="37"/>
      <c r="C8" s="33" t="str">
        <f aca="false">IF(B8="","",IFERROR(INDEX(계좌!$E$2:$E$41,MATCH(B8,계좌!$A$2:$A$41,0)),"?"))</f>
        <v/>
      </c>
      <c r="D8" s="19" t="str">
        <f aca="false">IF(B8="","",SUMIFS(스냅샷!$C$2:$C$3000,스냅샷!$A$2:$A$3000,설정!$B$3,스냅샷!$B$2:$B$3000,B8))</f>
        <v/>
      </c>
      <c r="E8" s="51"/>
      <c r="F8" s="32"/>
      <c r="G8" s="37"/>
      <c r="H8" s="35"/>
      <c r="I8" s="19" t="str">
        <f aca="false">IF(B8="","",D8*E8/12)</f>
        <v/>
      </c>
      <c r="J8" s="19" t="str">
        <f aca="false">IF(B8="","",H8*12)</f>
        <v/>
      </c>
      <c r="K8" s="19" t="str">
        <f aca="false">IF(B8="","",D8*0.01/12)</f>
        <v/>
      </c>
      <c r="L8" s="52" t="str">
        <f aca="false">IF(F8="","",MAX(0,ROUND((F8-설정!$B$10)/30.4,0)))</f>
        <v/>
      </c>
      <c r="M8" s="53" t="str">
        <f aca="false">IF(OR(B8="",E8=""),"",RANK(E8,$E$4:$E$13))</f>
        <v/>
      </c>
    </row>
    <row r="9" customFormat="false" ht="15" hidden="false" customHeight="false" outlineLevel="0" collapsed="false">
      <c r="A9" s="37"/>
      <c r="B9" s="37"/>
      <c r="C9" s="33" t="str">
        <f aca="false">IF(B9="","",IFERROR(INDEX(계좌!$E$2:$E$41,MATCH(B9,계좌!$A$2:$A$41,0)),"?"))</f>
        <v/>
      </c>
      <c r="D9" s="19" t="str">
        <f aca="false">IF(B9="","",SUMIFS(스냅샷!$C$2:$C$3000,스냅샷!$A$2:$A$3000,설정!$B$3,스냅샷!$B$2:$B$3000,B9))</f>
        <v/>
      </c>
      <c r="E9" s="51"/>
      <c r="F9" s="32"/>
      <c r="G9" s="37"/>
      <c r="H9" s="35"/>
      <c r="I9" s="19" t="str">
        <f aca="false">IF(B9="","",D9*E9/12)</f>
        <v/>
      </c>
      <c r="J9" s="19" t="str">
        <f aca="false">IF(B9="","",H9*12)</f>
        <v/>
      </c>
      <c r="K9" s="19" t="str">
        <f aca="false">IF(B9="","",D9*0.01/12)</f>
        <v/>
      </c>
      <c r="L9" s="52" t="str">
        <f aca="false">IF(F9="","",MAX(0,ROUND((F9-설정!$B$10)/30.4,0)))</f>
        <v/>
      </c>
      <c r="M9" s="53" t="str">
        <f aca="false">IF(OR(B9="",E9=""),"",RANK(E9,$E$4:$E$13))</f>
        <v/>
      </c>
    </row>
    <row r="10" customFormat="false" ht="15" hidden="false" customHeight="false" outlineLevel="0" collapsed="false">
      <c r="A10" s="37"/>
      <c r="B10" s="37"/>
      <c r="C10" s="33" t="str">
        <f aca="false">IF(B10="","",IFERROR(INDEX(계좌!$E$2:$E$41,MATCH(B10,계좌!$A$2:$A$41,0)),"?"))</f>
        <v/>
      </c>
      <c r="D10" s="19" t="str">
        <f aca="false">IF(B10="","",SUMIFS(스냅샷!$C$2:$C$3000,스냅샷!$A$2:$A$3000,설정!$B$3,스냅샷!$B$2:$B$3000,B10))</f>
        <v/>
      </c>
      <c r="E10" s="51"/>
      <c r="F10" s="32"/>
      <c r="G10" s="37"/>
      <c r="H10" s="35"/>
      <c r="I10" s="19" t="str">
        <f aca="false">IF(B10="","",D10*E10/12)</f>
        <v/>
      </c>
      <c r="J10" s="19" t="str">
        <f aca="false">IF(B10="","",H10*12)</f>
        <v/>
      </c>
      <c r="K10" s="19" t="str">
        <f aca="false">IF(B10="","",D10*0.01/12)</f>
        <v/>
      </c>
      <c r="L10" s="52" t="str">
        <f aca="false">IF(F10="","",MAX(0,ROUND((F10-설정!$B$10)/30.4,0)))</f>
        <v/>
      </c>
      <c r="M10" s="53" t="str">
        <f aca="false">IF(OR(B10="",E10=""),"",RANK(E10,$E$4:$E$13))</f>
        <v/>
      </c>
    </row>
    <row r="11" customFormat="false" ht="15" hidden="false" customHeight="false" outlineLevel="0" collapsed="false">
      <c r="A11" s="37"/>
      <c r="B11" s="37"/>
      <c r="C11" s="33" t="str">
        <f aca="false">IF(B11="","",IFERROR(INDEX(계좌!$E$2:$E$41,MATCH(B11,계좌!$A$2:$A$41,0)),"?"))</f>
        <v/>
      </c>
      <c r="D11" s="19" t="str">
        <f aca="false">IF(B11="","",SUMIFS(스냅샷!$C$2:$C$3000,스냅샷!$A$2:$A$3000,설정!$B$3,스냅샷!$B$2:$B$3000,B11))</f>
        <v/>
      </c>
      <c r="E11" s="51"/>
      <c r="F11" s="32"/>
      <c r="G11" s="37"/>
      <c r="H11" s="35"/>
      <c r="I11" s="19" t="str">
        <f aca="false">IF(B11="","",D11*E11/12)</f>
        <v/>
      </c>
      <c r="J11" s="19" t="str">
        <f aca="false">IF(B11="","",H11*12)</f>
        <v/>
      </c>
      <c r="K11" s="19" t="str">
        <f aca="false">IF(B11="","",D11*0.01/12)</f>
        <v/>
      </c>
      <c r="L11" s="52" t="str">
        <f aca="false">IF(F11="","",MAX(0,ROUND((F11-설정!$B$10)/30.4,0)))</f>
        <v/>
      </c>
      <c r="M11" s="53" t="str">
        <f aca="false">IF(OR(B11="",E11=""),"",RANK(E11,$E$4:$E$13))</f>
        <v/>
      </c>
    </row>
    <row r="12" customFormat="false" ht="15" hidden="false" customHeight="false" outlineLevel="0" collapsed="false">
      <c r="A12" s="37"/>
      <c r="B12" s="37"/>
      <c r="C12" s="33" t="str">
        <f aca="false">IF(B12="","",IFERROR(INDEX(계좌!$E$2:$E$41,MATCH(B12,계좌!$A$2:$A$41,0)),"?"))</f>
        <v/>
      </c>
      <c r="D12" s="19" t="str">
        <f aca="false">IF(B12="","",SUMIFS(스냅샷!$C$2:$C$3000,스냅샷!$A$2:$A$3000,설정!$B$3,스냅샷!$B$2:$B$3000,B12))</f>
        <v/>
      </c>
      <c r="E12" s="51"/>
      <c r="F12" s="32"/>
      <c r="G12" s="37"/>
      <c r="H12" s="35"/>
      <c r="I12" s="19" t="str">
        <f aca="false">IF(B12="","",D12*E12/12)</f>
        <v/>
      </c>
      <c r="J12" s="19" t="str">
        <f aca="false">IF(B12="","",H12*12)</f>
        <v/>
      </c>
      <c r="K12" s="19" t="str">
        <f aca="false">IF(B12="","",D12*0.01/12)</f>
        <v/>
      </c>
      <c r="L12" s="52" t="str">
        <f aca="false">IF(F12="","",MAX(0,ROUND((F12-설정!$B$10)/30.4,0)))</f>
        <v/>
      </c>
      <c r="M12" s="53" t="str">
        <f aca="false">IF(OR(B12="",E12=""),"",RANK(E12,$E$4:$E$13))</f>
        <v/>
      </c>
    </row>
    <row r="13" customFormat="false" ht="15" hidden="false" customHeight="false" outlineLevel="0" collapsed="false">
      <c r="A13" s="37"/>
      <c r="B13" s="37"/>
      <c r="C13" s="33" t="str">
        <f aca="false">IF(B13="","",IFERROR(INDEX(계좌!$E$2:$E$41,MATCH(B13,계좌!$A$2:$A$41,0)),"?"))</f>
        <v/>
      </c>
      <c r="D13" s="19" t="str">
        <f aca="false">IF(B13="","",SUMIFS(스냅샷!$C$2:$C$3000,스냅샷!$A$2:$A$3000,설정!$B$3,스냅샷!$B$2:$B$3000,B13))</f>
        <v/>
      </c>
      <c r="E13" s="51"/>
      <c r="F13" s="32"/>
      <c r="G13" s="37"/>
      <c r="H13" s="35"/>
      <c r="I13" s="19" t="str">
        <f aca="false">IF(B13="","",D13*E13/12)</f>
        <v/>
      </c>
      <c r="J13" s="19" t="str">
        <f aca="false">IF(B13="","",H13*12)</f>
        <v/>
      </c>
      <c r="K13" s="19" t="str">
        <f aca="false">IF(B13="","",D13*0.01/12)</f>
        <v/>
      </c>
      <c r="L13" s="52" t="str">
        <f aca="false">IF(F13="","",MAX(0,ROUND((F13-설정!$B$10)/30.4,0)))</f>
        <v/>
      </c>
      <c r="M13" s="53" t="str">
        <f aca="false">IF(OR(B13="",E13=""),"",RANK(E13,$E$4:$E$13))</f>
        <v/>
      </c>
    </row>
    <row r="15" customFormat="false" ht="15" hidden="false" customHeight="false" outlineLevel="0" collapsed="false">
      <c r="A15" s="48" t="s">
        <v>335</v>
      </c>
      <c r="B15" s="49"/>
      <c r="C15" s="49"/>
    </row>
    <row r="16" customFormat="false" ht="15" hidden="false" customHeight="false" outlineLevel="0" collapsed="false">
      <c r="A16" s="41" t="s">
        <v>336</v>
      </c>
      <c r="B16" s="19" t="n">
        <f aca="false">SUMIFS(D4:D13,C4:C13,설정!$B$5)</f>
        <v>300100000</v>
      </c>
    </row>
    <row r="17" customFormat="false" ht="15" hidden="false" customHeight="false" outlineLevel="0" collapsed="false">
      <c r="A17" s="41" t="s">
        <v>337</v>
      </c>
      <c r="B17" s="19" t="n">
        <f aca="false">SUMIFS(H4:H13,C4:C13,설정!$B$5)</f>
        <v>1985000</v>
      </c>
    </row>
    <row r="18" customFormat="false" ht="15" hidden="false" customHeight="false" outlineLevel="0" collapsed="false">
      <c r="A18" s="41" t="s">
        <v>329</v>
      </c>
      <c r="B18" s="19" t="n">
        <f aca="false">B17*12</f>
        <v>23820000</v>
      </c>
    </row>
    <row r="19" customFormat="false" ht="15" hidden="false" customHeight="false" outlineLevel="0" collapsed="false">
      <c r="A19" s="41" t="s">
        <v>338</v>
      </c>
      <c r="B19" s="19" t="n">
        <f aca="false">IF(설정!$B$4="공동",SUMIFS(거래내역!$D$2:$D$5000,거래내역!$F$2:$F$5000,"소득",거래내역!$L$2:$L$5000,"&gt;="&amp;VALUE(SUBSTITUTE(TEXT(EDATE(DATEVALUE(설정!$B$3&amp;"-01"),-11),"yyyy-mm"),"-","")),거래내역!$L$2:$L$5000,"&lt;="&amp;설정!$B$7),손익!N9)</f>
        <v>111123000</v>
      </c>
    </row>
    <row r="20" customFormat="false" ht="15" hidden="false" customHeight="false" outlineLevel="0" collapsed="false">
      <c r="A20" s="54" t="s">
        <v>339</v>
      </c>
      <c r="B20" s="55" t="n">
        <f aca="false">IF(B19=0,0,B18/B19)</f>
        <v>0.214357063794174</v>
      </c>
      <c r="C20" s="18" t="str">
        <f aca="false">IF(B20&gt;B21,"⚠ 상한 초과","✅ 양호")</f>
        <v>✅ 양호</v>
      </c>
    </row>
    <row r="21" customFormat="false" ht="15" hidden="false" customHeight="false" outlineLevel="0" collapsed="false">
      <c r="A21" s="33" t="s">
        <v>340</v>
      </c>
      <c r="B21" s="43" t="n">
        <f aca="false">설정!$B$15</f>
        <v>0.3</v>
      </c>
    </row>
    <row r="22" customFormat="false" ht="15" hidden="false" customHeight="false" outlineLevel="0" collapsed="false">
      <c r="A22" s="41" t="s">
        <v>341</v>
      </c>
      <c r="B22" s="19" t="n">
        <f aca="false">SUMIFS(K4:K13,C4:C13,설정!$B$5)</f>
        <v>250083.333333333</v>
      </c>
    </row>
    <row r="23" customFormat="false" ht="15" hidden="false" customHeight="false" outlineLevel="0" collapsed="false">
      <c r="A23" s="41" t="s">
        <v>342</v>
      </c>
      <c r="B23" s="56" t="n">
        <f aca="false">IF(SUM(D4:D13)=0,0,SUMPRODUCT(D4:D13,E4:E13)/SUM(D4:D13))</f>
        <v>0.0422102632455848</v>
      </c>
    </row>
  </sheetData>
  <conditionalFormatting sqref="C20">
    <cfRule type="expression" priority="2" aboveAverage="0" equalAverage="0" bottom="0" percent="0" rank="0" text="" dxfId="0">
      <formula>OR(ISNUMBER(SEARCH("초과",C20)),ISNUMBER(SEARCH("부족",C20)),ISNUMBER(SEARCH("공백",C20)))</formula>
    </cfRule>
    <cfRule type="expression" priority="3" aboveAverage="0" equalAverage="0" bottom="0" percent="0" rank="0" text="" dxfId="1">
      <formula>OR(ISNUMBER(SEARCH("주의",C20)),ISNUMBER(SEARCH("미달",C20)),ISNUMBER(SEARCH("지연",C20)),ISNUMBER(SEARCH("리밸런싱",C20)),ISNUMBER(SEARCH("감소",C20)))</formula>
    </cfRule>
    <cfRule type="expression" priority="4" aboveAverage="0" equalAverage="0" bottom="0" percent="0" rank="0" text="" dxfId="2">
      <formula>OR(ISNUMBER(SEARCH("양호",C20)),ISNUMBER(SEARCH("달성",C20)),ISNUMBER(SEARCH("순항",C20)),ISNUMBER(SEARCH("정상",C20)),ISNUMBER(SEARCH("증가",C20)),ISNUMBER(SEARCH("보장",C20)),ISNUMBER(SEARCH("적정",C20)))</formula>
    </cfRule>
  </conditionalFormatting>
  <dataValidations count="1">
    <dataValidation allowBlank="true" error="목록에서 선택하세요." errorStyle="stop" errorTitle="입력 확인" operator="between" showDropDown="false" showErrorMessage="false" showInputMessage="false" sqref="B4:B13" type="list">
      <formula1>계좌!$A$2:$A$41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5" min="4" style="0" width="11"/>
    <col collapsed="false" customWidth="true" hidden="false" outlineLevel="0" max="8" min="6" style="0" width="9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22"/>
  </cols>
  <sheetData>
    <row r="1" customFormat="false" ht="20.85" hidden="false" customHeight="false" outlineLevel="0" collapsed="false">
      <c r="A1" s="39" t="s">
        <v>343</v>
      </c>
    </row>
    <row r="2" customFormat="false" ht="15" hidden="false" customHeight="false" outlineLevel="0" collapsed="false">
      <c r="A2" s="31" t="s">
        <v>344</v>
      </c>
    </row>
    <row r="3" customFormat="false" ht="26.85" hidden="false" customHeight="false" outlineLevel="0" collapsed="false">
      <c r="A3" s="29" t="s">
        <v>345</v>
      </c>
      <c r="B3" s="29" t="s">
        <v>346</v>
      </c>
      <c r="C3" s="29" t="s">
        <v>347</v>
      </c>
      <c r="D3" s="29" t="s">
        <v>348</v>
      </c>
      <c r="E3" s="29" t="s">
        <v>349</v>
      </c>
      <c r="F3" s="29" t="s">
        <v>350</v>
      </c>
      <c r="G3" s="29" t="s">
        <v>351</v>
      </c>
      <c r="H3" s="29" t="s">
        <v>352</v>
      </c>
      <c r="I3" s="30" t="s">
        <v>353</v>
      </c>
      <c r="J3" s="30" t="s">
        <v>24</v>
      </c>
      <c r="K3" s="30" t="s">
        <v>354</v>
      </c>
      <c r="L3" s="30" t="s">
        <v>25</v>
      </c>
      <c r="M3" s="30" t="s">
        <v>331</v>
      </c>
      <c r="N3" s="30" t="s">
        <v>355</v>
      </c>
      <c r="O3" s="40" t="s">
        <v>356</v>
      </c>
      <c r="P3" s="40" t="s">
        <v>260</v>
      </c>
    </row>
    <row r="4" customFormat="false" ht="15" hidden="false" customHeight="false" outlineLevel="0" collapsed="false">
      <c r="A4" s="34" t="s">
        <v>12</v>
      </c>
      <c r="B4" s="57" t="s">
        <v>81</v>
      </c>
      <c r="C4" s="19" t="n">
        <f aca="false">ROUND(설정!$B$13*손익!P49,-4)</f>
        <v>23010000</v>
      </c>
      <c r="D4" s="32" t="n">
        <v>45658</v>
      </c>
      <c r="E4" s="32" t="n">
        <v>46387</v>
      </c>
      <c r="F4" s="58" t="s">
        <v>180</v>
      </c>
      <c r="G4" s="58"/>
      <c r="H4" s="58"/>
      <c r="I4" s="19" t="n">
        <f aca="false">IF(A4="","",IF(F4="",0,SUMIFS(스냅샷!$C$2:$C$3000,스냅샷!$A$2:$A$3000,설정!$B$3,스냅샷!$B$2:$B$3000,F4))+IF(G4="",0,SUMIFS(스냅샷!$C$2:$C$3000,스냅샷!$A$2:$A$3000,설정!$B$3,스냅샷!$B$2:$B$3000,G4))+IF(H4="",0,SUMIFS(스냅샷!$C$2:$C$3000,스냅샷!$A$2:$A$3000,설정!$B$3,스냅샷!$B$2:$B$3000,H4)))</f>
        <v>15050000</v>
      </c>
      <c r="J4" s="43" t="n">
        <f aca="false">IF(OR(A4="",N(C4)=0),"",MIN(1,I4/C4))</f>
        <v>0.65406345067362</v>
      </c>
      <c r="K4" s="43" t="n">
        <f aca="false">IF(OR(A4="",D4="",E4=""),"",IF(E4&lt;=D4,1,MAX(0,MIN(1,(설정!$B$10-D4)/(E4-D4)))))</f>
        <v>0.890260631001372</v>
      </c>
      <c r="L4" s="18" t="str">
        <f aca="false">IF(OR(A4="",J4=""),"",IF(J4&gt;=1,"🎉 달성",IF(J4&gt;=K4-설정!$B$20,"✅ 순항","⚠ 지연")))</f>
        <v>⚠ 지연</v>
      </c>
      <c r="M4" s="52" t="n">
        <f aca="false">IF(OR(A4="",E4=""),"",MAX(1,ROUND((E4-설정!$B$10)/30.4,0)))</f>
        <v>3</v>
      </c>
      <c r="N4" s="19" t="n">
        <f aca="false">IF(OR(A4="",M4=""),"",MAX(0,(C4-I4)/M4))</f>
        <v>2653333.33333333</v>
      </c>
      <c r="O4" s="19" t="n">
        <f aca="false">IF(A4="",0,MIN(N(I4),N(C4)))</f>
        <v>15050000</v>
      </c>
      <c r="P4" s="44" t="str">
        <f aca="false">IF(ISNUMBER(SEARCH("지연",L4)),A4&amp;" "&amp;TEXT(J4,"0%"),"")</f>
        <v>비상자금 65%</v>
      </c>
    </row>
    <row r="5" customFormat="false" ht="15" hidden="false" customHeight="false" outlineLevel="0" collapsed="false">
      <c r="A5" s="34" t="s">
        <v>357</v>
      </c>
      <c r="B5" s="57" t="s">
        <v>81</v>
      </c>
      <c r="C5" s="35" t="n">
        <v>150000000</v>
      </c>
      <c r="D5" s="32" t="n">
        <v>45292</v>
      </c>
      <c r="E5" s="32" t="n">
        <v>47483</v>
      </c>
      <c r="F5" s="58" t="s">
        <v>181</v>
      </c>
      <c r="G5" s="58" t="s">
        <v>185</v>
      </c>
      <c r="H5" s="58"/>
      <c r="I5" s="19" t="n">
        <f aca="false">IF(A5="","",IF(F5="",0,SUMIFS(스냅샷!$C$2:$C$3000,스냅샷!$A$2:$A$3000,설정!$B$3,스냅샷!$B$2:$B$3000,F5))+IF(G5="",0,SUMIFS(스냅샷!$C$2:$C$3000,스냅샷!$A$2:$A$3000,설정!$B$3,스냅샷!$B$2:$B$3000,G5))+IF(H5="",0,SUMIFS(스냅샷!$C$2:$C$3000,스냅샷!$A$2:$A$3000,설정!$B$3,스냅샷!$B$2:$B$3000,H5)))</f>
        <v>31220000</v>
      </c>
      <c r="J5" s="43" t="n">
        <f aca="false">IF(OR(A5="",N(C5)=0),"",MIN(1,I5/C5))</f>
        <v>0.208133333333333</v>
      </c>
      <c r="K5" s="43" t="n">
        <f aca="false">IF(OR(A5="",D5="",E5=""),"",IF(E5&lt;=D5,1,MAX(0,MIN(1,(설정!$B$10-D5)/(E5-D5)))))</f>
        <v>0.463258785942492</v>
      </c>
      <c r="L5" s="18" t="str">
        <f aca="false">IF(OR(A5="",J5=""),"",IF(J5&gt;=1,"🎉 달성",IF(J5&gt;=K5-설정!$B$20,"✅ 순항","⚠ 지연")))</f>
        <v>⚠ 지연</v>
      </c>
      <c r="M5" s="52" t="n">
        <f aca="false">IF(OR(A5="",E5=""),"",MAX(1,ROUND((E5-설정!$B$10)/30.4,0)))</f>
        <v>39</v>
      </c>
      <c r="N5" s="19" t="n">
        <f aca="false">IF(OR(A5="",M5=""),"",MAX(0,(C5-I5)/M5))</f>
        <v>3045641.02564103</v>
      </c>
      <c r="O5" s="19" t="n">
        <f aca="false">IF(A5="",0,MIN(N(I5),N(C5)))</f>
        <v>31220000</v>
      </c>
      <c r="P5" s="44" t="str">
        <f aca="false">IF(ISNUMBER(SEARCH("지연",L5)),A5&amp;" "&amp;TEXT(J5,"0%"),"")</f>
        <v>내집마련(학군지 이사) 21%</v>
      </c>
    </row>
    <row r="6" customFormat="false" ht="15" hidden="false" customHeight="false" outlineLevel="0" collapsed="false">
      <c r="A6" s="34" t="s">
        <v>358</v>
      </c>
      <c r="B6" s="57" t="s">
        <v>73</v>
      </c>
      <c r="C6" s="35" t="n">
        <v>60000000</v>
      </c>
      <c r="D6" s="32" t="n">
        <v>44986</v>
      </c>
      <c r="E6" s="32" t="n">
        <v>49368</v>
      </c>
      <c r="F6" s="58" t="s">
        <v>184</v>
      </c>
      <c r="G6" s="58"/>
      <c r="H6" s="58"/>
      <c r="I6" s="19" t="n">
        <f aca="false">IF(A6="","",IF(F6="",0,SUMIFS(스냅샷!$C$2:$C$3000,스냅샷!$A$2:$A$3000,설정!$B$3,스냅샷!$B$2:$B$3000,F6))+IF(G6="",0,SUMIFS(스냅샷!$C$2:$C$3000,스냅샷!$A$2:$A$3000,설정!$B$3,스냅샷!$B$2:$B$3000,G6))+IF(H6="",0,SUMIFS(스냅샷!$C$2:$C$3000,스냅샷!$A$2:$A$3000,설정!$B$3,스냅샷!$B$2:$B$3000,H6)))</f>
        <v>26697000</v>
      </c>
      <c r="J6" s="43" t="n">
        <f aca="false">IF(OR(A6="",N(C6)=0),"",MIN(1,I6/C6))</f>
        <v>0.44495</v>
      </c>
      <c r="K6" s="43" t="n">
        <f aca="false">IF(OR(A6="",D6="",E6=""),"",IF(E6&lt;=D6,1,MAX(0,MIN(1,(설정!$B$10-D6)/(E6-D6)))))</f>
        <v>0.301460520310361</v>
      </c>
      <c r="L6" s="18" t="str">
        <f aca="false">IF(OR(A6="",J6=""),"",IF(J6&gt;=1,"🎉 달성",IF(J6&gt;=K6-설정!$B$20,"✅ 순항","⚠ 지연")))</f>
        <v>✅ 순항</v>
      </c>
      <c r="M6" s="52" t="n">
        <f aca="false">IF(OR(A6="",E6=""),"",MAX(1,ROUND((E6-설정!$B$10)/30.4,0)))</f>
        <v>101</v>
      </c>
      <c r="N6" s="19" t="n">
        <f aca="false">IF(OR(A6="",M6=""),"",MAX(0,(C6-I6)/M6))</f>
        <v>329732.673267327</v>
      </c>
      <c r="O6" s="19" t="n">
        <f aca="false">IF(A6="",0,MIN(N(I6),N(C6)))</f>
        <v>26697000</v>
      </c>
      <c r="P6" s="44" t="str">
        <f aca="false">IF(ISNUMBER(SEARCH("지연",L6)),A6&amp;" "&amp;TEXT(J6,"0%"),"")</f>
        <v/>
      </c>
    </row>
    <row r="7" customFormat="false" ht="15" hidden="false" customHeight="false" outlineLevel="0" collapsed="false">
      <c r="A7" s="34" t="s">
        <v>359</v>
      </c>
      <c r="B7" s="57" t="s">
        <v>81</v>
      </c>
      <c r="C7" s="35" t="n">
        <v>900000000</v>
      </c>
      <c r="D7" s="32" t="n">
        <v>43831</v>
      </c>
      <c r="E7" s="32" t="n">
        <v>55153</v>
      </c>
      <c r="F7" s="58" t="s">
        <v>186</v>
      </c>
      <c r="G7" s="58" t="s">
        <v>187</v>
      </c>
      <c r="H7" s="58" t="s">
        <v>188</v>
      </c>
      <c r="I7" s="19" t="n">
        <f aca="false">IF(A7="","",IF(F7="",0,SUMIFS(스냅샷!$C$2:$C$3000,스냅샷!$A$2:$A$3000,설정!$B$3,스냅샷!$B$2:$B$3000,F7))+IF(G7="",0,SUMIFS(스냅샷!$C$2:$C$3000,스냅샷!$A$2:$A$3000,설정!$B$3,스냅샷!$B$2:$B$3000,G7))+IF(H7="",0,SUMIFS(스냅샷!$C$2:$C$3000,스냅샷!$A$2:$A$3000,설정!$B$3,스냅샷!$B$2:$B$3000,H7)))</f>
        <v>84563000</v>
      </c>
      <c r="J7" s="43" t="n">
        <f aca="false">IF(OR(A7="",N(C7)=0),"",MIN(1,I7/C7))</f>
        <v>0.0939588888888889</v>
      </c>
      <c r="K7" s="43" t="n">
        <f aca="false">IF(OR(A7="",D7="",E7=""),"",IF(E7&lt;=D7,1,MAX(0,MIN(1,(설정!$B$10-D7)/(E7-D7)))))</f>
        <v>0.218689277512807</v>
      </c>
      <c r="L7" s="18" t="str">
        <f aca="false">IF(OR(A7="",J7=""),"",IF(J7&gt;=1,"🎉 달성",IF(J7&gt;=K7-설정!$B$20,"✅ 순항","⚠ 지연")))</f>
        <v>⚠ 지연</v>
      </c>
      <c r="M7" s="52" t="n">
        <f aca="false">IF(OR(A7="",E7=""),"",MAX(1,ROUND((E7-설정!$B$10)/30.4,0)))</f>
        <v>291</v>
      </c>
      <c r="N7" s="19" t="n">
        <f aca="false">IF(OR(A7="",M7=""),"",MAX(0,(C7-I7)/M7))</f>
        <v>2802189.00343643</v>
      </c>
      <c r="O7" s="19" t="n">
        <f aca="false">IF(A7="",0,MIN(N(I7),N(C7)))</f>
        <v>84563000</v>
      </c>
      <c r="P7" s="44" t="str">
        <f aca="false">IF(ISNUMBER(SEARCH("지연",L7)),A7&amp;" "&amp;TEXT(J7,"0%"),"")</f>
        <v>노후자금 9%</v>
      </c>
    </row>
    <row r="8" customFormat="false" ht="15" hidden="false" customHeight="false" outlineLevel="0" collapsed="false">
      <c r="A8" s="34" t="s">
        <v>360</v>
      </c>
      <c r="B8" s="57" t="s">
        <v>78</v>
      </c>
      <c r="C8" s="35" t="n">
        <v>20000000</v>
      </c>
      <c r="D8" s="32" t="n">
        <v>45931</v>
      </c>
      <c r="E8" s="32" t="n">
        <v>46905</v>
      </c>
      <c r="F8" s="58" t="s">
        <v>182</v>
      </c>
      <c r="G8" s="58"/>
      <c r="H8" s="58"/>
      <c r="I8" s="19" t="n">
        <f aca="false">IF(A8="","",IF(F8="",0,SUMIFS(스냅샷!$C$2:$C$3000,스냅샷!$A$2:$A$3000,설정!$B$3,스냅샷!$B$2:$B$3000,F8))+IF(G8="",0,SUMIFS(스냅샷!$C$2:$C$3000,스냅샷!$A$2:$A$3000,설정!$B$3,스냅샷!$B$2:$B$3000,G8))+IF(H8="",0,SUMIFS(스냅샷!$C$2:$C$3000,스냅샷!$A$2:$A$3000,설정!$B$3,스냅샷!$B$2:$B$3000,H8)))</f>
        <v>6300000</v>
      </c>
      <c r="J8" s="43" t="n">
        <f aca="false">IF(OR(A8="",N(C8)=0),"",MIN(1,I8/C8))</f>
        <v>0.315</v>
      </c>
      <c r="K8" s="43" t="n">
        <f aca="false">IF(OR(A8="",D8="",E8=""),"",IF(E8&lt;=D8,1,MAX(0,MIN(1,(설정!$B$10-D8)/(E8-D8)))))</f>
        <v>0.386036960985626</v>
      </c>
      <c r="L8" s="18" t="str">
        <f aca="false">IF(OR(A8="",J8=""),"",IF(J8&gt;=1,"🎉 달성",IF(J8&gt;=K8-설정!$B$20,"✅ 순항","⚠ 지연")))</f>
        <v>⚠ 지연</v>
      </c>
      <c r="M8" s="52" t="n">
        <f aca="false">IF(OR(A8="",E8=""),"",MAX(1,ROUND((E8-설정!$B$10)/30.4,0)))</f>
        <v>20</v>
      </c>
      <c r="N8" s="19" t="n">
        <f aca="false">IF(OR(A8="",M8=""),"",MAX(0,(C8-I8)/M8))</f>
        <v>685000</v>
      </c>
      <c r="O8" s="19" t="n">
        <f aca="false">IF(A8="",0,MIN(N(I8),N(C8)))</f>
        <v>6300000</v>
      </c>
      <c r="P8" s="44" t="str">
        <f aca="false">IF(ISNUMBER(SEARCH("지연",L8)),A8&amp;" "&amp;TEXT(J8,"0%"),"")</f>
        <v>차량교체 32%</v>
      </c>
    </row>
    <row r="9" customFormat="false" ht="15" hidden="false" customHeight="false" outlineLevel="0" collapsed="false">
      <c r="A9" s="37"/>
      <c r="B9" s="57"/>
      <c r="C9" s="35"/>
      <c r="D9" s="32"/>
      <c r="E9" s="32"/>
      <c r="F9" s="58"/>
      <c r="G9" s="58"/>
      <c r="H9" s="58"/>
      <c r="I9" s="19" t="str">
        <f aca="false">IF(A9="","",IF(F9="",0,SUMIFS(스냅샷!$C$2:$C$3000,스냅샷!$A$2:$A$3000,설정!$B$3,스냅샷!$B$2:$B$3000,F9))+IF(G9="",0,SUMIFS(스냅샷!$C$2:$C$3000,스냅샷!$A$2:$A$3000,설정!$B$3,스냅샷!$B$2:$B$3000,G9))+IF(H9="",0,SUMIFS(스냅샷!$C$2:$C$3000,스냅샷!$A$2:$A$3000,설정!$B$3,스냅샷!$B$2:$B$3000,H9)))</f>
        <v/>
      </c>
      <c r="J9" s="43" t="str">
        <f aca="false">IF(OR(A9="",N(C9)=0),"",MIN(1,I9/C9))</f>
        <v/>
      </c>
      <c r="K9" s="43" t="str">
        <f aca="false">IF(OR(A9="",D9="",E9=""),"",IF(E9&lt;=D9,1,MAX(0,MIN(1,(설정!$B$10-D9)/(E9-D9)))))</f>
        <v/>
      </c>
      <c r="L9" s="18" t="str">
        <f aca="false">IF(OR(A9="",J9=""),"",IF(J9&gt;=1,"🎉 달성",IF(J9&gt;=K9-설정!$B$20,"✅ 순항","⚠ 지연")))</f>
        <v/>
      </c>
      <c r="M9" s="52" t="str">
        <f aca="false">IF(OR(A9="",E9=""),"",MAX(1,ROUND((E9-설정!$B$10)/30.4,0)))</f>
        <v/>
      </c>
      <c r="N9" s="19" t="str">
        <f aca="false">IF(OR(A9="",M9=""),"",MAX(0,(C9-I9)/M9))</f>
        <v/>
      </c>
      <c r="O9" s="19" t="n">
        <f aca="false">IF(A9="",0,MIN(N(I9),N(C9)))</f>
        <v>0</v>
      </c>
      <c r="P9" s="44" t="str">
        <f aca="false">IF(ISNUMBER(SEARCH("지연",L9)),A9&amp;" "&amp;TEXT(J9,"0%"),"")</f>
        <v/>
      </c>
    </row>
    <row r="10" customFormat="false" ht="15" hidden="false" customHeight="false" outlineLevel="0" collapsed="false">
      <c r="A10" s="37"/>
      <c r="B10" s="57"/>
      <c r="C10" s="35"/>
      <c r="D10" s="32"/>
      <c r="E10" s="32"/>
      <c r="F10" s="58"/>
      <c r="G10" s="58"/>
      <c r="H10" s="58"/>
      <c r="I10" s="19" t="str">
        <f aca="false">IF(A10="","",IF(F10="",0,SUMIFS(스냅샷!$C$2:$C$3000,스냅샷!$A$2:$A$3000,설정!$B$3,스냅샷!$B$2:$B$3000,F10))+IF(G10="",0,SUMIFS(스냅샷!$C$2:$C$3000,스냅샷!$A$2:$A$3000,설정!$B$3,스냅샷!$B$2:$B$3000,G10))+IF(H10="",0,SUMIFS(스냅샷!$C$2:$C$3000,스냅샷!$A$2:$A$3000,설정!$B$3,스냅샷!$B$2:$B$3000,H10)))</f>
        <v/>
      </c>
      <c r="J10" s="43" t="str">
        <f aca="false">IF(OR(A10="",N(C10)=0),"",MIN(1,I10/C10))</f>
        <v/>
      </c>
      <c r="K10" s="43" t="str">
        <f aca="false">IF(OR(A10="",D10="",E10=""),"",IF(E10&lt;=D10,1,MAX(0,MIN(1,(설정!$B$10-D10)/(E10-D10)))))</f>
        <v/>
      </c>
      <c r="L10" s="18" t="str">
        <f aca="false">IF(OR(A10="",J10=""),"",IF(J10&gt;=1,"🎉 달성",IF(J10&gt;=K10-설정!$B$20,"✅ 순항","⚠ 지연")))</f>
        <v/>
      </c>
      <c r="M10" s="52" t="str">
        <f aca="false">IF(OR(A10="",E10=""),"",MAX(1,ROUND((E10-설정!$B$10)/30.4,0)))</f>
        <v/>
      </c>
      <c r="N10" s="19" t="str">
        <f aca="false">IF(OR(A10="",M10=""),"",MAX(0,(C10-I10)/M10))</f>
        <v/>
      </c>
      <c r="O10" s="19" t="n">
        <f aca="false">IF(A10="",0,MIN(N(I10),N(C10)))</f>
        <v>0</v>
      </c>
      <c r="P10" s="44" t="str">
        <f aca="false">IF(ISNUMBER(SEARCH("지연",L10)),A10&amp;" "&amp;TEXT(J10,"0%"),"")</f>
        <v/>
      </c>
    </row>
    <row r="11" customFormat="false" ht="15" hidden="false" customHeight="false" outlineLevel="0" collapsed="false">
      <c r="A11" s="37"/>
      <c r="B11" s="57"/>
      <c r="C11" s="35"/>
      <c r="D11" s="32"/>
      <c r="E11" s="32"/>
      <c r="F11" s="58"/>
      <c r="G11" s="58"/>
      <c r="H11" s="58"/>
      <c r="I11" s="19" t="str">
        <f aca="false">IF(A11="","",IF(F11="",0,SUMIFS(스냅샷!$C$2:$C$3000,스냅샷!$A$2:$A$3000,설정!$B$3,스냅샷!$B$2:$B$3000,F11))+IF(G11="",0,SUMIFS(스냅샷!$C$2:$C$3000,스냅샷!$A$2:$A$3000,설정!$B$3,스냅샷!$B$2:$B$3000,G11))+IF(H11="",0,SUMIFS(스냅샷!$C$2:$C$3000,스냅샷!$A$2:$A$3000,설정!$B$3,스냅샷!$B$2:$B$3000,H11)))</f>
        <v/>
      </c>
      <c r="J11" s="43" t="str">
        <f aca="false">IF(OR(A11="",N(C11)=0),"",MIN(1,I11/C11))</f>
        <v/>
      </c>
      <c r="K11" s="43" t="str">
        <f aca="false">IF(OR(A11="",D11="",E11=""),"",IF(E11&lt;=D11,1,MAX(0,MIN(1,(설정!$B$10-D11)/(E11-D11)))))</f>
        <v/>
      </c>
      <c r="L11" s="18" t="str">
        <f aca="false">IF(OR(A11="",J11=""),"",IF(J11&gt;=1,"🎉 달성",IF(J11&gt;=K11-설정!$B$20,"✅ 순항","⚠ 지연")))</f>
        <v/>
      </c>
      <c r="M11" s="52" t="str">
        <f aca="false">IF(OR(A11="",E11=""),"",MAX(1,ROUND((E11-설정!$B$10)/30.4,0)))</f>
        <v/>
      </c>
      <c r="N11" s="19" t="str">
        <f aca="false">IF(OR(A11="",M11=""),"",MAX(0,(C11-I11)/M11))</f>
        <v/>
      </c>
      <c r="O11" s="19" t="n">
        <f aca="false">IF(A11="",0,MIN(N(I11),N(C11)))</f>
        <v>0</v>
      </c>
      <c r="P11" s="44" t="str">
        <f aca="false">IF(ISNUMBER(SEARCH("지연",L11)),A11&amp;" "&amp;TEXT(J11,"0%"),"")</f>
        <v/>
      </c>
    </row>
    <row r="12" customFormat="false" ht="15" hidden="false" customHeight="false" outlineLevel="0" collapsed="false">
      <c r="A12" s="37"/>
      <c r="B12" s="57"/>
      <c r="C12" s="35"/>
      <c r="D12" s="32"/>
      <c r="E12" s="32"/>
      <c r="F12" s="58"/>
      <c r="G12" s="58"/>
      <c r="H12" s="58"/>
      <c r="I12" s="19" t="str">
        <f aca="false">IF(A12="","",IF(F12="",0,SUMIFS(스냅샷!$C$2:$C$3000,스냅샷!$A$2:$A$3000,설정!$B$3,스냅샷!$B$2:$B$3000,F12))+IF(G12="",0,SUMIFS(스냅샷!$C$2:$C$3000,스냅샷!$A$2:$A$3000,설정!$B$3,스냅샷!$B$2:$B$3000,G12))+IF(H12="",0,SUMIFS(스냅샷!$C$2:$C$3000,스냅샷!$A$2:$A$3000,설정!$B$3,스냅샷!$B$2:$B$3000,H12)))</f>
        <v/>
      </c>
      <c r="J12" s="43" t="str">
        <f aca="false">IF(OR(A12="",N(C12)=0),"",MIN(1,I12/C12))</f>
        <v/>
      </c>
      <c r="K12" s="43" t="str">
        <f aca="false">IF(OR(A12="",D12="",E12=""),"",IF(E12&lt;=D12,1,MAX(0,MIN(1,(설정!$B$10-D12)/(E12-D12)))))</f>
        <v/>
      </c>
      <c r="L12" s="18" t="str">
        <f aca="false">IF(OR(A12="",J12=""),"",IF(J12&gt;=1,"🎉 달성",IF(J12&gt;=K12-설정!$B$20,"✅ 순항","⚠ 지연")))</f>
        <v/>
      </c>
      <c r="M12" s="52" t="str">
        <f aca="false">IF(OR(A12="",E12=""),"",MAX(1,ROUND((E12-설정!$B$10)/30.4,0)))</f>
        <v/>
      </c>
      <c r="N12" s="19" t="str">
        <f aca="false">IF(OR(A12="",M12=""),"",MAX(0,(C12-I12)/M12))</f>
        <v/>
      </c>
      <c r="O12" s="19" t="n">
        <f aca="false">IF(A12="",0,MIN(N(I12),N(C12)))</f>
        <v>0</v>
      </c>
      <c r="P12" s="44" t="str">
        <f aca="false">IF(ISNUMBER(SEARCH("지연",L12)),A12&amp;" "&amp;TEXT(J12,"0%"),"")</f>
        <v/>
      </c>
    </row>
    <row r="13" customFormat="false" ht="15" hidden="false" customHeight="false" outlineLevel="0" collapsed="false">
      <c r="A13" s="37"/>
      <c r="B13" s="57"/>
      <c r="C13" s="35"/>
      <c r="D13" s="32"/>
      <c r="E13" s="32"/>
      <c r="F13" s="58"/>
      <c r="G13" s="58"/>
      <c r="H13" s="58"/>
      <c r="I13" s="19" t="str">
        <f aca="false">IF(A13="","",IF(F13="",0,SUMIFS(스냅샷!$C$2:$C$3000,스냅샷!$A$2:$A$3000,설정!$B$3,스냅샷!$B$2:$B$3000,F13))+IF(G13="",0,SUMIFS(스냅샷!$C$2:$C$3000,스냅샷!$A$2:$A$3000,설정!$B$3,스냅샷!$B$2:$B$3000,G13))+IF(H13="",0,SUMIFS(스냅샷!$C$2:$C$3000,스냅샷!$A$2:$A$3000,설정!$B$3,스냅샷!$B$2:$B$3000,H13)))</f>
        <v/>
      </c>
      <c r="J13" s="43" t="str">
        <f aca="false">IF(OR(A13="",N(C13)=0),"",MIN(1,I13/C13))</f>
        <v/>
      </c>
      <c r="K13" s="43" t="str">
        <f aca="false">IF(OR(A13="",D13="",E13=""),"",IF(E13&lt;=D13,1,MAX(0,MIN(1,(설정!$B$10-D13)/(E13-D13)))))</f>
        <v/>
      </c>
      <c r="L13" s="18" t="str">
        <f aca="false">IF(OR(A13="",J13=""),"",IF(J13&gt;=1,"🎉 달성",IF(J13&gt;=K13-설정!$B$20,"✅ 순항","⚠ 지연")))</f>
        <v/>
      </c>
      <c r="M13" s="52" t="str">
        <f aca="false">IF(OR(A13="",E13=""),"",MAX(1,ROUND((E13-설정!$B$10)/30.4,0)))</f>
        <v/>
      </c>
      <c r="N13" s="19" t="str">
        <f aca="false">IF(OR(A13="",M13=""),"",MAX(0,(C13-I13)/M13))</f>
        <v/>
      </c>
      <c r="O13" s="19" t="n">
        <f aca="false">IF(A13="",0,MIN(N(I13),N(C13)))</f>
        <v>0</v>
      </c>
      <c r="P13" s="44" t="str">
        <f aca="false">IF(ISNUMBER(SEARCH("지연",L13)),A13&amp;" "&amp;TEXT(J13,"0%"),"")</f>
        <v/>
      </c>
    </row>
    <row r="16" customFormat="false" ht="15" hidden="false" customHeight="false" outlineLevel="0" collapsed="false">
      <c r="A16" s="59" t="s">
        <v>361</v>
      </c>
      <c r="B16" s="55" t="n">
        <f aca="false">IF(SUM(C4:C13)=0,0,SUM(O4:O13)/SUM(C4:C13))</f>
        <v>0.142088967138186</v>
      </c>
    </row>
    <row r="17" customFormat="false" ht="15" hidden="false" customHeight="false" outlineLevel="0" collapsed="false">
      <c r="A17" s="41" t="s">
        <v>362</v>
      </c>
      <c r="B17" s="43" t="n">
        <f aca="false">IFERROR(INDEX(J4:J13,MATCH("노후*",A4:A13,0)),0)</f>
        <v>0.0939588888888889</v>
      </c>
      <c r="C17" s="31" t="s">
        <v>363</v>
      </c>
    </row>
    <row r="18" customFormat="false" ht="15" hidden="false" customHeight="false" outlineLevel="0" collapsed="false">
      <c r="A18" s="41" t="s">
        <v>364</v>
      </c>
      <c r="B18" s="60" t="n">
        <f aca="false">COUNTIF(L4:L13,"*지연*")</f>
        <v>4</v>
      </c>
    </row>
    <row r="19" customFormat="false" ht="15" hidden="false" customHeight="false" outlineLevel="0" collapsed="false">
      <c r="A19" s="41" t="s">
        <v>365</v>
      </c>
      <c r="B19" s="19" t="n">
        <f aca="false">SUM(N4:N13)</f>
        <v>9515896.03567811</v>
      </c>
    </row>
  </sheetData>
  <conditionalFormatting sqref="L4:L13">
    <cfRule type="expression" priority="2" aboveAverage="0" equalAverage="0" bottom="0" percent="0" rank="0" text="" dxfId="0">
      <formula>OR(ISNUMBER(SEARCH("초과",L4)),ISNUMBER(SEARCH("부족",L4)),ISNUMBER(SEARCH("공백",L4)))</formula>
    </cfRule>
    <cfRule type="expression" priority="3" aboveAverage="0" equalAverage="0" bottom="0" percent="0" rank="0" text="" dxfId="1">
      <formula>OR(ISNUMBER(SEARCH("주의",L4)),ISNUMBER(SEARCH("미달",L4)),ISNUMBER(SEARCH("지연",L4)),ISNUMBER(SEARCH("리밸런싱",L4)),ISNUMBER(SEARCH("감소",L4)))</formula>
    </cfRule>
    <cfRule type="expression" priority="4" aboveAverage="0" equalAverage="0" bottom="0" percent="0" rank="0" text="" dxfId="2">
      <formula>OR(ISNUMBER(SEARCH("양호",L4)),ISNUMBER(SEARCH("달성",L4)),ISNUMBER(SEARCH("순항",L4)),ISNUMBER(SEARCH("정상",L4)),ISNUMBER(SEARCH("증가",L4)),ISNUMBER(SEARCH("보장",L4)),ISNUMBER(SEARCH("적정",L4)))</formula>
    </cfRule>
  </conditionalFormatting>
  <dataValidations count="2">
    <dataValidation allowBlank="true" error="목록에서 선택하세요." errorStyle="stop" errorTitle="입력 확인" operator="between" showDropDown="false" showErrorMessage="false" showInputMessage="false" sqref="B4:B13" type="list">
      <formula1>설정!$E$3:$E$6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F4:H13" type="list">
      <formula1>계좌!$A$2:$A$41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8" min="4" style="0" width="13"/>
    <col collapsed="false" customWidth="true" hidden="false" outlineLevel="0" max="9" min="9" style="0" width="12"/>
    <col collapsed="false" customWidth="true" hidden="false" outlineLevel="0" max="11" min="10" style="0" width="11"/>
  </cols>
  <sheetData>
    <row r="1" customFormat="false" ht="20.85" hidden="false" customHeight="false" outlineLevel="0" collapsed="false">
      <c r="A1" s="39" t="s">
        <v>366</v>
      </c>
    </row>
    <row r="2" customFormat="false" ht="15" hidden="false" customHeight="false" outlineLevel="0" collapsed="false">
      <c r="A2" s="31" t="s">
        <v>367</v>
      </c>
    </row>
    <row r="3" customFormat="false" ht="15" hidden="false" customHeight="false" outlineLevel="0" collapsed="false">
      <c r="A3" s="29" t="s">
        <v>368</v>
      </c>
      <c r="B3" s="29" t="s">
        <v>369</v>
      </c>
      <c r="C3" s="29" t="s">
        <v>370</v>
      </c>
      <c r="D3" s="29" t="s">
        <v>371</v>
      </c>
      <c r="E3" s="29" t="s">
        <v>372</v>
      </c>
      <c r="F3" s="29" t="s">
        <v>373</v>
      </c>
      <c r="G3" s="29" t="s">
        <v>374</v>
      </c>
      <c r="H3" s="29" t="s">
        <v>375</v>
      </c>
      <c r="I3" s="29" t="s">
        <v>376</v>
      </c>
      <c r="J3" s="29" t="s">
        <v>325</v>
      </c>
      <c r="K3" s="29" t="s">
        <v>377</v>
      </c>
    </row>
    <row r="4" customFormat="false" ht="15" hidden="false" customHeight="false" outlineLevel="0" collapsed="false">
      <c r="A4" s="34" t="s">
        <v>78</v>
      </c>
      <c r="B4" s="34" t="s">
        <v>378</v>
      </c>
      <c r="C4" s="34" t="s">
        <v>379</v>
      </c>
      <c r="D4" s="35" t="n">
        <v>100000000</v>
      </c>
      <c r="E4" s="35" t="n">
        <v>50000000</v>
      </c>
      <c r="F4" s="35" t="n">
        <v>50000000</v>
      </c>
      <c r="G4" s="35" t="n">
        <v>30000000</v>
      </c>
      <c r="H4" s="35" t="n">
        <v>100000000</v>
      </c>
      <c r="I4" s="35" t="n">
        <v>172000</v>
      </c>
      <c r="J4" s="32" t="n">
        <v>56735</v>
      </c>
      <c r="K4" s="37" t="s">
        <v>380</v>
      </c>
    </row>
    <row r="5" customFormat="false" ht="15" hidden="false" customHeight="false" outlineLevel="0" collapsed="false">
      <c r="A5" s="34" t="s">
        <v>73</v>
      </c>
      <c r="B5" s="34" t="s">
        <v>381</v>
      </c>
      <c r="C5" s="34" t="s">
        <v>382</v>
      </c>
      <c r="D5" s="35"/>
      <c r="E5" s="35" t="n">
        <v>50000000</v>
      </c>
      <c r="F5" s="35" t="n">
        <v>30000000</v>
      </c>
      <c r="G5" s="35" t="n">
        <v>20000000</v>
      </c>
      <c r="H5" s="35"/>
      <c r="I5" s="35" t="n">
        <v>148000</v>
      </c>
      <c r="J5" s="32" t="n">
        <v>56493</v>
      </c>
      <c r="K5" s="37" t="s">
        <v>383</v>
      </c>
    </row>
    <row r="6" customFormat="false" ht="15" hidden="false" customHeight="false" outlineLevel="0" collapsed="false">
      <c r="A6" s="34" t="s">
        <v>384</v>
      </c>
      <c r="B6" s="37" t="s">
        <v>385</v>
      </c>
      <c r="C6" s="34" t="s">
        <v>386</v>
      </c>
      <c r="D6" s="35"/>
      <c r="E6" s="35" t="n">
        <v>50000000</v>
      </c>
      <c r="F6" s="35" t="n">
        <v>30000000</v>
      </c>
      <c r="G6" s="35" t="n">
        <v>10000000</v>
      </c>
      <c r="H6" s="35" t="n">
        <v>100000000</v>
      </c>
      <c r="I6" s="35" t="n">
        <v>68000</v>
      </c>
      <c r="J6" s="32" t="n">
        <v>53022</v>
      </c>
      <c r="K6" s="37" t="s">
        <v>380</v>
      </c>
    </row>
    <row r="7" customFormat="false" ht="15" hidden="false" customHeight="false" outlineLevel="0" collapsed="false">
      <c r="A7" s="34"/>
      <c r="B7" s="37"/>
      <c r="C7" s="37"/>
      <c r="D7" s="35"/>
      <c r="E7" s="35"/>
      <c r="F7" s="35"/>
      <c r="G7" s="35"/>
      <c r="H7" s="35"/>
      <c r="I7" s="35"/>
      <c r="J7" s="32"/>
      <c r="K7" s="37"/>
    </row>
    <row r="8" customFormat="false" ht="15" hidden="false" customHeight="false" outlineLevel="0" collapsed="false">
      <c r="A8" s="34"/>
      <c r="B8" s="37"/>
      <c r="C8" s="37"/>
      <c r="D8" s="35"/>
      <c r="E8" s="35"/>
      <c r="F8" s="35"/>
      <c r="G8" s="35"/>
      <c r="H8" s="35"/>
      <c r="I8" s="35"/>
      <c r="J8" s="32"/>
      <c r="K8" s="37"/>
    </row>
    <row r="9" customFormat="false" ht="15" hidden="false" customHeight="false" outlineLevel="0" collapsed="false">
      <c r="A9" s="34"/>
      <c r="B9" s="37"/>
      <c r="C9" s="37"/>
      <c r="D9" s="35"/>
      <c r="E9" s="35"/>
      <c r="F9" s="35"/>
      <c r="G9" s="35"/>
      <c r="H9" s="35"/>
      <c r="I9" s="35"/>
      <c r="J9" s="32"/>
      <c r="K9" s="37"/>
    </row>
    <row r="10" customFormat="false" ht="15" hidden="false" customHeight="false" outlineLevel="0" collapsed="false">
      <c r="A10" s="34"/>
      <c r="B10" s="37"/>
      <c r="C10" s="37"/>
      <c r="D10" s="35"/>
      <c r="E10" s="35"/>
      <c r="F10" s="35"/>
      <c r="G10" s="35"/>
      <c r="H10" s="35"/>
      <c r="I10" s="35"/>
      <c r="J10" s="32"/>
      <c r="K10" s="37"/>
    </row>
    <row r="11" customFormat="false" ht="15" hidden="false" customHeight="false" outlineLevel="0" collapsed="false">
      <c r="A11" s="34"/>
      <c r="B11" s="37"/>
      <c r="C11" s="37"/>
      <c r="D11" s="35"/>
      <c r="E11" s="35"/>
      <c r="F11" s="35"/>
      <c r="G11" s="35"/>
      <c r="H11" s="35"/>
      <c r="I11" s="35"/>
      <c r="J11" s="32"/>
      <c r="K11" s="37"/>
    </row>
    <row r="12" customFormat="false" ht="15" hidden="false" customHeight="false" outlineLevel="0" collapsed="false">
      <c r="A12" s="34"/>
      <c r="B12" s="37"/>
      <c r="C12" s="37"/>
      <c r="D12" s="35"/>
      <c r="E12" s="35"/>
      <c r="F12" s="35"/>
      <c r="G12" s="35"/>
      <c r="H12" s="35"/>
      <c r="I12" s="35"/>
      <c r="J12" s="32"/>
      <c r="K12" s="37"/>
    </row>
    <row r="13" customFormat="false" ht="15" hidden="false" customHeight="false" outlineLevel="0" collapsed="false">
      <c r="A13" s="34"/>
      <c r="B13" s="37"/>
      <c r="C13" s="37"/>
      <c r="D13" s="35"/>
      <c r="E13" s="35"/>
      <c r="F13" s="35"/>
      <c r="G13" s="35"/>
      <c r="H13" s="35"/>
      <c r="I13" s="35"/>
      <c r="J13" s="32"/>
      <c r="K13" s="37"/>
    </row>
    <row r="15" customFormat="false" ht="15" hidden="false" customHeight="false" outlineLevel="0" collapsed="false">
      <c r="A15" s="48" t="s">
        <v>387</v>
      </c>
      <c r="B15" s="49"/>
      <c r="C15" s="49"/>
      <c r="D15" s="49"/>
      <c r="E15" s="49"/>
      <c r="F15" s="49"/>
      <c r="G15" s="49"/>
    </row>
    <row r="16" customFormat="false" ht="15" hidden="false" customHeight="false" outlineLevel="0" collapsed="false">
      <c r="A16" s="30" t="s">
        <v>19</v>
      </c>
      <c r="B16" s="30" t="s">
        <v>371</v>
      </c>
      <c r="C16" s="30" t="s">
        <v>372</v>
      </c>
      <c r="D16" s="30" t="s">
        <v>373</v>
      </c>
      <c r="E16" s="30" t="s">
        <v>374</v>
      </c>
      <c r="F16" s="30" t="s">
        <v>375</v>
      </c>
      <c r="G16" s="30" t="s">
        <v>376</v>
      </c>
    </row>
    <row r="17" customFormat="false" ht="15" hidden="false" customHeight="false" outlineLevel="0" collapsed="false">
      <c r="A17" s="59" t="s">
        <v>78</v>
      </c>
      <c r="B17" s="18" t="str">
        <f aca="false">IF(SUMIFS($D$4:$D$13,$A$4:$A$13,$A17)&gt;0,"✅ "&amp;TEXT(SUMIFS($D$4:$D$13,$A$4:$A$13,$A17)/10000,"#,##0")&amp;"만","❌ 공백")</f>
        <v>✅ 10,000만</v>
      </c>
      <c r="C17" s="18" t="str">
        <f aca="false">IF(SUMIFS($E$4:$E$13,$A$4:$A$13,$A17)&gt;0,"✅ "&amp;TEXT(SUMIFS($E$4:$E$13,$A$4:$A$13,$A17)/10000,"#,##0")&amp;"만","❌ 공백")</f>
        <v>✅ 5,000만</v>
      </c>
      <c r="D17" s="18" t="str">
        <f aca="false">IF(SUMIFS($F$4:$F$13,$A$4:$A$13,$A17)&gt;0,"✅ "&amp;TEXT(SUMIFS($F$4:$F$13,$A$4:$A$13,$A17)/10000,"#,##0")&amp;"만","❌ 공백")</f>
        <v>✅ 5,000만</v>
      </c>
      <c r="E17" s="18" t="str">
        <f aca="false">IF(SUMIFS($G$4:$G$13,$A$4:$A$13,$A17)&gt;0,"✅ "&amp;TEXT(SUMIFS($G$4:$G$13,$A$4:$A$13,$A17)/10000,"#,##0")&amp;"만","❌ 공백")</f>
        <v>✅ 3,000만</v>
      </c>
      <c r="F17" s="18" t="str">
        <f aca="false">IF(SUMIFS($H$4:$H$13,$A$4:$A$13,$A17)&gt;0,"✅ "&amp;TEXT(SUMIFS($H$4:$H$13,$A$4:$A$13,$A17)/10000,"#,##0")&amp;"만","❌ 공백")</f>
        <v>✅ 10,000만</v>
      </c>
      <c r="G17" s="19" t="n">
        <f aca="false">SUMIFS($I$4:$I$13,$A$4:$A$13,$A17)</f>
        <v>172000</v>
      </c>
    </row>
    <row r="18" customFormat="false" ht="15" hidden="false" customHeight="false" outlineLevel="0" collapsed="false">
      <c r="A18" s="59" t="s">
        <v>73</v>
      </c>
      <c r="B18" s="18" t="str">
        <f aca="false">IF(SUMIFS($D$4:$D$13,$A$4:$A$13,$A18)&gt;0,"✅ "&amp;TEXT(SUMIFS($D$4:$D$13,$A$4:$A$13,$A18)/10000,"#,##0")&amp;"만","❌ 공백")</f>
        <v>❌ 공백</v>
      </c>
      <c r="C18" s="18" t="str">
        <f aca="false">IF(SUMIFS($E$4:$E$13,$A$4:$A$13,$A18)&gt;0,"✅ "&amp;TEXT(SUMIFS($E$4:$E$13,$A$4:$A$13,$A18)/10000,"#,##0")&amp;"만","❌ 공백")</f>
        <v>✅ 5,000만</v>
      </c>
      <c r="D18" s="18" t="str">
        <f aca="false">IF(SUMIFS($F$4:$F$13,$A$4:$A$13,$A18)&gt;0,"✅ "&amp;TEXT(SUMIFS($F$4:$F$13,$A$4:$A$13,$A18)/10000,"#,##0")&amp;"만","❌ 공백")</f>
        <v>✅ 3,000만</v>
      </c>
      <c r="E18" s="18" t="str">
        <f aca="false">IF(SUMIFS($G$4:$G$13,$A$4:$A$13,$A18)&gt;0,"✅ "&amp;TEXT(SUMIFS($G$4:$G$13,$A$4:$A$13,$A18)/10000,"#,##0")&amp;"만","❌ 공백")</f>
        <v>✅ 2,000만</v>
      </c>
      <c r="F18" s="18" t="str">
        <f aca="false">IF(SUMIFS($H$4:$H$13,$A$4:$A$13,$A18)&gt;0,"✅ "&amp;TEXT(SUMIFS($H$4:$H$13,$A$4:$A$13,$A18)/10000,"#,##0")&amp;"만","❌ 공백")</f>
        <v>❌ 공백</v>
      </c>
      <c r="G18" s="19" t="n">
        <f aca="false">SUMIFS($I$4:$I$13,$A$4:$A$13,$A18)</f>
        <v>148000</v>
      </c>
    </row>
    <row r="19" customFormat="false" ht="15" hidden="false" customHeight="false" outlineLevel="0" collapsed="false">
      <c r="A19" s="59" t="s">
        <v>384</v>
      </c>
      <c r="B19" s="61" t="s">
        <v>241</v>
      </c>
      <c r="C19" s="61" t="str">
        <f aca="false">IF(SUMIFS($E$4:$E$13,$A$4:$A$13,$A19)&gt;0,"✅ "&amp;TEXT(SUMIFS($E$4:$E$13,$A$4:$A$13,$A19)/10000,"#,##0")&amp;"만","❌ 공백")</f>
        <v>✅ 5,000만</v>
      </c>
      <c r="D19" s="61" t="str">
        <f aca="false">IF(SUMIFS($F$4:$F$13,$A$4:$A$13,$A19)&gt;0,"✅ "&amp;TEXT(SUMIFS($F$4:$F$13,$A$4:$A$13,$A19)/10000,"#,##0")&amp;"만","❌ 공백")</f>
        <v>✅ 3,000만</v>
      </c>
      <c r="E19" s="61" t="str">
        <f aca="false">IF(SUMIFS($G$4:$G$13,$A$4:$A$13,$A19)&gt;0,"✅ "&amp;TEXT(SUMIFS($G$4:$G$13,$A$4:$A$13,$A19)/10000,"#,##0")&amp;"만","❌ 공백")</f>
        <v>✅ 1,000만</v>
      </c>
      <c r="F19" s="61" t="str">
        <f aca="false">IF(SUMIFS($H$4:$H$13,$A$4:$A$13,$A19)&gt;0,"✅ "&amp;TEXT(SUMIFS($H$4:$H$13,$A$4:$A$13,$A19)/10000,"#,##0")&amp;"만","❌ 공백")</f>
        <v>✅ 10,000만</v>
      </c>
      <c r="G19" s="19" t="n">
        <f aca="false">SUMIFS($I$4:$I$13,$A$4:$A$13,$A19)</f>
        <v>68000</v>
      </c>
    </row>
    <row r="21" customFormat="false" ht="15" hidden="false" customHeight="false" outlineLevel="0" collapsed="false">
      <c r="A21" s="41" t="s">
        <v>388</v>
      </c>
      <c r="B21" s="19" t="n">
        <f aca="false">SUM(I4:I13)</f>
        <v>388000</v>
      </c>
    </row>
    <row r="22" customFormat="false" ht="15" hidden="false" customHeight="false" outlineLevel="0" collapsed="false">
      <c r="A22" s="41" t="s">
        <v>389</v>
      </c>
      <c r="B22" s="19" t="n">
        <f aca="false">손익!O9</f>
        <v>9260250</v>
      </c>
    </row>
    <row r="23" customFormat="false" ht="15" hidden="false" customHeight="false" outlineLevel="0" collapsed="false">
      <c r="A23" s="41" t="s">
        <v>390</v>
      </c>
      <c r="B23" s="43" t="n">
        <f aca="false">IF(B22=0,0,B21/B22)</f>
        <v>0.0418995167517076</v>
      </c>
    </row>
    <row r="24" customFormat="false" ht="15" hidden="false" customHeight="false" outlineLevel="0" collapsed="false">
      <c r="A24" s="41" t="s">
        <v>391</v>
      </c>
      <c r="B24" s="60" t="n">
        <f aca="false">COUNTIF(B17:F19,"*공백*")</f>
        <v>2</v>
      </c>
    </row>
  </sheetData>
  <conditionalFormatting sqref="B17:F19">
    <cfRule type="expression" priority="2" aboveAverage="0" equalAverage="0" bottom="0" percent="0" rank="0" text="" dxfId="0">
      <formula>OR(ISNUMBER(SEARCH("초과",B17)),ISNUMBER(SEARCH("부족",B17)),ISNUMBER(SEARCH("공백",B17)))</formula>
    </cfRule>
    <cfRule type="expression" priority="3" aboveAverage="0" equalAverage="0" bottom="0" percent="0" rank="0" text="" dxfId="1">
      <formula>OR(ISNUMBER(SEARCH("주의",B17)),ISNUMBER(SEARCH("미달",B17)),ISNUMBER(SEARCH("지연",B17)),ISNUMBER(SEARCH("리밸런싱",B17)),ISNUMBER(SEARCH("감소",B17)))</formula>
    </cfRule>
    <cfRule type="expression" priority="4" aboveAverage="0" equalAverage="0" bottom="0" percent="0" rank="0" text="" dxfId="2">
      <formula>OR(ISNUMBER(SEARCH("양호",B17)),ISNUMBER(SEARCH("달성",B17)),ISNUMBER(SEARCH("순항",B17)),ISNUMBER(SEARCH("정상",B17)),ISNUMBER(SEARCH("증가",B17)),ISNUMBER(SEARCH("보장",B17)),ISNUMBER(SEARCH("적정",B17)))</formula>
    </cfRule>
  </conditionalFormatting>
  <dataValidations count="1">
    <dataValidation allowBlank="true" error="목록에서 선택하세요." errorStyle="stop" errorTitle="입력 확인" operator="between" showDropDown="false" showErrorMessage="false" showInputMessage="false" sqref="A4:A13" type="list">
      <formula1>설정!$E$3:$E$6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30"/>
  </cols>
  <sheetData>
    <row r="1" customFormat="false" ht="20.85" hidden="false" customHeight="false" outlineLevel="0" collapsed="false">
      <c r="A1" s="39" t="s">
        <v>392</v>
      </c>
    </row>
    <row r="2" customFormat="false" ht="15" hidden="false" customHeight="false" outlineLevel="0" collapsed="false">
      <c r="A2" s="31" t="s">
        <v>393</v>
      </c>
    </row>
    <row r="3" customFormat="false" ht="15" hidden="false" customHeight="false" outlineLevel="0" collapsed="false">
      <c r="A3" s="29" t="s">
        <v>59</v>
      </c>
      <c r="B3" s="29" t="s">
        <v>61</v>
      </c>
      <c r="C3" s="29" t="s">
        <v>394</v>
      </c>
      <c r="D3" s="29" t="s">
        <v>62</v>
      </c>
      <c r="E3" s="29" t="s">
        <v>19</v>
      </c>
      <c r="F3" s="30" t="s">
        <v>60</v>
      </c>
      <c r="G3" s="40" t="s">
        <v>395</v>
      </c>
      <c r="H3" s="30" t="s">
        <v>396</v>
      </c>
    </row>
    <row r="4" customFormat="false" ht="15" hidden="false" customHeight="false" outlineLevel="0" collapsed="false">
      <c r="A4" s="32" t="n">
        <v>46310</v>
      </c>
      <c r="B4" s="37" t="s">
        <v>397</v>
      </c>
      <c r="C4" s="57" t="s">
        <v>396</v>
      </c>
      <c r="D4" s="35"/>
      <c r="E4" s="57" t="s">
        <v>81</v>
      </c>
      <c r="F4" s="18" t="str">
        <f aca="false">IF(A4="","",TEXT(A4,"yyyy-mm"))</f>
        <v>2026-10</v>
      </c>
      <c r="G4" s="62" t="n">
        <f aca="false">IF(A4="","",A4-설정!$B$10)</f>
        <v>3</v>
      </c>
      <c r="H4" s="33" t="str">
        <f aca="false">IF(A4="","",IF(AND(G4&gt;=0,G4&lt;=설정!$B$19),B4&amp;" D-"&amp;G4,""))</f>
        <v>IRP·연금저축 연간 납입한도 점검 D-3</v>
      </c>
    </row>
    <row r="5" customFormat="false" ht="15" hidden="false" customHeight="false" outlineLevel="0" collapsed="false">
      <c r="A5" s="32" t="n">
        <v>46326</v>
      </c>
      <c r="B5" s="34" t="s">
        <v>398</v>
      </c>
      <c r="C5" s="57" t="s">
        <v>399</v>
      </c>
      <c r="D5" s="35" t="n">
        <v>850000</v>
      </c>
      <c r="E5" s="57" t="s">
        <v>81</v>
      </c>
      <c r="F5" s="18" t="str">
        <f aca="false">IF(A5="","",TEXT(A5,"yyyy-mm"))</f>
        <v>2026-10</v>
      </c>
      <c r="G5" s="62" t="n">
        <f aca="false">IF(A5="","",A5-설정!$B$10)</f>
        <v>19</v>
      </c>
      <c r="H5" s="33" t="str">
        <f aca="false">IF(A5="","",IF(AND(G5&gt;=0,G5&lt;=설정!$B$19),B5&amp;" D-"&amp;G5,""))</f>
        <v>자동차보험 갱신 D-19</v>
      </c>
    </row>
    <row r="6" customFormat="false" ht="15" hidden="false" customHeight="false" outlineLevel="0" collapsed="false">
      <c r="A6" s="32" t="n">
        <v>46346</v>
      </c>
      <c r="B6" s="34" t="s">
        <v>400</v>
      </c>
      <c r="C6" s="57" t="s">
        <v>399</v>
      </c>
      <c r="D6" s="35" t="n">
        <v>600000</v>
      </c>
      <c r="E6" s="57" t="s">
        <v>81</v>
      </c>
      <c r="F6" s="18" t="str">
        <f aca="false">IF(A6="","",TEXT(A6,"yyyy-mm"))</f>
        <v>2026-11</v>
      </c>
      <c r="G6" s="62" t="n">
        <f aca="false">IF(A6="","",A6-설정!$B$10)</f>
        <v>39</v>
      </c>
      <c r="H6" s="33" t="str">
        <f aca="false">IF(A6="","",IF(AND(G6&gt;=0,G6&lt;=설정!$B$19),B6&amp;" D-"&amp;G6,""))</f>
        <v/>
      </c>
    </row>
    <row r="7" customFormat="false" ht="15" hidden="false" customHeight="false" outlineLevel="0" collapsed="false">
      <c r="A7" s="32" t="n">
        <v>46371</v>
      </c>
      <c r="B7" s="34" t="s">
        <v>401</v>
      </c>
      <c r="C7" s="57" t="s">
        <v>399</v>
      </c>
      <c r="D7" s="35" t="n">
        <v>262000</v>
      </c>
      <c r="E7" s="57" t="s">
        <v>81</v>
      </c>
      <c r="F7" s="18" t="str">
        <f aca="false">IF(A7="","",TEXT(A7,"yyyy-mm"))</f>
        <v>2026-12</v>
      </c>
      <c r="G7" s="62" t="n">
        <f aca="false">IF(A7="","",A7-설정!$B$10)</f>
        <v>64</v>
      </c>
      <c r="H7" s="33" t="str">
        <f aca="false">IF(A7="","",IF(AND(G7&gt;=0,G7&lt;=설정!$B$19),B7&amp;" D-"&amp;G7,""))</f>
        <v/>
      </c>
    </row>
    <row r="8" customFormat="false" ht="15" hidden="false" customHeight="false" outlineLevel="0" collapsed="false">
      <c r="A8" s="32" t="n">
        <v>46380</v>
      </c>
      <c r="B8" s="34" t="s">
        <v>402</v>
      </c>
      <c r="C8" s="57" t="s">
        <v>399</v>
      </c>
      <c r="D8" s="35" t="n">
        <v>500000</v>
      </c>
      <c r="E8" s="57" t="s">
        <v>81</v>
      </c>
      <c r="F8" s="18" t="str">
        <f aca="false">IF(A8="","",TEXT(A8,"yyyy-mm"))</f>
        <v>2026-12</v>
      </c>
      <c r="G8" s="62" t="n">
        <f aca="false">IF(A8="","",A8-설정!$B$10)</f>
        <v>73</v>
      </c>
      <c r="H8" s="33" t="str">
        <f aca="false">IF(A8="","",IF(AND(G8&gt;=0,G8&lt;=설정!$B$19),B8&amp;" D-"&amp;G8,""))</f>
        <v/>
      </c>
    </row>
    <row r="9" customFormat="false" ht="15" hidden="false" customHeight="false" outlineLevel="0" collapsed="false">
      <c r="A9" s="32" t="n">
        <v>46407</v>
      </c>
      <c r="B9" s="34" t="s">
        <v>403</v>
      </c>
      <c r="C9" s="57" t="s">
        <v>404</v>
      </c>
      <c r="D9" s="35" t="n">
        <v>3000000</v>
      </c>
      <c r="E9" s="57" t="s">
        <v>78</v>
      </c>
      <c r="F9" s="18" t="str">
        <f aca="false">IF(A9="","",TEXT(A9,"yyyy-mm"))</f>
        <v>2027-01</v>
      </c>
      <c r="G9" s="62" t="n">
        <f aca="false">IF(A9="","",A9-설정!$B$10)</f>
        <v>100</v>
      </c>
      <c r="H9" s="33" t="str">
        <f aca="false">IF(A9="","",IF(AND(G9&gt;=0,G9&lt;=설정!$B$19),B9&amp;" D-"&amp;G9,""))</f>
        <v/>
      </c>
    </row>
    <row r="10" customFormat="false" ht="15" hidden="false" customHeight="false" outlineLevel="0" collapsed="false">
      <c r="A10" s="32" t="n">
        <v>46423</v>
      </c>
      <c r="B10" s="34" t="s">
        <v>405</v>
      </c>
      <c r="C10" s="57" t="s">
        <v>399</v>
      </c>
      <c r="D10" s="35" t="n">
        <v>550000</v>
      </c>
      <c r="E10" s="57" t="s">
        <v>81</v>
      </c>
      <c r="F10" s="18" t="str">
        <f aca="false">IF(A10="","",TEXT(A10,"yyyy-mm"))</f>
        <v>2027-02</v>
      </c>
      <c r="G10" s="62" t="n">
        <f aca="false">IF(A10="","",A10-설정!$B$10)</f>
        <v>116</v>
      </c>
      <c r="H10" s="33" t="str">
        <f aca="false">IF(A10="","",IF(AND(G10&gt;=0,G10&lt;=설정!$B$19),B10&amp;" D-"&amp;G10,""))</f>
        <v/>
      </c>
    </row>
    <row r="11" customFormat="false" ht="15" hidden="false" customHeight="false" outlineLevel="0" collapsed="false">
      <c r="A11" s="32" t="n">
        <v>46443</v>
      </c>
      <c r="B11" s="34" t="s">
        <v>406</v>
      </c>
      <c r="C11" s="57" t="s">
        <v>404</v>
      </c>
      <c r="D11" s="35" t="n">
        <v>700000</v>
      </c>
      <c r="E11" s="57" t="s">
        <v>81</v>
      </c>
      <c r="F11" s="18" t="str">
        <f aca="false">IF(A11="","",TEXT(A11,"yyyy-mm"))</f>
        <v>2027-02</v>
      </c>
      <c r="G11" s="62" t="n">
        <f aca="false">IF(A11="","",A11-설정!$B$10)</f>
        <v>136</v>
      </c>
      <c r="H11" s="33" t="str">
        <f aca="false">IF(A11="","",IF(AND(G11&gt;=0,G11&lt;=설정!$B$19),B11&amp;" D-"&amp;G11,""))</f>
        <v/>
      </c>
    </row>
    <row r="12" customFormat="false" ht="15" hidden="false" customHeight="false" outlineLevel="0" collapsed="false">
      <c r="A12" s="32" t="n">
        <v>46477</v>
      </c>
      <c r="B12" s="34" t="s">
        <v>407</v>
      </c>
      <c r="C12" s="57" t="s">
        <v>396</v>
      </c>
      <c r="D12" s="35"/>
      <c r="E12" s="57" t="s">
        <v>81</v>
      </c>
      <c r="F12" s="18" t="str">
        <f aca="false">IF(A12="","",TEXT(A12,"yyyy-mm"))</f>
        <v>2027-03</v>
      </c>
      <c r="G12" s="62" t="n">
        <f aca="false">IF(A12="","",A12-설정!$B$10)</f>
        <v>170</v>
      </c>
      <c r="H12" s="33" t="str">
        <f aca="false">IF(A12="","",IF(AND(G12&gt;=0,G12&lt;=설정!$B$19),B12&amp;" D-"&amp;G12,""))</f>
        <v/>
      </c>
    </row>
    <row r="13" customFormat="false" ht="15" hidden="false" customHeight="false" outlineLevel="0" collapsed="false">
      <c r="A13" s="32"/>
      <c r="B13" s="37"/>
      <c r="C13" s="57"/>
      <c r="D13" s="35"/>
      <c r="E13" s="57"/>
      <c r="F13" s="18" t="str">
        <f aca="false">IF(A13="","",TEXT(A13,"yyyy-mm"))</f>
        <v/>
      </c>
      <c r="G13" s="62" t="str">
        <f aca="false">IF(A13="","",A13-설정!$B$10)</f>
        <v/>
      </c>
      <c r="H13" s="33" t="str">
        <f aca="false">IF(A13="","",IF(AND(G13&gt;=0,G13&lt;=설정!$B$19),B13&amp;" D-"&amp;G13,""))</f>
        <v/>
      </c>
    </row>
    <row r="14" customFormat="false" ht="15" hidden="false" customHeight="false" outlineLevel="0" collapsed="false">
      <c r="A14" s="32"/>
      <c r="B14" s="37"/>
      <c r="C14" s="57"/>
      <c r="D14" s="35"/>
      <c r="E14" s="57"/>
      <c r="F14" s="18" t="str">
        <f aca="false">IF(A14="","",TEXT(A14,"yyyy-mm"))</f>
        <v/>
      </c>
      <c r="G14" s="62" t="str">
        <f aca="false">IF(A14="","",A14-설정!$B$10)</f>
        <v/>
      </c>
      <c r="H14" s="33" t="str">
        <f aca="false">IF(A14="","",IF(AND(G14&gt;=0,G14&lt;=설정!$B$19),B14&amp;" D-"&amp;G14,""))</f>
        <v/>
      </c>
    </row>
    <row r="15" customFormat="false" ht="15" hidden="false" customHeight="false" outlineLevel="0" collapsed="false">
      <c r="A15" s="32"/>
      <c r="B15" s="37"/>
      <c r="C15" s="57"/>
      <c r="D15" s="35"/>
      <c r="E15" s="57"/>
      <c r="F15" s="18" t="str">
        <f aca="false">IF(A15="","",TEXT(A15,"yyyy-mm"))</f>
        <v/>
      </c>
      <c r="G15" s="62" t="str">
        <f aca="false">IF(A15="","",A15-설정!$B$10)</f>
        <v/>
      </c>
      <c r="H15" s="33" t="str">
        <f aca="false">IF(A15="","",IF(AND(G15&gt;=0,G15&lt;=설정!$B$19),B15&amp;" D-"&amp;G15,""))</f>
        <v/>
      </c>
    </row>
    <row r="16" customFormat="false" ht="15" hidden="false" customHeight="false" outlineLevel="0" collapsed="false">
      <c r="A16" s="32"/>
      <c r="B16" s="37"/>
      <c r="C16" s="57"/>
      <c r="D16" s="35"/>
      <c r="E16" s="57"/>
      <c r="F16" s="18" t="str">
        <f aca="false">IF(A16="","",TEXT(A16,"yyyy-mm"))</f>
        <v/>
      </c>
      <c r="G16" s="62" t="str">
        <f aca="false">IF(A16="","",A16-설정!$B$10)</f>
        <v/>
      </c>
      <c r="H16" s="33" t="str">
        <f aca="false">IF(A16="","",IF(AND(G16&gt;=0,G16&lt;=설정!$B$19),B16&amp;" D-"&amp;G16,""))</f>
        <v/>
      </c>
    </row>
    <row r="17" customFormat="false" ht="15" hidden="false" customHeight="false" outlineLevel="0" collapsed="false">
      <c r="A17" s="32"/>
      <c r="B17" s="37"/>
      <c r="C17" s="57"/>
      <c r="D17" s="35"/>
      <c r="E17" s="57"/>
      <c r="F17" s="18" t="str">
        <f aca="false">IF(A17="","",TEXT(A17,"yyyy-mm"))</f>
        <v/>
      </c>
      <c r="G17" s="62" t="str">
        <f aca="false">IF(A17="","",A17-설정!$B$10)</f>
        <v/>
      </c>
      <c r="H17" s="33" t="str">
        <f aca="false">IF(A17="","",IF(AND(G17&gt;=0,G17&lt;=설정!$B$19),B17&amp;" D-"&amp;G17,""))</f>
        <v/>
      </c>
    </row>
    <row r="18" customFormat="false" ht="15" hidden="false" customHeight="false" outlineLevel="0" collapsed="false">
      <c r="A18" s="32"/>
      <c r="B18" s="37"/>
      <c r="C18" s="57"/>
      <c r="D18" s="35"/>
      <c r="E18" s="57"/>
      <c r="F18" s="18" t="str">
        <f aca="false">IF(A18="","",TEXT(A18,"yyyy-mm"))</f>
        <v/>
      </c>
      <c r="G18" s="62" t="str">
        <f aca="false">IF(A18="","",A18-설정!$B$10)</f>
        <v/>
      </c>
      <c r="H18" s="33" t="str">
        <f aca="false">IF(A18="","",IF(AND(G18&gt;=0,G18&lt;=설정!$B$19),B18&amp;" D-"&amp;G18,""))</f>
        <v/>
      </c>
    </row>
    <row r="19" customFormat="false" ht="15" hidden="false" customHeight="false" outlineLevel="0" collapsed="false">
      <c r="A19" s="32"/>
      <c r="B19" s="37"/>
      <c r="C19" s="57"/>
      <c r="D19" s="35"/>
      <c r="E19" s="57"/>
      <c r="F19" s="18" t="str">
        <f aca="false">IF(A19="","",TEXT(A19,"yyyy-mm"))</f>
        <v/>
      </c>
      <c r="G19" s="62" t="str">
        <f aca="false">IF(A19="","",A19-설정!$B$10)</f>
        <v/>
      </c>
      <c r="H19" s="33" t="str">
        <f aca="false">IF(A19="","",IF(AND(G19&gt;=0,G19&lt;=설정!$B$19),B19&amp;" D-"&amp;G19,""))</f>
        <v/>
      </c>
    </row>
    <row r="20" customFormat="false" ht="15" hidden="false" customHeight="false" outlineLevel="0" collapsed="false">
      <c r="A20" s="32"/>
      <c r="B20" s="37"/>
      <c r="C20" s="57"/>
      <c r="D20" s="35"/>
      <c r="E20" s="57"/>
      <c r="F20" s="18" t="str">
        <f aca="false">IF(A20="","",TEXT(A20,"yyyy-mm"))</f>
        <v/>
      </c>
      <c r="G20" s="62" t="str">
        <f aca="false">IF(A20="","",A20-설정!$B$10)</f>
        <v/>
      </c>
      <c r="H20" s="33" t="str">
        <f aca="false">IF(A20="","",IF(AND(G20&gt;=0,G20&lt;=설정!$B$19),B20&amp;" D-"&amp;G20,""))</f>
        <v/>
      </c>
    </row>
    <row r="21" customFormat="false" ht="15" hidden="false" customHeight="false" outlineLevel="0" collapsed="false">
      <c r="A21" s="32"/>
      <c r="B21" s="37"/>
      <c r="C21" s="57"/>
      <c r="D21" s="35"/>
      <c r="E21" s="57"/>
      <c r="F21" s="18" t="str">
        <f aca="false">IF(A21="","",TEXT(A21,"yyyy-mm"))</f>
        <v/>
      </c>
      <c r="G21" s="62" t="str">
        <f aca="false">IF(A21="","",A21-설정!$B$10)</f>
        <v/>
      </c>
      <c r="H21" s="33" t="str">
        <f aca="false">IF(A21="","",IF(AND(G21&gt;=0,G21&lt;=설정!$B$19),B21&amp;" D-"&amp;G21,""))</f>
        <v/>
      </c>
    </row>
    <row r="22" customFormat="false" ht="15" hidden="false" customHeight="false" outlineLevel="0" collapsed="false">
      <c r="A22" s="32"/>
      <c r="B22" s="37"/>
      <c r="C22" s="57"/>
      <c r="D22" s="35"/>
      <c r="E22" s="57"/>
      <c r="F22" s="18" t="str">
        <f aca="false">IF(A22="","",TEXT(A22,"yyyy-mm"))</f>
        <v/>
      </c>
      <c r="G22" s="62" t="str">
        <f aca="false">IF(A22="","",A22-설정!$B$10)</f>
        <v/>
      </c>
      <c r="H22" s="33" t="str">
        <f aca="false">IF(A22="","",IF(AND(G22&gt;=0,G22&lt;=설정!$B$19),B22&amp;" D-"&amp;G22,""))</f>
        <v/>
      </c>
    </row>
    <row r="23" customFormat="false" ht="15" hidden="false" customHeight="false" outlineLevel="0" collapsed="false">
      <c r="A23" s="32"/>
      <c r="B23" s="37"/>
      <c r="C23" s="57"/>
      <c r="D23" s="35"/>
      <c r="E23" s="57"/>
      <c r="F23" s="18" t="str">
        <f aca="false">IF(A23="","",TEXT(A23,"yyyy-mm"))</f>
        <v/>
      </c>
      <c r="G23" s="62" t="str">
        <f aca="false">IF(A23="","",A23-설정!$B$10)</f>
        <v/>
      </c>
      <c r="H23" s="33" t="str">
        <f aca="false">IF(A23="","",IF(AND(G23&gt;=0,G23&lt;=설정!$B$19),B23&amp;" D-"&amp;G23,""))</f>
        <v/>
      </c>
    </row>
    <row r="24" customFormat="false" ht="15" hidden="false" customHeight="false" outlineLevel="0" collapsed="false">
      <c r="A24" s="32"/>
      <c r="B24" s="37"/>
      <c r="C24" s="57"/>
      <c r="D24" s="35"/>
      <c r="E24" s="57"/>
      <c r="F24" s="18" t="str">
        <f aca="false">IF(A24="","",TEXT(A24,"yyyy-mm"))</f>
        <v/>
      </c>
      <c r="G24" s="62" t="str">
        <f aca="false">IF(A24="","",A24-설정!$B$10)</f>
        <v/>
      </c>
      <c r="H24" s="33" t="str">
        <f aca="false">IF(A24="","",IF(AND(G24&gt;=0,G24&lt;=설정!$B$19),B24&amp;" D-"&amp;G24,""))</f>
        <v/>
      </c>
    </row>
    <row r="25" customFormat="false" ht="15" hidden="false" customHeight="false" outlineLevel="0" collapsed="false">
      <c r="A25" s="32"/>
      <c r="B25" s="37"/>
      <c r="C25" s="57"/>
      <c r="D25" s="35"/>
      <c r="E25" s="57"/>
      <c r="F25" s="18" t="str">
        <f aca="false">IF(A25="","",TEXT(A25,"yyyy-mm"))</f>
        <v/>
      </c>
      <c r="G25" s="62" t="str">
        <f aca="false">IF(A25="","",A25-설정!$B$10)</f>
        <v/>
      </c>
      <c r="H25" s="33" t="str">
        <f aca="false">IF(A25="","",IF(AND(G25&gt;=0,G25&lt;=설정!$B$19),B25&amp;" D-"&amp;G25,""))</f>
        <v/>
      </c>
    </row>
    <row r="26" customFormat="false" ht="15" hidden="false" customHeight="false" outlineLevel="0" collapsed="false">
      <c r="A26" s="32"/>
      <c r="B26" s="37"/>
      <c r="C26" s="57"/>
      <c r="D26" s="35"/>
      <c r="E26" s="57"/>
      <c r="F26" s="18" t="str">
        <f aca="false">IF(A26="","",TEXT(A26,"yyyy-mm"))</f>
        <v/>
      </c>
      <c r="G26" s="62" t="str">
        <f aca="false">IF(A26="","",A26-설정!$B$10)</f>
        <v/>
      </c>
      <c r="H26" s="33" t="str">
        <f aca="false">IF(A26="","",IF(AND(G26&gt;=0,G26&lt;=설정!$B$19),B26&amp;" D-"&amp;G26,""))</f>
        <v/>
      </c>
    </row>
    <row r="27" customFormat="false" ht="15" hidden="false" customHeight="false" outlineLevel="0" collapsed="false">
      <c r="A27" s="32"/>
      <c r="B27" s="37"/>
      <c r="C27" s="57"/>
      <c r="D27" s="35"/>
      <c r="E27" s="57"/>
      <c r="F27" s="18" t="str">
        <f aca="false">IF(A27="","",TEXT(A27,"yyyy-mm"))</f>
        <v/>
      </c>
      <c r="G27" s="62" t="str">
        <f aca="false">IF(A27="","",A27-설정!$B$10)</f>
        <v/>
      </c>
      <c r="H27" s="33" t="str">
        <f aca="false">IF(A27="","",IF(AND(G27&gt;=0,G27&lt;=설정!$B$19),B27&amp;" D-"&amp;G27,""))</f>
        <v/>
      </c>
    </row>
    <row r="28" customFormat="false" ht="15" hidden="false" customHeight="false" outlineLevel="0" collapsed="false">
      <c r="A28" s="32"/>
      <c r="B28" s="37"/>
      <c r="C28" s="57"/>
      <c r="D28" s="35"/>
      <c r="E28" s="57"/>
      <c r="F28" s="18" t="str">
        <f aca="false">IF(A28="","",TEXT(A28,"yyyy-mm"))</f>
        <v/>
      </c>
      <c r="G28" s="62" t="str">
        <f aca="false">IF(A28="","",A28-설정!$B$10)</f>
        <v/>
      </c>
      <c r="H28" s="33" t="str">
        <f aca="false">IF(A28="","",IF(AND(G28&gt;=0,G28&lt;=설정!$B$19),B28&amp;" D-"&amp;G28,""))</f>
        <v/>
      </c>
    </row>
    <row r="29" customFormat="false" ht="15" hidden="false" customHeight="false" outlineLevel="0" collapsed="false">
      <c r="A29" s="32"/>
      <c r="B29" s="37"/>
      <c r="C29" s="57"/>
      <c r="D29" s="35"/>
      <c r="E29" s="57"/>
      <c r="F29" s="18" t="str">
        <f aca="false">IF(A29="","",TEXT(A29,"yyyy-mm"))</f>
        <v/>
      </c>
      <c r="G29" s="62" t="str">
        <f aca="false">IF(A29="","",A29-설정!$B$10)</f>
        <v/>
      </c>
      <c r="H29" s="33" t="str">
        <f aca="false">IF(A29="","",IF(AND(G29&gt;=0,G29&lt;=설정!$B$19),B29&amp;" D-"&amp;G29,""))</f>
        <v/>
      </c>
    </row>
    <row r="30" customFormat="false" ht="15" hidden="false" customHeight="false" outlineLevel="0" collapsed="false">
      <c r="A30" s="32"/>
      <c r="B30" s="37"/>
      <c r="C30" s="57"/>
      <c r="D30" s="35"/>
      <c r="E30" s="57"/>
      <c r="F30" s="18" t="str">
        <f aca="false">IF(A30="","",TEXT(A30,"yyyy-mm"))</f>
        <v/>
      </c>
      <c r="G30" s="62" t="str">
        <f aca="false">IF(A30="","",A30-설정!$B$10)</f>
        <v/>
      </c>
      <c r="H30" s="33" t="str">
        <f aca="false">IF(A30="","",IF(AND(G30&gt;=0,G30&lt;=설정!$B$19),B30&amp;" D-"&amp;G30,""))</f>
        <v/>
      </c>
    </row>
    <row r="31" customFormat="false" ht="15" hidden="false" customHeight="false" outlineLevel="0" collapsed="false">
      <c r="A31" s="32"/>
      <c r="B31" s="37"/>
      <c r="C31" s="57"/>
      <c r="D31" s="35"/>
      <c r="E31" s="57"/>
      <c r="F31" s="18" t="str">
        <f aca="false">IF(A31="","",TEXT(A31,"yyyy-mm"))</f>
        <v/>
      </c>
      <c r="G31" s="62" t="str">
        <f aca="false">IF(A31="","",A31-설정!$B$10)</f>
        <v/>
      </c>
      <c r="H31" s="33" t="str">
        <f aca="false">IF(A31="","",IF(AND(G31&gt;=0,G31&lt;=설정!$B$19),B31&amp;" D-"&amp;G31,""))</f>
        <v/>
      </c>
    </row>
    <row r="32" customFormat="false" ht="15" hidden="false" customHeight="false" outlineLevel="0" collapsed="false">
      <c r="A32" s="32"/>
      <c r="B32" s="37"/>
      <c r="C32" s="57"/>
      <c r="D32" s="35"/>
      <c r="E32" s="57"/>
      <c r="F32" s="18" t="str">
        <f aca="false">IF(A32="","",TEXT(A32,"yyyy-mm"))</f>
        <v/>
      </c>
      <c r="G32" s="62" t="str">
        <f aca="false">IF(A32="","",A32-설정!$B$10)</f>
        <v/>
      </c>
      <c r="H32" s="33" t="str">
        <f aca="false">IF(A32="","",IF(AND(G32&gt;=0,G32&lt;=설정!$B$19),B32&amp;" D-"&amp;G32,""))</f>
        <v/>
      </c>
    </row>
    <row r="33" customFormat="false" ht="15" hidden="false" customHeight="false" outlineLevel="0" collapsed="false">
      <c r="A33" s="32"/>
      <c r="B33" s="37"/>
      <c r="C33" s="57"/>
      <c r="D33" s="35"/>
      <c r="E33" s="57"/>
      <c r="F33" s="18" t="str">
        <f aca="false">IF(A33="","",TEXT(A33,"yyyy-mm"))</f>
        <v/>
      </c>
      <c r="G33" s="62" t="str">
        <f aca="false">IF(A33="","",A33-설정!$B$10)</f>
        <v/>
      </c>
      <c r="H33" s="33" t="str">
        <f aca="false">IF(A33="","",IF(AND(G33&gt;=0,G33&lt;=설정!$B$19),B33&amp;" D-"&amp;G33,""))</f>
        <v/>
      </c>
    </row>
    <row r="34" customFormat="false" ht="15" hidden="false" customHeight="false" outlineLevel="0" collapsed="false">
      <c r="A34" s="32"/>
      <c r="B34" s="37"/>
      <c r="C34" s="57"/>
      <c r="D34" s="35"/>
      <c r="E34" s="57"/>
      <c r="F34" s="18" t="str">
        <f aca="false">IF(A34="","",TEXT(A34,"yyyy-mm"))</f>
        <v/>
      </c>
      <c r="G34" s="62" t="str">
        <f aca="false">IF(A34="","",A34-설정!$B$10)</f>
        <v/>
      </c>
      <c r="H34" s="33" t="str">
        <f aca="false">IF(A34="","",IF(AND(G34&gt;=0,G34&lt;=설정!$B$19),B34&amp;" D-"&amp;G34,""))</f>
        <v/>
      </c>
    </row>
    <row r="35" customFormat="false" ht="15" hidden="false" customHeight="false" outlineLevel="0" collapsed="false">
      <c r="A35" s="32"/>
      <c r="B35" s="37"/>
      <c r="C35" s="57"/>
      <c r="D35" s="35"/>
      <c r="E35" s="57"/>
      <c r="F35" s="18" t="str">
        <f aca="false">IF(A35="","",TEXT(A35,"yyyy-mm"))</f>
        <v/>
      </c>
      <c r="G35" s="62" t="str">
        <f aca="false">IF(A35="","",A35-설정!$B$10)</f>
        <v/>
      </c>
      <c r="H35" s="33" t="str">
        <f aca="false">IF(A35="","",IF(AND(G35&gt;=0,G35&lt;=설정!$B$19),B35&amp;" D-"&amp;G35,""))</f>
        <v/>
      </c>
    </row>
    <row r="36" customFormat="false" ht="15" hidden="false" customHeight="false" outlineLevel="0" collapsed="false">
      <c r="A36" s="32"/>
      <c r="B36" s="37"/>
      <c r="C36" s="57"/>
      <c r="D36" s="35"/>
      <c r="E36" s="57"/>
      <c r="F36" s="18" t="str">
        <f aca="false">IF(A36="","",TEXT(A36,"yyyy-mm"))</f>
        <v/>
      </c>
      <c r="G36" s="62" t="str">
        <f aca="false">IF(A36="","",A36-설정!$B$10)</f>
        <v/>
      </c>
      <c r="H36" s="33" t="str">
        <f aca="false">IF(A36="","",IF(AND(G36&gt;=0,G36&lt;=설정!$B$19),B36&amp;" D-"&amp;G36,""))</f>
        <v/>
      </c>
    </row>
    <row r="37" customFormat="false" ht="15" hidden="false" customHeight="false" outlineLevel="0" collapsed="false">
      <c r="A37" s="32"/>
      <c r="B37" s="37"/>
      <c r="C37" s="57"/>
      <c r="D37" s="35"/>
      <c r="E37" s="57"/>
      <c r="F37" s="18" t="str">
        <f aca="false">IF(A37="","",TEXT(A37,"yyyy-mm"))</f>
        <v/>
      </c>
      <c r="G37" s="62" t="str">
        <f aca="false">IF(A37="","",A37-설정!$B$10)</f>
        <v/>
      </c>
      <c r="H37" s="33" t="str">
        <f aca="false">IF(A37="","",IF(AND(G37&gt;=0,G37&lt;=설정!$B$19),B37&amp;" D-"&amp;G37,""))</f>
        <v/>
      </c>
    </row>
    <row r="38" customFormat="false" ht="15" hidden="false" customHeight="false" outlineLevel="0" collapsed="false">
      <c r="A38" s="32"/>
      <c r="B38" s="37"/>
      <c r="C38" s="57"/>
      <c r="D38" s="35"/>
      <c r="E38" s="57"/>
      <c r="F38" s="18" t="str">
        <f aca="false">IF(A38="","",TEXT(A38,"yyyy-mm"))</f>
        <v/>
      </c>
      <c r="G38" s="62" t="str">
        <f aca="false">IF(A38="","",A38-설정!$B$10)</f>
        <v/>
      </c>
      <c r="H38" s="33" t="str">
        <f aca="false">IF(A38="","",IF(AND(G38&gt;=0,G38&lt;=설정!$B$19),B38&amp;" D-"&amp;G38,""))</f>
        <v/>
      </c>
    </row>
    <row r="39" customFormat="false" ht="15" hidden="false" customHeight="false" outlineLevel="0" collapsed="false">
      <c r="A39" s="32"/>
      <c r="B39" s="37"/>
      <c r="C39" s="57"/>
      <c r="D39" s="35"/>
      <c r="E39" s="57"/>
      <c r="F39" s="18" t="str">
        <f aca="false">IF(A39="","",TEXT(A39,"yyyy-mm"))</f>
        <v/>
      </c>
      <c r="G39" s="62" t="str">
        <f aca="false">IF(A39="","",A39-설정!$B$10)</f>
        <v/>
      </c>
      <c r="H39" s="33" t="str">
        <f aca="false">IF(A39="","",IF(AND(G39&gt;=0,G39&lt;=설정!$B$19),B39&amp;" D-"&amp;G39,""))</f>
        <v/>
      </c>
    </row>
    <row r="40" customFormat="false" ht="15" hidden="false" customHeight="false" outlineLevel="0" collapsed="false">
      <c r="A40" s="32"/>
      <c r="B40" s="37"/>
      <c r="C40" s="57"/>
      <c r="D40" s="35"/>
      <c r="E40" s="57"/>
      <c r="F40" s="18" t="str">
        <f aca="false">IF(A40="","",TEXT(A40,"yyyy-mm"))</f>
        <v/>
      </c>
      <c r="G40" s="62" t="str">
        <f aca="false">IF(A40="","",A40-설정!$B$10)</f>
        <v/>
      </c>
      <c r="H40" s="33" t="str">
        <f aca="false">IF(A40="","",IF(AND(G40&gt;=0,G40&lt;=설정!$B$19),B40&amp;" D-"&amp;G40,""))</f>
        <v/>
      </c>
    </row>
    <row r="41" customFormat="false" ht="15" hidden="false" customHeight="false" outlineLevel="0" collapsed="false">
      <c r="A41" s="32"/>
      <c r="B41" s="37"/>
      <c r="C41" s="57"/>
      <c r="D41" s="35"/>
      <c r="E41" s="57"/>
      <c r="F41" s="18" t="str">
        <f aca="false">IF(A41="","",TEXT(A41,"yyyy-mm"))</f>
        <v/>
      </c>
      <c r="G41" s="62" t="str">
        <f aca="false">IF(A41="","",A41-설정!$B$10)</f>
        <v/>
      </c>
      <c r="H41" s="33" t="str">
        <f aca="false">IF(A41="","",IF(AND(G41&gt;=0,G41&lt;=설정!$B$19),B41&amp;" D-"&amp;G41,""))</f>
        <v/>
      </c>
    </row>
    <row r="42" customFormat="false" ht="15" hidden="false" customHeight="false" outlineLevel="0" collapsed="false">
      <c r="A42" s="32"/>
      <c r="B42" s="37"/>
      <c r="C42" s="57"/>
      <c r="D42" s="35"/>
      <c r="E42" s="57"/>
      <c r="F42" s="18" t="str">
        <f aca="false">IF(A42="","",TEXT(A42,"yyyy-mm"))</f>
        <v/>
      </c>
      <c r="G42" s="62" t="str">
        <f aca="false">IF(A42="","",A42-설정!$B$10)</f>
        <v/>
      </c>
      <c r="H42" s="33" t="str">
        <f aca="false">IF(A42="","",IF(AND(G42&gt;=0,G42&lt;=설정!$B$19),B42&amp;" D-"&amp;G42,""))</f>
        <v/>
      </c>
    </row>
    <row r="43" customFormat="false" ht="15" hidden="false" customHeight="false" outlineLevel="0" collapsed="false">
      <c r="A43" s="32"/>
      <c r="B43" s="37"/>
      <c r="C43" s="57"/>
      <c r="D43" s="35"/>
      <c r="E43" s="57"/>
      <c r="F43" s="18" t="str">
        <f aca="false">IF(A43="","",TEXT(A43,"yyyy-mm"))</f>
        <v/>
      </c>
      <c r="G43" s="62" t="str">
        <f aca="false">IF(A43="","",A43-설정!$B$10)</f>
        <v/>
      </c>
      <c r="H43" s="33" t="str">
        <f aca="false">IF(A43="","",IF(AND(G43&gt;=0,G43&lt;=설정!$B$19),B43&amp;" D-"&amp;G43,""))</f>
        <v/>
      </c>
    </row>
    <row r="44" customFormat="false" ht="15" hidden="false" customHeight="false" outlineLevel="0" collapsed="false">
      <c r="A44" s="32"/>
      <c r="B44" s="37"/>
      <c r="C44" s="57"/>
      <c r="D44" s="35"/>
      <c r="E44" s="57"/>
      <c r="F44" s="18" t="str">
        <f aca="false">IF(A44="","",TEXT(A44,"yyyy-mm"))</f>
        <v/>
      </c>
      <c r="G44" s="62" t="str">
        <f aca="false">IF(A44="","",A44-설정!$B$10)</f>
        <v/>
      </c>
      <c r="H44" s="33" t="str">
        <f aca="false">IF(A44="","",IF(AND(G44&gt;=0,G44&lt;=설정!$B$19),B44&amp;" D-"&amp;G44,""))</f>
        <v/>
      </c>
    </row>
    <row r="45" customFormat="false" ht="15" hidden="false" customHeight="false" outlineLevel="0" collapsed="false">
      <c r="A45" s="32"/>
      <c r="B45" s="37"/>
      <c r="C45" s="57"/>
      <c r="D45" s="35"/>
      <c r="E45" s="57"/>
      <c r="F45" s="18" t="str">
        <f aca="false">IF(A45="","",TEXT(A45,"yyyy-mm"))</f>
        <v/>
      </c>
      <c r="G45" s="62" t="str">
        <f aca="false">IF(A45="","",A45-설정!$B$10)</f>
        <v/>
      </c>
      <c r="H45" s="33" t="str">
        <f aca="false">IF(A45="","",IF(AND(G45&gt;=0,G45&lt;=설정!$B$19),B45&amp;" D-"&amp;G45,""))</f>
        <v/>
      </c>
    </row>
    <row r="46" customFormat="false" ht="15" hidden="false" customHeight="false" outlineLevel="0" collapsed="false">
      <c r="A46" s="32"/>
      <c r="B46" s="37"/>
      <c r="C46" s="57"/>
      <c r="D46" s="35"/>
      <c r="E46" s="57"/>
      <c r="F46" s="18" t="str">
        <f aca="false">IF(A46="","",TEXT(A46,"yyyy-mm"))</f>
        <v/>
      </c>
      <c r="G46" s="62" t="str">
        <f aca="false">IF(A46="","",A46-설정!$B$10)</f>
        <v/>
      </c>
      <c r="H46" s="33" t="str">
        <f aca="false">IF(A46="","",IF(AND(G46&gt;=0,G46&lt;=설정!$B$19),B46&amp;" D-"&amp;G46,""))</f>
        <v/>
      </c>
    </row>
    <row r="47" customFormat="false" ht="15" hidden="false" customHeight="false" outlineLevel="0" collapsed="false">
      <c r="A47" s="32"/>
      <c r="B47" s="37"/>
      <c r="C47" s="57"/>
      <c r="D47" s="35"/>
      <c r="E47" s="57"/>
      <c r="F47" s="18" t="str">
        <f aca="false">IF(A47="","",TEXT(A47,"yyyy-mm"))</f>
        <v/>
      </c>
      <c r="G47" s="62" t="str">
        <f aca="false">IF(A47="","",A47-설정!$B$10)</f>
        <v/>
      </c>
      <c r="H47" s="33" t="str">
        <f aca="false">IF(A47="","",IF(AND(G47&gt;=0,G47&lt;=설정!$B$19),B47&amp;" D-"&amp;G47,""))</f>
        <v/>
      </c>
    </row>
    <row r="48" customFormat="false" ht="15" hidden="false" customHeight="false" outlineLevel="0" collapsed="false">
      <c r="A48" s="32"/>
      <c r="B48" s="37"/>
      <c r="C48" s="57"/>
      <c r="D48" s="35"/>
      <c r="E48" s="57"/>
      <c r="F48" s="18" t="str">
        <f aca="false">IF(A48="","",TEXT(A48,"yyyy-mm"))</f>
        <v/>
      </c>
      <c r="G48" s="62" t="str">
        <f aca="false">IF(A48="","",A48-설정!$B$10)</f>
        <v/>
      </c>
      <c r="H48" s="33" t="str">
        <f aca="false">IF(A48="","",IF(AND(G48&gt;=0,G48&lt;=설정!$B$19),B48&amp;" D-"&amp;G48,""))</f>
        <v/>
      </c>
    </row>
    <row r="49" customFormat="false" ht="15" hidden="false" customHeight="false" outlineLevel="0" collapsed="false">
      <c r="A49" s="32"/>
      <c r="B49" s="37"/>
      <c r="C49" s="57"/>
      <c r="D49" s="35"/>
      <c r="E49" s="57"/>
      <c r="F49" s="18" t="str">
        <f aca="false">IF(A49="","",TEXT(A49,"yyyy-mm"))</f>
        <v/>
      </c>
      <c r="G49" s="62" t="str">
        <f aca="false">IF(A49="","",A49-설정!$B$10)</f>
        <v/>
      </c>
      <c r="H49" s="33" t="str">
        <f aca="false">IF(A49="","",IF(AND(G49&gt;=0,G49&lt;=설정!$B$19),B49&amp;" D-"&amp;G49,""))</f>
        <v/>
      </c>
    </row>
    <row r="50" customFormat="false" ht="15" hidden="false" customHeight="false" outlineLevel="0" collapsed="false">
      <c r="A50" s="32"/>
      <c r="B50" s="37"/>
      <c r="C50" s="57"/>
      <c r="D50" s="35"/>
      <c r="E50" s="57"/>
      <c r="F50" s="18" t="str">
        <f aca="false">IF(A50="","",TEXT(A50,"yyyy-mm"))</f>
        <v/>
      </c>
      <c r="G50" s="62" t="str">
        <f aca="false">IF(A50="","",A50-설정!$B$10)</f>
        <v/>
      </c>
      <c r="H50" s="33" t="str">
        <f aca="false">IF(A50="","",IF(AND(G50&gt;=0,G50&lt;=설정!$B$19),B50&amp;" D-"&amp;G50,""))</f>
        <v/>
      </c>
    </row>
    <row r="51" customFormat="false" ht="15" hidden="false" customHeight="false" outlineLevel="0" collapsed="false">
      <c r="A51" s="32"/>
      <c r="B51" s="37"/>
      <c r="C51" s="57"/>
      <c r="D51" s="35"/>
      <c r="E51" s="57"/>
      <c r="F51" s="18" t="str">
        <f aca="false">IF(A51="","",TEXT(A51,"yyyy-mm"))</f>
        <v/>
      </c>
      <c r="G51" s="62" t="str">
        <f aca="false">IF(A51="","",A51-설정!$B$10)</f>
        <v/>
      </c>
      <c r="H51" s="33" t="str">
        <f aca="false">IF(A51="","",IF(AND(G51&gt;=0,G51&lt;=설정!$B$19),B51&amp;" D-"&amp;G51,""))</f>
        <v/>
      </c>
    </row>
    <row r="52" customFormat="false" ht="15" hidden="false" customHeight="false" outlineLevel="0" collapsed="false">
      <c r="A52" s="32"/>
      <c r="B52" s="37"/>
      <c r="C52" s="57"/>
      <c r="D52" s="35"/>
      <c r="E52" s="57"/>
      <c r="F52" s="18" t="str">
        <f aca="false">IF(A52="","",TEXT(A52,"yyyy-mm"))</f>
        <v/>
      </c>
      <c r="G52" s="62" t="str">
        <f aca="false">IF(A52="","",A52-설정!$B$10)</f>
        <v/>
      </c>
      <c r="H52" s="33" t="str">
        <f aca="false">IF(A52="","",IF(AND(G52&gt;=0,G52&lt;=설정!$B$19),B52&amp;" D-"&amp;G52,""))</f>
        <v/>
      </c>
    </row>
    <row r="53" customFormat="false" ht="15" hidden="false" customHeight="false" outlineLevel="0" collapsed="false">
      <c r="A53" s="32"/>
      <c r="B53" s="37"/>
      <c r="C53" s="57"/>
      <c r="D53" s="35"/>
      <c r="E53" s="57"/>
      <c r="F53" s="18" t="str">
        <f aca="false">IF(A53="","",TEXT(A53,"yyyy-mm"))</f>
        <v/>
      </c>
      <c r="G53" s="62" t="str">
        <f aca="false">IF(A53="","",A53-설정!$B$10)</f>
        <v/>
      </c>
      <c r="H53" s="33" t="str">
        <f aca="false">IF(A53="","",IF(AND(G53&gt;=0,G53&lt;=설정!$B$19),B53&amp;" D-"&amp;G53,""))</f>
        <v/>
      </c>
    </row>
    <row r="54" customFormat="false" ht="15" hidden="false" customHeight="false" outlineLevel="0" collapsed="false">
      <c r="A54" s="32"/>
      <c r="B54" s="37"/>
      <c r="C54" s="57"/>
      <c r="D54" s="35"/>
      <c r="E54" s="57"/>
      <c r="F54" s="18" t="str">
        <f aca="false">IF(A54="","",TEXT(A54,"yyyy-mm"))</f>
        <v/>
      </c>
      <c r="G54" s="62" t="str">
        <f aca="false">IF(A54="","",A54-설정!$B$10)</f>
        <v/>
      </c>
      <c r="H54" s="33" t="str">
        <f aca="false">IF(A54="","",IF(AND(G54&gt;=0,G54&lt;=설정!$B$19),B54&amp;" D-"&amp;G54,""))</f>
        <v/>
      </c>
    </row>
    <row r="55" customFormat="false" ht="15" hidden="false" customHeight="false" outlineLevel="0" collapsed="false">
      <c r="A55" s="32"/>
      <c r="B55" s="37"/>
      <c r="C55" s="57"/>
      <c r="D55" s="35"/>
      <c r="E55" s="57"/>
      <c r="F55" s="18" t="str">
        <f aca="false">IF(A55="","",TEXT(A55,"yyyy-mm"))</f>
        <v/>
      </c>
      <c r="G55" s="62" t="str">
        <f aca="false">IF(A55="","",A55-설정!$B$10)</f>
        <v/>
      </c>
      <c r="H55" s="33" t="str">
        <f aca="false">IF(A55="","",IF(AND(G55&gt;=0,G55&lt;=설정!$B$19),B55&amp;" D-"&amp;G55,""))</f>
        <v/>
      </c>
    </row>
    <row r="56" customFormat="false" ht="15" hidden="false" customHeight="false" outlineLevel="0" collapsed="false">
      <c r="A56" s="32"/>
      <c r="B56" s="37"/>
      <c r="C56" s="57"/>
      <c r="D56" s="35"/>
      <c r="E56" s="57"/>
      <c r="F56" s="18" t="str">
        <f aca="false">IF(A56="","",TEXT(A56,"yyyy-mm"))</f>
        <v/>
      </c>
      <c r="G56" s="62" t="str">
        <f aca="false">IF(A56="","",A56-설정!$B$10)</f>
        <v/>
      </c>
      <c r="H56" s="33" t="str">
        <f aca="false">IF(A56="","",IF(AND(G56&gt;=0,G56&lt;=설정!$B$19),B56&amp;" D-"&amp;G56,""))</f>
        <v/>
      </c>
    </row>
    <row r="57" customFormat="false" ht="15" hidden="false" customHeight="false" outlineLevel="0" collapsed="false">
      <c r="A57" s="32"/>
      <c r="B57" s="37"/>
      <c r="C57" s="57"/>
      <c r="D57" s="35"/>
      <c r="E57" s="57"/>
      <c r="F57" s="18" t="str">
        <f aca="false">IF(A57="","",TEXT(A57,"yyyy-mm"))</f>
        <v/>
      </c>
      <c r="G57" s="62" t="str">
        <f aca="false">IF(A57="","",A57-설정!$B$10)</f>
        <v/>
      </c>
      <c r="H57" s="33" t="str">
        <f aca="false">IF(A57="","",IF(AND(G57&gt;=0,G57&lt;=설정!$B$19),B57&amp;" D-"&amp;G57,""))</f>
        <v/>
      </c>
    </row>
    <row r="58" customFormat="false" ht="15" hidden="false" customHeight="false" outlineLevel="0" collapsed="false">
      <c r="A58" s="32"/>
      <c r="B58" s="37"/>
      <c r="C58" s="57"/>
      <c r="D58" s="35"/>
      <c r="E58" s="57"/>
      <c r="F58" s="18" t="str">
        <f aca="false">IF(A58="","",TEXT(A58,"yyyy-mm"))</f>
        <v/>
      </c>
      <c r="G58" s="62" t="str">
        <f aca="false">IF(A58="","",A58-설정!$B$10)</f>
        <v/>
      </c>
      <c r="H58" s="33" t="str">
        <f aca="false">IF(A58="","",IF(AND(G58&gt;=0,G58&lt;=설정!$B$19),B58&amp;" D-"&amp;G58,""))</f>
        <v/>
      </c>
    </row>
    <row r="59" customFormat="false" ht="15" hidden="false" customHeight="false" outlineLevel="0" collapsed="false">
      <c r="A59" s="32"/>
      <c r="B59" s="37"/>
      <c r="C59" s="57"/>
      <c r="D59" s="35"/>
      <c r="E59" s="57"/>
      <c r="F59" s="18" t="str">
        <f aca="false">IF(A59="","",TEXT(A59,"yyyy-mm"))</f>
        <v/>
      </c>
      <c r="G59" s="62" t="str">
        <f aca="false">IF(A59="","",A59-설정!$B$10)</f>
        <v/>
      </c>
      <c r="H59" s="33" t="str">
        <f aca="false">IF(A59="","",IF(AND(G59&gt;=0,G59&lt;=설정!$B$19),B59&amp;" D-"&amp;G59,""))</f>
        <v/>
      </c>
    </row>
    <row r="60" customFormat="false" ht="15" hidden="false" customHeight="false" outlineLevel="0" collapsed="false">
      <c r="A60" s="32"/>
      <c r="B60" s="37"/>
      <c r="C60" s="57"/>
      <c r="D60" s="35"/>
      <c r="E60" s="57"/>
      <c r="F60" s="18" t="str">
        <f aca="false">IF(A60="","",TEXT(A60,"yyyy-mm"))</f>
        <v/>
      </c>
      <c r="G60" s="62" t="str">
        <f aca="false">IF(A60="","",A60-설정!$B$10)</f>
        <v/>
      </c>
      <c r="H60" s="33" t="str">
        <f aca="false">IF(A60="","",IF(AND(G60&gt;=0,G60&lt;=설정!$B$19),B60&amp;" D-"&amp;G60,""))</f>
        <v/>
      </c>
    </row>
    <row r="61" customFormat="false" ht="15" hidden="false" customHeight="false" outlineLevel="0" collapsed="false">
      <c r="A61" s="32"/>
      <c r="B61" s="37"/>
      <c r="C61" s="57"/>
      <c r="D61" s="35"/>
      <c r="E61" s="57"/>
      <c r="F61" s="18" t="str">
        <f aca="false">IF(A61="","",TEXT(A61,"yyyy-mm"))</f>
        <v/>
      </c>
      <c r="G61" s="62" t="str">
        <f aca="false">IF(A61="","",A61-설정!$B$10)</f>
        <v/>
      </c>
      <c r="H61" s="33" t="str">
        <f aca="false">IF(A61="","",IF(AND(G61&gt;=0,G61&lt;=설정!$B$19),B61&amp;" D-"&amp;G61,""))</f>
        <v/>
      </c>
    </row>
    <row r="62" customFormat="false" ht="15" hidden="false" customHeight="false" outlineLevel="0" collapsed="false">
      <c r="A62" s="32"/>
      <c r="B62" s="37"/>
      <c r="C62" s="57"/>
      <c r="D62" s="35"/>
      <c r="E62" s="57"/>
      <c r="F62" s="18" t="str">
        <f aca="false">IF(A62="","",TEXT(A62,"yyyy-mm"))</f>
        <v/>
      </c>
      <c r="G62" s="62" t="str">
        <f aca="false">IF(A62="","",A62-설정!$B$10)</f>
        <v/>
      </c>
      <c r="H62" s="33" t="str">
        <f aca="false">IF(A62="","",IF(AND(G62&gt;=0,G62&lt;=설정!$B$19),B62&amp;" D-"&amp;G62,""))</f>
        <v/>
      </c>
    </row>
    <row r="63" customFormat="false" ht="15" hidden="false" customHeight="false" outlineLevel="0" collapsed="false">
      <c r="A63" s="32"/>
      <c r="B63" s="37"/>
      <c r="C63" s="57"/>
      <c r="D63" s="35"/>
      <c r="E63" s="57"/>
      <c r="F63" s="18" t="str">
        <f aca="false">IF(A63="","",TEXT(A63,"yyyy-mm"))</f>
        <v/>
      </c>
      <c r="G63" s="62" t="str">
        <f aca="false">IF(A63="","",A63-설정!$B$10)</f>
        <v/>
      </c>
      <c r="H63" s="33" t="str">
        <f aca="false">IF(A63="","",IF(AND(G63&gt;=0,G63&lt;=설정!$B$19),B63&amp;" D-"&amp;G63,""))</f>
        <v/>
      </c>
    </row>
  </sheetData>
  <dataValidations count="2">
    <dataValidation allowBlank="true" error="목록에서 선택하세요." errorStyle="stop" errorTitle="입력 확인" operator="between" showDropDown="false" showErrorMessage="false" showInputMessage="false" sqref="C4:C63" type="list">
      <formula1>"유입,유출,알림"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E4:E63" type="list">
      <formula1>설정!$L$3:$L$5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M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6" min="4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2" min="10" style="0" width="12"/>
    <col collapsed="false" customWidth="true" hidden="false" outlineLevel="0" max="13" min="13" style="0" width="16"/>
  </cols>
  <sheetData>
    <row r="1" customFormat="false" ht="19.7" hidden="false" customHeight="false" outlineLevel="0" collapsed="false">
      <c r="A1" s="39" t="s">
        <v>408</v>
      </c>
    </row>
    <row r="2" customFormat="false" ht="15" hidden="false" customHeight="false" outlineLevel="0" collapsed="false">
      <c r="A2" s="31" t="s">
        <v>409</v>
      </c>
    </row>
    <row r="3" customFormat="false" ht="15" hidden="false" customHeight="false" outlineLevel="0" collapsed="false">
      <c r="A3" s="29" t="s">
        <v>63</v>
      </c>
      <c r="B3" s="29" t="s">
        <v>64</v>
      </c>
      <c r="C3" s="29" t="s">
        <v>410</v>
      </c>
      <c r="D3" s="29" t="s">
        <v>411</v>
      </c>
      <c r="E3" s="30" t="s">
        <v>412</v>
      </c>
      <c r="F3" s="30" t="s">
        <v>268</v>
      </c>
      <c r="G3" s="30" t="s">
        <v>413</v>
      </c>
      <c r="H3" s="30" t="s">
        <v>414</v>
      </c>
      <c r="I3" s="30" t="s">
        <v>25</v>
      </c>
      <c r="J3" s="30" t="s">
        <v>415</v>
      </c>
      <c r="K3" s="30" t="s">
        <v>416</v>
      </c>
      <c r="L3" s="30" t="s">
        <v>417</v>
      </c>
      <c r="M3" s="40" t="s">
        <v>260</v>
      </c>
    </row>
    <row r="4" customFormat="false" ht="15" hidden="false" customHeight="false" outlineLevel="0" collapsed="false">
      <c r="A4" s="34" t="s">
        <v>118</v>
      </c>
      <c r="B4" s="18" t="str">
        <f aca="false">IF(A4="","",IFERROR(INDEX(카테고리!$B$2:$B$200,MATCH(A4,카테고리!$A$2:$A$200,0)),"?"))</f>
        <v>고정비</v>
      </c>
      <c r="C4" s="57" t="s">
        <v>60</v>
      </c>
      <c r="D4" s="35" t="n">
        <v>320000</v>
      </c>
      <c r="E4" s="19" t="n">
        <f aca="false">IF(A4="","",IF(C4="연",D4*설정!$B$9/12,D4))</f>
        <v>320000</v>
      </c>
      <c r="F4" s="19" t="n">
        <f aca="false">IF($A4="","",IF($C4="연",SUMIFS(거래내역!$D$2:$D$5000,거래내역!$E$2:$E$5000,$A4,거래내역!$L$2:$L$5000,"&gt;="&amp;설정!$B$8,거래내역!$L$2:$L$5000,"&lt;="&amp;설정!$B$7,거래내역!$H$2:$H$5000,설정!$B$5),SUMIFS(거래내역!$D$2:$D$5000,거래내역!$E$2:$E$5000,$A4,거래내역!$B$2:$B$5000,설정!$B$3,거래내역!$H$2:$H$5000,설정!$B$5)))</f>
        <v>262690</v>
      </c>
      <c r="G4" s="43" t="n">
        <f aca="false">IF(OR(A4="",N(E4)=0),"",F4/E4)</f>
        <v>0.82090625</v>
      </c>
      <c r="H4" s="19" t="n">
        <f aca="false">IF(A4="","",E4-F4)</f>
        <v>57310</v>
      </c>
      <c r="I4" s="61" t="str">
        <f aca="false">IF(OR(A4="",N(E4)=0),"",IF(G4&gt;1,"🔴 초과",IF(AND(G4&gt;=0.9,B4&lt;&gt;"고정비"),"⚠ 주의","✅ 양호")))</f>
        <v>✅ 양호</v>
      </c>
      <c r="J4" s="19" t="n">
        <f aca="false">IF($A4="","",IF($C4="연",SUMIFS(거래내역!$D$2:$D$5000,거래내역!$E$2:$E$5000,$A4,거래내역!$L$2:$L$5000,"&gt;="&amp;설정!$B$8,거래내역!$L$2:$L$5000,"&lt;="&amp;설정!$B$7,거래내역!$H$2:$H$5000,"본인"),SUMIFS(거래내역!$D$2:$D$5000,거래내역!$E$2:$E$5000,$A4,거래내역!$B$2:$B$5000,설정!$B$3,거래내역!$H$2:$H$5000,"본인")))</f>
        <v>0</v>
      </c>
      <c r="K4" s="19" t="n">
        <f aca="false">IF($A4="","",IF($C4="연",SUMIFS(거래내역!$D$2:$D$5000,거래내역!$E$2:$E$5000,$A4,거래내역!$L$2:$L$5000,"&gt;="&amp;설정!$B$8,거래내역!$L$2:$L$5000,"&lt;="&amp;설정!$B$7,거래내역!$H$2:$H$5000,"배우자"),SUMIFS(거래내역!$D$2:$D$5000,거래내역!$E$2:$E$5000,$A4,거래내역!$B$2:$B$5000,설정!$B$3,거래내역!$H$2:$H$5000,"배우자")))</f>
        <v>0</v>
      </c>
      <c r="L4" s="19" t="n">
        <f aca="false">IF($A4="","",IF($C4="연",SUMIFS(거래내역!$D$2:$D$5000,거래내역!$E$2:$E$5000,$A4,거래내역!$L$2:$L$5000,"&gt;="&amp;설정!$B$8,거래내역!$L$2:$L$5000,"&lt;="&amp;설정!$B$7,거래내역!$H$2:$H$5000,"공동"),SUMIFS(거래내역!$D$2:$D$5000,거래내역!$E$2:$E$5000,$A4,거래내역!$B$2:$B$5000,설정!$B$3,거래내역!$H$2:$H$5000,"공동")))</f>
        <v>262690</v>
      </c>
      <c r="M4" s="44" t="str">
        <f aca="false">IF(ISNUMBER(SEARCH("초과",I4)),A4&amp;" "&amp;TEXT(G4,"0%"),"")</f>
        <v/>
      </c>
    </row>
    <row r="5" customFormat="false" ht="15" hidden="false" customHeight="false" outlineLevel="0" collapsed="false">
      <c r="A5" s="34" t="s">
        <v>100</v>
      </c>
      <c r="B5" s="18" t="str">
        <f aca="false">IF(A5="","",IFERROR(INDEX(카테고리!$B$2:$B$200,MATCH(A5,카테고리!$A$2:$A$200,0)),"?"))</f>
        <v>고정비</v>
      </c>
      <c r="C5" s="57" t="s">
        <v>60</v>
      </c>
      <c r="D5" s="35" t="n">
        <v>1100000</v>
      </c>
      <c r="E5" s="19" t="n">
        <f aca="false">IF(A5="","",IF(C5="연",D5*설정!$B$9/12,D5))</f>
        <v>1100000</v>
      </c>
      <c r="F5" s="19" t="n">
        <f aca="false">IF($A5="","",IF($C5="연",SUMIFS(거래내역!$D$2:$D$5000,거래내역!$E$2:$E$5000,$A5,거래내역!$L$2:$L$5000,"&gt;="&amp;설정!$B$8,거래내역!$L$2:$L$5000,"&lt;="&amp;설정!$B$7,거래내역!$H$2:$H$5000,설정!$B$5),SUMIFS(거래내역!$D$2:$D$5000,거래내역!$E$2:$E$5000,$A5,거래내역!$B$2:$B$5000,설정!$B$3,거래내역!$H$2:$H$5000,설정!$B$5)))</f>
        <v>1050700</v>
      </c>
      <c r="G5" s="43" t="n">
        <f aca="false">IF(OR(A5="",N(E5)=0),"",F5/E5)</f>
        <v>0.955181818181818</v>
      </c>
      <c r="H5" s="19" t="n">
        <f aca="false">IF(A5="","",E5-F5)</f>
        <v>49300</v>
      </c>
      <c r="I5" s="61" t="str">
        <f aca="false">IF(OR(A5="",N(E5)=0),"",IF(G5&gt;1,"🔴 초과",IF(AND(G5&gt;=0.9,B5&lt;&gt;"고정비"),"⚠ 주의","✅ 양호")))</f>
        <v>✅ 양호</v>
      </c>
      <c r="J5" s="19" t="n">
        <f aca="false">IF($A5="","",IF($C5="연",SUMIFS(거래내역!$D$2:$D$5000,거래내역!$E$2:$E$5000,$A5,거래내역!$L$2:$L$5000,"&gt;="&amp;설정!$B$8,거래내역!$L$2:$L$5000,"&lt;="&amp;설정!$B$7,거래내역!$H$2:$H$5000,"본인"),SUMIFS(거래내역!$D$2:$D$5000,거래내역!$E$2:$E$5000,$A5,거래내역!$B$2:$B$5000,설정!$B$3,거래내역!$H$2:$H$5000,"본인")))</f>
        <v>67700</v>
      </c>
      <c r="K5" s="19" t="n">
        <f aca="false">IF($A5="","",IF($C5="연",SUMIFS(거래내역!$D$2:$D$5000,거래내역!$E$2:$E$5000,$A5,거래내역!$L$2:$L$5000,"&gt;="&amp;설정!$B$8,거래내역!$L$2:$L$5000,"&lt;="&amp;설정!$B$7,거래내역!$H$2:$H$5000,"배우자"),SUMIFS(거래내역!$D$2:$D$5000,거래내역!$E$2:$E$5000,$A5,거래내역!$B$2:$B$5000,설정!$B$3,거래내역!$H$2:$H$5000,"배우자")))</f>
        <v>0</v>
      </c>
      <c r="L5" s="19" t="n">
        <f aca="false">IF($A5="","",IF($C5="연",SUMIFS(거래내역!$D$2:$D$5000,거래내역!$E$2:$E$5000,$A5,거래내역!$L$2:$L$5000,"&gt;="&amp;설정!$B$8,거래내역!$L$2:$L$5000,"&lt;="&amp;설정!$B$7,거래내역!$H$2:$H$5000,"공동"),SUMIFS(거래내역!$D$2:$D$5000,거래내역!$E$2:$E$5000,$A5,거래내역!$B$2:$B$5000,설정!$B$3,거래내역!$H$2:$H$5000,"공동")))</f>
        <v>983000</v>
      </c>
      <c r="M5" s="44" t="str">
        <f aca="false">IF(ISNUMBER(SEARCH("초과",I5)),A5&amp;" "&amp;TEXT(G5,"0%"),"")</f>
        <v/>
      </c>
    </row>
    <row r="6" customFormat="false" ht="15" hidden="false" customHeight="false" outlineLevel="0" collapsed="false">
      <c r="A6" s="34" t="s">
        <v>112</v>
      </c>
      <c r="B6" s="18" t="str">
        <f aca="false">IF(A6="","",IFERROR(INDEX(카테고리!$B$2:$B$200,MATCH(A6,카테고리!$A$2:$A$200,0)),"?"))</f>
        <v>고정비</v>
      </c>
      <c r="C6" s="57" t="s">
        <v>60</v>
      </c>
      <c r="D6" s="35" t="n">
        <v>400000</v>
      </c>
      <c r="E6" s="19" t="n">
        <f aca="false">IF(A6="","",IF(C6="연",D6*설정!$B$9/12,D6))</f>
        <v>400000</v>
      </c>
      <c r="F6" s="19" t="n">
        <f aca="false">IF($A6="","",IF($C6="연",SUMIFS(거래내역!$D$2:$D$5000,거래내역!$E$2:$E$5000,$A6,거래내역!$L$2:$L$5000,"&gt;="&amp;설정!$B$8,거래내역!$L$2:$L$5000,"&lt;="&amp;설정!$B$7,거래내역!$H$2:$H$5000,설정!$B$5),SUMIFS(거래내역!$D$2:$D$5000,거래내역!$E$2:$E$5000,$A6,거래내역!$B$2:$B$5000,설정!$B$3,거래내역!$H$2:$H$5000,설정!$B$5)))</f>
        <v>388000</v>
      </c>
      <c r="G6" s="43" t="n">
        <f aca="false">IF(OR(A6="",N(E6)=0),"",F6/E6)</f>
        <v>0.97</v>
      </c>
      <c r="H6" s="19" t="n">
        <f aca="false">IF(A6="","",E6-F6)</f>
        <v>12000</v>
      </c>
      <c r="I6" s="61" t="str">
        <f aca="false">IF(OR(A6="",N(E6)=0),"",IF(G6&gt;1,"🔴 초과",IF(AND(G6&gt;=0.9,B6&lt;&gt;"고정비"),"⚠ 주의","✅ 양호")))</f>
        <v>✅ 양호</v>
      </c>
      <c r="J6" s="19" t="n">
        <f aca="false">IF($A6="","",IF($C6="연",SUMIFS(거래내역!$D$2:$D$5000,거래내역!$E$2:$E$5000,$A6,거래내역!$L$2:$L$5000,"&gt;="&amp;설정!$B$8,거래내역!$L$2:$L$5000,"&lt;="&amp;설정!$B$7,거래내역!$H$2:$H$5000,"본인"),SUMIFS(거래내역!$D$2:$D$5000,거래내역!$E$2:$E$5000,$A6,거래내역!$B$2:$B$5000,설정!$B$3,거래내역!$H$2:$H$5000,"본인")))</f>
        <v>172000</v>
      </c>
      <c r="K6" s="19" t="n">
        <f aca="false">IF($A6="","",IF($C6="연",SUMIFS(거래내역!$D$2:$D$5000,거래내역!$E$2:$E$5000,$A6,거래내역!$L$2:$L$5000,"&gt;="&amp;설정!$B$8,거래내역!$L$2:$L$5000,"&lt;="&amp;설정!$B$7,거래내역!$H$2:$H$5000,"배우자"),SUMIFS(거래내역!$D$2:$D$5000,거래내역!$E$2:$E$5000,$A6,거래내역!$B$2:$B$5000,설정!$B$3,거래내역!$H$2:$H$5000,"배우자")))</f>
        <v>148000</v>
      </c>
      <c r="L6" s="19" t="n">
        <f aca="false">IF($A6="","",IF($C6="연",SUMIFS(거래내역!$D$2:$D$5000,거래내역!$E$2:$E$5000,$A6,거래내역!$L$2:$L$5000,"&gt;="&amp;설정!$B$8,거래내역!$L$2:$L$5000,"&lt;="&amp;설정!$B$7,거래내역!$H$2:$H$5000,"공동"),SUMIFS(거래내역!$D$2:$D$5000,거래내역!$E$2:$E$5000,$A6,거래내역!$B$2:$B$5000,설정!$B$3,거래내역!$H$2:$H$5000,"공동")))</f>
        <v>68000</v>
      </c>
      <c r="M6" s="44" t="str">
        <f aca="false">IF(ISNUMBER(SEARCH("초과",I6)),A6&amp;" "&amp;TEXT(G6,"0%"),"")</f>
        <v/>
      </c>
    </row>
    <row r="7" customFormat="false" ht="15" hidden="false" customHeight="false" outlineLevel="0" collapsed="false">
      <c r="A7" s="34" t="s">
        <v>120</v>
      </c>
      <c r="B7" s="18" t="str">
        <f aca="false">IF(A7="","",IFERROR(INDEX(카테고리!$B$2:$B$200,MATCH(A7,카테고리!$A$2:$A$200,0)),"?"))</f>
        <v>고정비</v>
      </c>
      <c r="C7" s="57" t="s">
        <v>60</v>
      </c>
      <c r="D7" s="35" t="n">
        <v>160000</v>
      </c>
      <c r="E7" s="19" t="n">
        <f aca="false">IF(A7="","",IF(C7="연",D7*설정!$B$9/12,D7))</f>
        <v>160000</v>
      </c>
      <c r="F7" s="19" t="n">
        <f aca="false">IF($A7="","",IF($C7="연",SUMIFS(거래내역!$D$2:$D$5000,거래내역!$E$2:$E$5000,$A7,거래내역!$L$2:$L$5000,"&gt;="&amp;설정!$B$8,거래내역!$L$2:$L$5000,"&lt;="&amp;설정!$B$7,거래내역!$H$2:$H$5000,설정!$B$5),SUMIFS(거래내역!$D$2:$D$5000,거래내역!$E$2:$E$5000,$A7,거래내역!$B$2:$B$5000,설정!$B$3,거래내역!$H$2:$H$5000,설정!$B$5)))</f>
        <v>155000</v>
      </c>
      <c r="G7" s="43" t="n">
        <f aca="false">IF(OR(A7="",N(E7)=0),"",F7/E7)</f>
        <v>0.96875</v>
      </c>
      <c r="H7" s="19" t="n">
        <f aca="false">IF(A7="","",E7-F7)</f>
        <v>5000</v>
      </c>
      <c r="I7" s="61" t="str">
        <f aca="false">IF(OR(A7="",N(E7)=0),"",IF(G7&gt;1,"🔴 초과",IF(AND(G7&gt;=0.9,B7&lt;&gt;"고정비"),"⚠ 주의","✅ 양호")))</f>
        <v>✅ 양호</v>
      </c>
      <c r="J7" s="19" t="n">
        <f aca="false">IF($A7="","",IF($C7="연",SUMIFS(거래내역!$D$2:$D$5000,거래내역!$E$2:$E$5000,$A7,거래내역!$L$2:$L$5000,"&gt;="&amp;설정!$B$8,거래내역!$L$2:$L$5000,"&lt;="&amp;설정!$B$7,거래내역!$H$2:$H$5000,"본인"),SUMIFS(거래내역!$D$2:$D$5000,거래내역!$E$2:$E$5000,$A7,거래내역!$B$2:$B$5000,설정!$B$3,거래내역!$H$2:$H$5000,"본인")))</f>
        <v>68000</v>
      </c>
      <c r="K7" s="19" t="n">
        <f aca="false">IF($A7="","",IF($C7="연",SUMIFS(거래내역!$D$2:$D$5000,거래내역!$E$2:$E$5000,$A7,거래내역!$L$2:$L$5000,"&gt;="&amp;설정!$B$8,거래내역!$L$2:$L$5000,"&lt;="&amp;설정!$B$7,거래내역!$H$2:$H$5000,"배우자"),SUMIFS(거래내역!$D$2:$D$5000,거래내역!$E$2:$E$5000,$A7,거래내역!$B$2:$B$5000,설정!$B$3,거래내역!$H$2:$H$5000,"배우자")))</f>
        <v>54000</v>
      </c>
      <c r="L7" s="19" t="n">
        <f aca="false">IF($A7="","",IF($C7="연",SUMIFS(거래내역!$D$2:$D$5000,거래내역!$E$2:$E$5000,$A7,거래내역!$L$2:$L$5000,"&gt;="&amp;설정!$B$8,거래내역!$L$2:$L$5000,"&lt;="&amp;설정!$B$7,거래내역!$H$2:$H$5000,"공동"),SUMIFS(거래내역!$D$2:$D$5000,거래내역!$E$2:$E$5000,$A7,거래내역!$B$2:$B$5000,설정!$B$3,거래내역!$H$2:$H$5000,"공동")))</f>
        <v>33000</v>
      </c>
      <c r="M7" s="44" t="str">
        <f aca="false">IF(ISNUMBER(SEARCH("초과",I7)),A7&amp;" "&amp;TEXT(G7,"0%"),"")</f>
        <v/>
      </c>
    </row>
    <row r="8" customFormat="false" ht="15" hidden="false" customHeight="false" outlineLevel="0" collapsed="false">
      <c r="A8" s="34" t="s">
        <v>80</v>
      </c>
      <c r="B8" s="18" t="str">
        <f aca="false">IF(A8="","",IFERROR(INDEX(카테고리!$B$2:$B$200,MATCH(A8,카테고리!$A$2:$A$200,0)),"?"))</f>
        <v>고정비</v>
      </c>
      <c r="C8" s="57" t="s">
        <v>60</v>
      </c>
      <c r="D8" s="35" t="n">
        <v>550000</v>
      </c>
      <c r="E8" s="19" t="n">
        <f aca="false">IF(A8="","",IF(C8="연",D8*설정!$B$9/12,D8))</f>
        <v>550000</v>
      </c>
      <c r="F8" s="19" t="n">
        <f aca="false">IF($A8="","",IF($C8="연",SUMIFS(거래내역!$D$2:$D$5000,거래내역!$E$2:$E$5000,$A8,거래내역!$L$2:$L$5000,"&gt;="&amp;설정!$B$8,거래내역!$L$2:$L$5000,"&lt;="&amp;설정!$B$7,거래내역!$H$2:$H$5000,설정!$B$5),SUMIFS(거래내역!$D$2:$D$5000,거래내역!$E$2:$E$5000,$A8,거래내역!$B$2:$B$5000,설정!$B$3,거래내역!$H$2:$H$5000,설정!$B$5)))</f>
        <v>520000</v>
      </c>
      <c r="G8" s="43" t="n">
        <f aca="false">IF(OR(A8="",N(E8)=0),"",F8/E8)</f>
        <v>0.945454545454545</v>
      </c>
      <c r="H8" s="19" t="n">
        <f aca="false">IF(A8="","",E8-F8)</f>
        <v>30000</v>
      </c>
      <c r="I8" s="61" t="str">
        <f aca="false">IF(OR(A8="",N(E8)=0),"",IF(G8&gt;1,"🔴 초과",IF(AND(G8&gt;=0.9,B8&lt;&gt;"고정비"),"⚠ 주의","✅ 양호")))</f>
        <v>✅ 양호</v>
      </c>
      <c r="J8" s="19" t="n">
        <f aca="false">IF($A8="","",IF($C8="연",SUMIFS(거래내역!$D$2:$D$5000,거래내역!$E$2:$E$5000,$A8,거래내역!$L$2:$L$5000,"&gt;="&amp;설정!$B$8,거래내역!$L$2:$L$5000,"&lt;="&amp;설정!$B$7,거래내역!$H$2:$H$5000,"본인"),SUMIFS(거래내역!$D$2:$D$5000,거래내역!$E$2:$E$5000,$A8,거래내역!$B$2:$B$5000,설정!$B$3,거래내역!$H$2:$H$5000,"본인")))</f>
        <v>0</v>
      </c>
      <c r="K8" s="19" t="n">
        <f aca="false">IF($A8="","",IF($C8="연",SUMIFS(거래내역!$D$2:$D$5000,거래내역!$E$2:$E$5000,$A8,거래내역!$L$2:$L$5000,"&gt;="&amp;설정!$B$8,거래내역!$L$2:$L$5000,"&lt;="&amp;설정!$B$7,거래내역!$H$2:$H$5000,"배우자"),SUMIFS(거래내역!$D$2:$D$5000,거래내역!$E$2:$E$5000,$A8,거래내역!$B$2:$B$5000,설정!$B$3,거래내역!$H$2:$H$5000,"배우자")))</f>
        <v>0</v>
      </c>
      <c r="L8" s="19" t="n">
        <f aca="false">IF($A8="","",IF($C8="연",SUMIFS(거래내역!$D$2:$D$5000,거래내역!$E$2:$E$5000,$A8,거래내역!$L$2:$L$5000,"&gt;="&amp;설정!$B$8,거래내역!$L$2:$L$5000,"&lt;="&amp;설정!$B$7,거래내역!$H$2:$H$5000,"공동"),SUMIFS(거래내역!$D$2:$D$5000,거래내역!$E$2:$E$5000,$A8,거래내역!$B$2:$B$5000,설정!$B$3,거래내역!$H$2:$H$5000,"공동")))</f>
        <v>520000</v>
      </c>
      <c r="M8" s="44" t="str">
        <f aca="false">IF(ISNUMBER(SEARCH("초과",I8)),A8&amp;" "&amp;TEXT(G8,"0%"),"")</f>
        <v/>
      </c>
    </row>
    <row r="9" customFormat="false" ht="15" hidden="false" customHeight="false" outlineLevel="0" collapsed="false">
      <c r="A9" s="34" t="s">
        <v>105</v>
      </c>
      <c r="B9" s="18" t="str">
        <f aca="false">IF(A9="","",IFERROR(INDEX(카테고리!$B$2:$B$200,MATCH(A9,카테고리!$A$2:$A$200,0)),"?"))</f>
        <v>고정비</v>
      </c>
      <c r="C9" s="57" t="s">
        <v>60</v>
      </c>
      <c r="D9" s="35" t="n">
        <v>50000</v>
      </c>
      <c r="E9" s="19" t="n">
        <f aca="false">IF(A9="","",IF(C9="연",D9*설정!$B$9/12,D9))</f>
        <v>50000</v>
      </c>
      <c r="F9" s="19" t="n">
        <f aca="false">IF($A9="","",IF($C9="연",SUMIFS(거래내역!$D$2:$D$5000,거래내역!$E$2:$E$5000,$A9,거래내역!$L$2:$L$5000,"&gt;="&amp;설정!$B$8,거래내역!$L$2:$L$5000,"&lt;="&amp;설정!$B$7,거래내역!$H$2:$H$5000,설정!$B$5),SUMIFS(거래내역!$D$2:$D$5000,거래내역!$E$2:$E$5000,$A9,거래내역!$B$2:$B$5000,설정!$B$3,거래내역!$H$2:$H$5000,설정!$B$5)))</f>
        <v>39790</v>
      </c>
      <c r="G9" s="43" t="n">
        <f aca="false">IF(OR(A9="",N(E9)=0),"",F9/E9)</f>
        <v>0.7958</v>
      </c>
      <c r="H9" s="19" t="n">
        <f aca="false">IF(A9="","",E9-F9)</f>
        <v>10210</v>
      </c>
      <c r="I9" s="61" t="str">
        <f aca="false">IF(OR(A9="",N(E9)=0),"",IF(G9&gt;1,"🔴 초과",IF(AND(G9&gt;=0.9,B9&lt;&gt;"고정비"),"⚠ 주의","✅ 양호")))</f>
        <v>✅ 양호</v>
      </c>
      <c r="J9" s="19" t="n">
        <f aca="false">IF($A9="","",IF($C9="연",SUMIFS(거래내역!$D$2:$D$5000,거래내역!$E$2:$E$5000,$A9,거래내역!$L$2:$L$5000,"&gt;="&amp;설정!$B$8,거래내역!$L$2:$L$5000,"&lt;="&amp;설정!$B$7,거래내역!$H$2:$H$5000,"본인"),SUMIFS(거래내역!$D$2:$D$5000,거래내역!$E$2:$E$5000,$A9,거래내역!$B$2:$B$5000,설정!$B$3,거래내역!$H$2:$H$5000,"본인")))</f>
        <v>14900</v>
      </c>
      <c r="K9" s="19" t="n">
        <f aca="false">IF($A9="","",IF($C9="연",SUMIFS(거래내역!$D$2:$D$5000,거래내역!$E$2:$E$5000,$A9,거래내역!$L$2:$L$5000,"&gt;="&amp;설정!$B$8,거래내역!$L$2:$L$5000,"&lt;="&amp;설정!$B$7,거래내역!$H$2:$H$5000,"배우자"),SUMIFS(거래내역!$D$2:$D$5000,거래내역!$E$2:$E$5000,$A9,거래내역!$B$2:$B$5000,설정!$B$3,거래내역!$H$2:$H$5000,"배우자")))</f>
        <v>7890</v>
      </c>
      <c r="L9" s="19" t="n">
        <f aca="false">IF($A9="","",IF($C9="연",SUMIFS(거래내역!$D$2:$D$5000,거래내역!$E$2:$E$5000,$A9,거래내역!$L$2:$L$5000,"&gt;="&amp;설정!$B$8,거래내역!$L$2:$L$5000,"&lt;="&amp;설정!$B$7,거래내역!$H$2:$H$5000,"공동"),SUMIFS(거래내역!$D$2:$D$5000,거래내역!$E$2:$E$5000,$A9,거래내역!$B$2:$B$5000,설정!$B$3,거래내역!$H$2:$H$5000,"공동")))</f>
        <v>17000</v>
      </c>
      <c r="M9" s="44" t="str">
        <f aca="false">IF(ISNUMBER(SEARCH("초과",I9)),A9&amp;" "&amp;TEXT(G9,"0%"),"")</f>
        <v/>
      </c>
    </row>
    <row r="10" customFormat="false" ht="15" hidden="false" customHeight="false" outlineLevel="0" collapsed="false">
      <c r="A10" s="34" t="s">
        <v>92</v>
      </c>
      <c r="B10" s="18" t="str">
        <f aca="false">IF(A10="","",IFERROR(INDEX(카테고리!$B$2:$B$200,MATCH(A10,카테고리!$A$2:$A$200,0)),"?"))</f>
        <v>변동비</v>
      </c>
      <c r="C10" s="57" t="s">
        <v>60</v>
      </c>
      <c r="D10" s="35" t="n">
        <v>900000</v>
      </c>
      <c r="E10" s="19" t="n">
        <f aca="false">IF(A10="","",IF(C10="연",D10*설정!$B$9/12,D10))</f>
        <v>900000</v>
      </c>
      <c r="F10" s="19" t="n">
        <f aca="false">IF($A10="","",IF($C10="연",SUMIFS(거래내역!$D$2:$D$5000,거래내역!$E$2:$E$5000,$A10,거래내역!$L$2:$L$5000,"&gt;="&amp;설정!$B$8,거래내역!$L$2:$L$5000,"&lt;="&amp;설정!$B$7,거래내역!$H$2:$H$5000,설정!$B$5),SUMIFS(거래내역!$D$2:$D$5000,거래내역!$E$2:$E$5000,$A10,거래내역!$B$2:$B$5000,설정!$B$3,거래내역!$H$2:$H$5000,설정!$B$5)))</f>
        <v>768940</v>
      </c>
      <c r="G10" s="43" t="n">
        <f aca="false">IF(OR(A10="",N(E10)=0),"",F10/E10)</f>
        <v>0.854377777777778</v>
      </c>
      <c r="H10" s="19" t="n">
        <f aca="false">IF(A10="","",E10-F10)</f>
        <v>131060</v>
      </c>
      <c r="I10" s="61" t="str">
        <f aca="false">IF(OR(A10="",N(E10)=0),"",IF(G10&gt;1,"🔴 초과",IF(AND(G10&gt;=0.9,B10&lt;&gt;"고정비"),"⚠ 주의","✅ 양호")))</f>
        <v>✅ 양호</v>
      </c>
      <c r="J10" s="19" t="n">
        <f aca="false">IF($A10="","",IF($C10="연",SUMIFS(거래내역!$D$2:$D$5000,거래내역!$E$2:$E$5000,$A10,거래내역!$L$2:$L$5000,"&gt;="&amp;설정!$B$8,거래내역!$L$2:$L$5000,"&lt;="&amp;설정!$B$7,거래내역!$H$2:$H$5000,"본인"),SUMIFS(거래내역!$D$2:$D$5000,거래내역!$E$2:$E$5000,$A10,거래내역!$B$2:$B$5000,설정!$B$3,거래내역!$H$2:$H$5000,"본인")))</f>
        <v>0</v>
      </c>
      <c r="K10" s="19" t="n">
        <f aca="false">IF($A10="","",IF($C10="연",SUMIFS(거래내역!$D$2:$D$5000,거래내역!$E$2:$E$5000,$A10,거래내역!$L$2:$L$5000,"&gt;="&amp;설정!$B$8,거래내역!$L$2:$L$5000,"&lt;="&amp;설정!$B$7,거래내역!$H$2:$H$5000,"배우자"),SUMIFS(거래내역!$D$2:$D$5000,거래내역!$E$2:$E$5000,$A10,거래내역!$B$2:$B$5000,설정!$B$3,거래내역!$H$2:$H$5000,"배우자")))</f>
        <v>214150</v>
      </c>
      <c r="L10" s="19" t="n">
        <f aca="false">IF($A10="","",IF($C10="연",SUMIFS(거래내역!$D$2:$D$5000,거래내역!$E$2:$E$5000,$A10,거래내역!$L$2:$L$5000,"&gt;="&amp;설정!$B$8,거래내역!$L$2:$L$5000,"&lt;="&amp;설정!$B$7,거래내역!$H$2:$H$5000,"공동"),SUMIFS(거래내역!$D$2:$D$5000,거래내역!$E$2:$E$5000,$A10,거래내역!$B$2:$B$5000,설정!$B$3,거래내역!$H$2:$H$5000,"공동")))</f>
        <v>554790</v>
      </c>
      <c r="M10" s="44" t="str">
        <f aca="false">IF(ISNUMBER(SEARCH("초과",I10)),A10&amp;" "&amp;TEXT(G10,"0%"),"")</f>
        <v/>
      </c>
    </row>
    <row r="11" customFormat="false" ht="15" hidden="false" customHeight="false" outlineLevel="0" collapsed="false">
      <c r="A11" s="34" t="s">
        <v>89</v>
      </c>
      <c r="B11" s="18" t="str">
        <f aca="false">IF(A11="","",IFERROR(INDEX(카테고리!$B$2:$B$200,MATCH(A11,카테고리!$A$2:$A$200,0)),"?"))</f>
        <v>변동비</v>
      </c>
      <c r="C11" s="57" t="s">
        <v>60</v>
      </c>
      <c r="D11" s="35" t="n">
        <v>400000</v>
      </c>
      <c r="E11" s="19" t="n">
        <f aca="false">IF(A11="","",IF(C11="연",D11*설정!$B$9/12,D11))</f>
        <v>400000</v>
      </c>
      <c r="F11" s="19" t="n">
        <f aca="false">IF($A11="","",IF($C11="연",SUMIFS(거래내역!$D$2:$D$5000,거래내역!$E$2:$E$5000,$A11,거래내역!$L$2:$L$5000,"&gt;="&amp;설정!$B$8,거래내역!$L$2:$L$5000,"&lt;="&amp;설정!$B$7,거래내역!$H$2:$H$5000,설정!$B$5),SUMIFS(거래내역!$D$2:$D$5000,거래내역!$E$2:$E$5000,$A11,거래내역!$B$2:$B$5000,설정!$B$3,거래내역!$H$2:$H$5000,설정!$B$5)))</f>
        <v>503600</v>
      </c>
      <c r="G11" s="43" t="n">
        <f aca="false">IF(OR(A11="",N(E11)=0),"",F11/E11)</f>
        <v>1.259</v>
      </c>
      <c r="H11" s="19" t="n">
        <f aca="false">IF(A11="","",E11-F11)</f>
        <v>-103600</v>
      </c>
      <c r="I11" s="61" t="str">
        <f aca="false">IF(OR(A11="",N(E11)=0),"",IF(G11&gt;1,"🔴 초과",IF(AND(G11&gt;=0.9,B11&lt;&gt;"고정비"),"⚠ 주의","✅ 양호")))</f>
        <v>🔴 초과</v>
      </c>
      <c r="J11" s="19" t="n">
        <f aca="false">IF($A11="","",IF($C11="연",SUMIFS(거래내역!$D$2:$D$5000,거래내역!$E$2:$E$5000,$A11,거래내역!$L$2:$L$5000,"&gt;="&amp;설정!$B$8,거래내역!$L$2:$L$5000,"&lt;="&amp;설정!$B$7,거래내역!$H$2:$H$5000,"본인"),SUMIFS(거래내역!$D$2:$D$5000,거래내역!$E$2:$E$5000,$A11,거래내역!$B$2:$B$5000,설정!$B$3,거래내역!$H$2:$H$5000,"본인")))</f>
        <v>118970</v>
      </c>
      <c r="K11" s="19" t="n">
        <f aca="false">IF($A11="","",IF($C11="연",SUMIFS(거래내역!$D$2:$D$5000,거래내역!$E$2:$E$5000,$A11,거래내역!$L$2:$L$5000,"&gt;="&amp;설정!$B$8,거래내역!$L$2:$L$5000,"&lt;="&amp;설정!$B$7,거래내역!$H$2:$H$5000,"배우자"),SUMIFS(거래내역!$D$2:$D$5000,거래내역!$E$2:$E$5000,$A11,거래내역!$B$2:$B$5000,설정!$B$3,거래내역!$H$2:$H$5000,"배우자")))</f>
        <v>232810</v>
      </c>
      <c r="L11" s="19" t="n">
        <f aca="false">IF($A11="","",IF($C11="연",SUMIFS(거래내역!$D$2:$D$5000,거래내역!$E$2:$E$5000,$A11,거래내역!$L$2:$L$5000,"&gt;="&amp;설정!$B$8,거래내역!$L$2:$L$5000,"&lt;="&amp;설정!$B$7,거래내역!$H$2:$H$5000,"공동"),SUMIFS(거래내역!$D$2:$D$5000,거래내역!$E$2:$E$5000,$A11,거래내역!$B$2:$B$5000,설정!$B$3,거래내역!$H$2:$H$5000,"공동")))</f>
        <v>151820</v>
      </c>
      <c r="M11" s="44" t="str">
        <f aca="false">IF(ISNUMBER(SEARCH("초과",I11)),A11&amp;" "&amp;TEXT(G11,"0%"),"")</f>
        <v>외식 126%</v>
      </c>
    </row>
    <row r="12" customFormat="false" ht="15" hidden="false" customHeight="false" outlineLevel="0" collapsed="false">
      <c r="A12" s="34" t="s">
        <v>87</v>
      </c>
      <c r="B12" s="18" t="str">
        <f aca="false">IF(A12="","",IFERROR(INDEX(카테고리!$B$2:$B$200,MATCH(A12,카테고리!$A$2:$A$200,0)),"?"))</f>
        <v>변동비</v>
      </c>
      <c r="C12" s="57" t="s">
        <v>60</v>
      </c>
      <c r="D12" s="35" t="n">
        <v>250000</v>
      </c>
      <c r="E12" s="19" t="n">
        <f aca="false">IF(A12="","",IF(C12="연",D12*설정!$B$9/12,D12))</f>
        <v>250000</v>
      </c>
      <c r="F12" s="19" t="n">
        <f aca="false">IF($A12="","",IF($C12="연",SUMIFS(거래내역!$D$2:$D$5000,거래내역!$E$2:$E$5000,$A12,거래내역!$L$2:$L$5000,"&gt;="&amp;설정!$B$8,거래내역!$L$2:$L$5000,"&lt;="&amp;설정!$B$7,거래내역!$H$2:$H$5000,설정!$B$5),SUMIFS(거래내역!$D$2:$D$5000,거래내역!$E$2:$E$5000,$A12,거래내역!$B$2:$B$5000,설정!$B$3,거래내역!$H$2:$H$5000,설정!$B$5)))</f>
        <v>129450</v>
      </c>
      <c r="G12" s="43" t="n">
        <f aca="false">IF(OR(A12="",N(E12)=0),"",F12/E12)</f>
        <v>0.5178</v>
      </c>
      <c r="H12" s="19" t="n">
        <f aca="false">IF(A12="","",E12-F12)</f>
        <v>120550</v>
      </c>
      <c r="I12" s="61" t="str">
        <f aca="false">IF(OR(A12="",N(E12)=0),"",IF(G12&gt;1,"🔴 초과",IF(AND(G12&gt;=0.9,B12&lt;&gt;"고정비"),"⚠ 주의","✅ 양호")))</f>
        <v>✅ 양호</v>
      </c>
      <c r="J12" s="19" t="n">
        <f aca="false">IF($A12="","",IF($C12="연",SUMIFS(거래내역!$D$2:$D$5000,거래내역!$E$2:$E$5000,$A12,거래내역!$L$2:$L$5000,"&gt;="&amp;설정!$B$8,거래내역!$L$2:$L$5000,"&lt;="&amp;설정!$B$7,거래내역!$H$2:$H$5000,"본인"),SUMIFS(거래내역!$D$2:$D$5000,거래내역!$E$2:$E$5000,$A12,거래내역!$B$2:$B$5000,설정!$B$3,거래내역!$H$2:$H$5000,"본인")))</f>
        <v>0</v>
      </c>
      <c r="K12" s="19" t="n">
        <f aca="false">IF($A12="","",IF($C12="연",SUMIFS(거래내역!$D$2:$D$5000,거래내역!$E$2:$E$5000,$A12,거래내역!$L$2:$L$5000,"&gt;="&amp;설정!$B$8,거래내역!$L$2:$L$5000,"&lt;="&amp;설정!$B$7,거래내역!$H$2:$H$5000,"배우자"),SUMIFS(거래내역!$D$2:$D$5000,거래내역!$E$2:$E$5000,$A12,거래내역!$B$2:$B$5000,설정!$B$3,거래내역!$H$2:$H$5000,"배우자")))</f>
        <v>0</v>
      </c>
      <c r="L12" s="19" t="n">
        <f aca="false">IF($A12="","",IF($C12="연",SUMIFS(거래내역!$D$2:$D$5000,거래내역!$E$2:$E$5000,$A12,거래내역!$L$2:$L$5000,"&gt;="&amp;설정!$B$8,거래내역!$L$2:$L$5000,"&lt;="&amp;설정!$B$7,거래내역!$H$2:$H$5000,"공동"),SUMIFS(거래내역!$D$2:$D$5000,거래내역!$E$2:$E$5000,$A12,거래내역!$B$2:$B$5000,설정!$B$3,거래내역!$H$2:$H$5000,"공동")))</f>
        <v>129450</v>
      </c>
      <c r="M12" s="44" t="str">
        <f aca="false">IF(ISNUMBER(SEARCH("초과",I12)),A12&amp;" "&amp;TEXT(G12,"0%"),"")</f>
        <v/>
      </c>
    </row>
    <row r="13" customFormat="false" ht="15" hidden="false" customHeight="false" outlineLevel="0" collapsed="false">
      <c r="A13" s="34" t="s">
        <v>85</v>
      </c>
      <c r="B13" s="18" t="str">
        <f aca="false">IF(A13="","",IFERROR(INDEX(카테고리!$B$2:$B$200,MATCH(A13,카테고리!$A$2:$A$200,0)),"?"))</f>
        <v>변동비</v>
      </c>
      <c r="C13" s="57" t="s">
        <v>60</v>
      </c>
      <c r="D13" s="35" t="n">
        <v>330000</v>
      </c>
      <c r="E13" s="19" t="n">
        <f aca="false">IF(A13="","",IF(C13="연",D13*설정!$B$9/12,D13))</f>
        <v>330000</v>
      </c>
      <c r="F13" s="19" t="n">
        <f aca="false">IF($A13="","",IF($C13="연",SUMIFS(거래내역!$D$2:$D$5000,거래내역!$E$2:$E$5000,$A13,거래내역!$L$2:$L$5000,"&gt;="&amp;설정!$B$8,거래내역!$L$2:$L$5000,"&lt;="&amp;설정!$B$7,거래내역!$H$2:$H$5000,설정!$B$5),SUMIFS(거래내역!$D$2:$D$5000,거래내역!$E$2:$E$5000,$A13,거래내역!$B$2:$B$5000,설정!$B$3,거래내역!$H$2:$H$5000,설정!$B$5)))</f>
        <v>288640</v>
      </c>
      <c r="G13" s="43" t="n">
        <f aca="false">IF(OR(A13="",N(E13)=0),"",F13/E13)</f>
        <v>0.874666666666667</v>
      </c>
      <c r="H13" s="19" t="n">
        <f aca="false">IF(A13="","",E13-F13)</f>
        <v>41360</v>
      </c>
      <c r="I13" s="61" t="str">
        <f aca="false">IF(OR(A13="",N(E13)=0),"",IF(G13&gt;1,"🔴 초과",IF(AND(G13&gt;=0.9,B13&lt;&gt;"고정비"),"⚠ 주의","✅ 양호")))</f>
        <v>✅ 양호</v>
      </c>
      <c r="J13" s="19" t="n">
        <f aca="false">IF($A13="","",IF($C13="연",SUMIFS(거래내역!$D$2:$D$5000,거래내역!$E$2:$E$5000,$A13,거래내역!$L$2:$L$5000,"&gt;="&amp;설정!$B$8,거래내역!$L$2:$L$5000,"&lt;="&amp;설정!$B$7,거래내역!$H$2:$H$5000,"본인"),SUMIFS(거래내역!$D$2:$D$5000,거래내역!$E$2:$E$5000,$A13,거래내역!$B$2:$B$5000,설정!$B$3,거래내역!$H$2:$H$5000,"본인")))</f>
        <v>65210</v>
      </c>
      <c r="K13" s="19" t="n">
        <f aca="false">IF($A13="","",IF($C13="연",SUMIFS(거래내역!$D$2:$D$5000,거래내역!$E$2:$E$5000,$A13,거래내역!$L$2:$L$5000,"&gt;="&amp;설정!$B$8,거래내역!$L$2:$L$5000,"&lt;="&amp;설정!$B$7,거래내역!$H$2:$H$5000,"배우자"),SUMIFS(거래내역!$D$2:$D$5000,거래내역!$E$2:$E$5000,$A13,거래내역!$B$2:$B$5000,설정!$B$3,거래내역!$H$2:$H$5000,"배우자")))</f>
        <v>50000</v>
      </c>
      <c r="L13" s="19" t="n">
        <f aca="false">IF($A13="","",IF($C13="연",SUMIFS(거래내역!$D$2:$D$5000,거래내역!$E$2:$E$5000,$A13,거래내역!$L$2:$L$5000,"&gt;="&amp;설정!$B$8,거래내역!$L$2:$L$5000,"&lt;="&amp;설정!$B$7,거래내역!$H$2:$H$5000,"공동"),SUMIFS(거래내역!$D$2:$D$5000,거래내역!$E$2:$E$5000,$A13,거래내역!$B$2:$B$5000,설정!$B$3,거래내역!$H$2:$H$5000,"공동")))</f>
        <v>173430</v>
      </c>
      <c r="M13" s="44" t="str">
        <f aca="false">IF(ISNUMBER(SEARCH("초과",I13)),A13&amp;" "&amp;TEXT(G13,"0%"),"")</f>
        <v/>
      </c>
    </row>
    <row r="14" customFormat="false" ht="15" hidden="false" customHeight="false" outlineLevel="0" collapsed="false">
      <c r="A14" s="34" t="s">
        <v>126</v>
      </c>
      <c r="B14" s="18" t="str">
        <f aca="false">IF(A14="","",IFERROR(INDEX(카테고리!$B$2:$B$200,MATCH(A14,카테고리!$A$2:$A$200,0)),"?"))</f>
        <v>변동비</v>
      </c>
      <c r="C14" s="57" t="s">
        <v>60</v>
      </c>
      <c r="D14" s="35" t="n">
        <v>300000</v>
      </c>
      <c r="E14" s="19" t="n">
        <f aca="false">IF(A14="","",IF(C14="연",D14*설정!$B$9/12,D14))</f>
        <v>300000</v>
      </c>
      <c r="F14" s="19" t="n">
        <f aca="false">IF($A14="","",IF($C14="연",SUMIFS(거래내역!$D$2:$D$5000,거래내역!$E$2:$E$5000,$A14,거래내역!$L$2:$L$5000,"&gt;="&amp;설정!$B$8,거래내역!$L$2:$L$5000,"&lt;="&amp;설정!$B$7,거래내역!$H$2:$H$5000,설정!$B$5),SUMIFS(거래내역!$D$2:$D$5000,거래내역!$E$2:$E$5000,$A14,거래내역!$B$2:$B$5000,설정!$B$3,거래내역!$H$2:$H$5000,설정!$B$5)))</f>
        <v>501030</v>
      </c>
      <c r="G14" s="43" t="n">
        <f aca="false">IF(OR(A14="",N(E14)=0),"",F14/E14)</f>
        <v>1.6701</v>
      </c>
      <c r="H14" s="19" t="n">
        <f aca="false">IF(A14="","",E14-F14)</f>
        <v>-201030</v>
      </c>
      <c r="I14" s="61" t="str">
        <f aca="false">IF(OR(A14="",N(E14)=0),"",IF(G14&gt;1,"🔴 초과",IF(AND(G14&gt;=0.9,B14&lt;&gt;"고정비"),"⚠ 주의","✅ 양호")))</f>
        <v>🔴 초과</v>
      </c>
      <c r="J14" s="19" t="n">
        <f aca="false">IF($A14="","",IF($C14="연",SUMIFS(거래내역!$D$2:$D$5000,거래내역!$E$2:$E$5000,$A14,거래내역!$L$2:$L$5000,"&gt;="&amp;설정!$B$8,거래내역!$L$2:$L$5000,"&lt;="&amp;설정!$B$7,거래내역!$H$2:$H$5000,"본인"),SUMIFS(거래내역!$D$2:$D$5000,거래내역!$E$2:$E$5000,$A14,거래내역!$B$2:$B$5000,설정!$B$3,거래내역!$H$2:$H$5000,"본인")))</f>
        <v>284260</v>
      </c>
      <c r="K14" s="19" t="n">
        <f aca="false">IF($A14="","",IF($C14="연",SUMIFS(거래내역!$D$2:$D$5000,거래내역!$E$2:$E$5000,$A14,거래내역!$L$2:$L$5000,"&gt;="&amp;설정!$B$8,거래내역!$L$2:$L$5000,"&lt;="&amp;설정!$B$7,거래내역!$H$2:$H$5000,"배우자"),SUMIFS(거래내역!$D$2:$D$5000,거래내역!$E$2:$E$5000,$A14,거래내역!$B$2:$B$5000,설정!$B$3,거래내역!$H$2:$H$5000,"배우자")))</f>
        <v>216770</v>
      </c>
      <c r="L14" s="19" t="n">
        <f aca="false">IF($A14="","",IF($C14="연",SUMIFS(거래내역!$D$2:$D$5000,거래내역!$E$2:$E$5000,$A14,거래내역!$L$2:$L$5000,"&gt;="&amp;설정!$B$8,거래내역!$L$2:$L$5000,"&lt;="&amp;설정!$B$7,거래내역!$H$2:$H$5000,"공동"),SUMIFS(거래내역!$D$2:$D$5000,거래내역!$E$2:$E$5000,$A14,거래내역!$B$2:$B$5000,설정!$B$3,거래내역!$H$2:$H$5000,"공동")))</f>
        <v>0</v>
      </c>
      <c r="M14" s="44" t="str">
        <f aca="false">IF(ISNUMBER(SEARCH("초과",I14)),A14&amp;" "&amp;TEXT(G14,"0%"),"")</f>
        <v>쇼핑 167%</v>
      </c>
    </row>
    <row r="15" customFormat="false" ht="15" hidden="false" customHeight="false" outlineLevel="0" collapsed="false">
      <c r="A15" s="34" t="s">
        <v>116</v>
      </c>
      <c r="B15" s="18" t="str">
        <f aca="false">IF(A15="","",IFERROR(INDEX(카테고리!$B$2:$B$200,MATCH(A15,카테고리!$A$2:$A$200,0)),"?"))</f>
        <v>변동비</v>
      </c>
      <c r="C15" s="57" t="s">
        <v>60</v>
      </c>
      <c r="D15" s="35" t="n">
        <v>120000</v>
      </c>
      <c r="E15" s="19" t="n">
        <f aca="false">IF(A15="","",IF(C15="연",D15*설정!$B$9/12,D15))</f>
        <v>120000</v>
      </c>
      <c r="F15" s="19" t="n">
        <f aca="false">IF($A15="","",IF($C15="연",SUMIFS(거래내역!$D$2:$D$5000,거래내역!$E$2:$E$5000,$A15,거래내역!$L$2:$L$5000,"&gt;="&amp;설정!$B$8,거래내역!$L$2:$L$5000,"&lt;="&amp;설정!$B$7,거래내역!$H$2:$H$5000,설정!$B$5),SUMIFS(거래내역!$D$2:$D$5000,거래내역!$E$2:$E$5000,$A15,거래내역!$B$2:$B$5000,설정!$B$3,거래내역!$H$2:$H$5000,설정!$B$5)))</f>
        <v>85150</v>
      </c>
      <c r="G15" s="43" t="n">
        <f aca="false">IF(OR(A15="",N(E15)=0),"",F15/E15)</f>
        <v>0.709583333333333</v>
      </c>
      <c r="H15" s="19" t="n">
        <f aca="false">IF(A15="","",E15-F15)</f>
        <v>34850</v>
      </c>
      <c r="I15" s="61" t="str">
        <f aca="false">IF(OR(A15="",N(E15)=0),"",IF(G15&gt;1,"🔴 초과",IF(AND(G15&gt;=0.9,B15&lt;&gt;"고정비"),"⚠ 주의","✅ 양호")))</f>
        <v>✅ 양호</v>
      </c>
      <c r="J15" s="19" t="n">
        <f aca="false">IF($A15="","",IF($C15="연",SUMIFS(거래내역!$D$2:$D$5000,거래내역!$E$2:$E$5000,$A15,거래내역!$L$2:$L$5000,"&gt;="&amp;설정!$B$8,거래내역!$L$2:$L$5000,"&lt;="&amp;설정!$B$7,거래내역!$H$2:$H$5000,"본인"),SUMIFS(거래내역!$D$2:$D$5000,거래내역!$E$2:$E$5000,$A15,거래내역!$B$2:$B$5000,설정!$B$3,거래내역!$H$2:$H$5000,"본인")))</f>
        <v>0</v>
      </c>
      <c r="K15" s="19" t="n">
        <f aca="false">IF($A15="","",IF($C15="연",SUMIFS(거래내역!$D$2:$D$5000,거래내역!$E$2:$E$5000,$A15,거래내역!$L$2:$L$5000,"&gt;="&amp;설정!$B$8,거래내역!$L$2:$L$5000,"&lt;="&amp;설정!$B$7,거래내역!$H$2:$H$5000,"배우자"),SUMIFS(거래내역!$D$2:$D$5000,거래내역!$E$2:$E$5000,$A15,거래내역!$B$2:$B$5000,설정!$B$3,거래내역!$H$2:$H$5000,"배우자")))</f>
        <v>0</v>
      </c>
      <c r="L15" s="19" t="n">
        <f aca="false">IF($A15="","",IF($C15="연",SUMIFS(거래내역!$D$2:$D$5000,거래내역!$E$2:$E$5000,$A15,거래내역!$L$2:$L$5000,"&gt;="&amp;설정!$B$8,거래내역!$L$2:$L$5000,"&lt;="&amp;설정!$B$7,거래내역!$H$2:$H$5000,"공동"),SUMIFS(거래내역!$D$2:$D$5000,거래내역!$E$2:$E$5000,$A15,거래내역!$B$2:$B$5000,설정!$B$3,거래내역!$H$2:$H$5000,"공동")))</f>
        <v>85150</v>
      </c>
      <c r="M15" s="44" t="str">
        <f aca="false">IF(ISNUMBER(SEARCH("초과",I15)),A15&amp;" "&amp;TEXT(G15,"0%"),"")</f>
        <v/>
      </c>
    </row>
    <row r="16" customFormat="false" ht="15" hidden="false" customHeight="false" outlineLevel="0" collapsed="false">
      <c r="A16" s="34" t="s">
        <v>124</v>
      </c>
      <c r="B16" s="18" t="str">
        <f aca="false">IF(A16="","",IFERROR(INDEX(카테고리!$B$2:$B$200,MATCH(A16,카테고리!$A$2:$A$200,0)),"?"))</f>
        <v>변동비</v>
      </c>
      <c r="C16" s="57" t="s">
        <v>60</v>
      </c>
      <c r="D16" s="35" t="n">
        <v>200000</v>
      </c>
      <c r="E16" s="19" t="n">
        <f aca="false">IF(A16="","",IF(C16="연",D16*설정!$B$9/12,D16))</f>
        <v>200000</v>
      </c>
      <c r="F16" s="19" t="n">
        <f aca="false">IF($A16="","",IF($C16="연",SUMIFS(거래내역!$D$2:$D$5000,거래내역!$E$2:$E$5000,$A16,거래내역!$L$2:$L$5000,"&gt;="&amp;설정!$B$8,거래내역!$L$2:$L$5000,"&lt;="&amp;설정!$B$7,거래내역!$H$2:$H$5000,설정!$B$5),SUMIFS(거래내역!$D$2:$D$5000,거래내역!$E$2:$E$5000,$A16,거래내역!$B$2:$B$5000,설정!$B$3,거래내역!$H$2:$H$5000,설정!$B$5)))</f>
        <v>59360</v>
      </c>
      <c r="G16" s="43" t="n">
        <f aca="false">IF(OR(A16="",N(E16)=0),"",F16/E16)</f>
        <v>0.2968</v>
      </c>
      <c r="H16" s="19" t="n">
        <f aca="false">IF(A16="","",E16-F16)</f>
        <v>140640</v>
      </c>
      <c r="I16" s="61" t="str">
        <f aca="false">IF(OR(A16="",N(E16)=0),"",IF(G16&gt;1,"🔴 초과",IF(AND(G16&gt;=0.9,B16&lt;&gt;"고정비"),"⚠ 주의","✅ 양호")))</f>
        <v>✅ 양호</v>
      </c>
      <c r="J16" s="19" t="n">
        <f aca="false">IF($A16="","",IF($C16="연",SUMIFS(거래내역!$D$2:$D$5000,거래내역!$E$2:$E$5000,$A16,거래내역!$L$2:$L$5000,"&gt;="&amp;설정!$B$8,거래내역!$L$2:$L$5000,"&lt;="&amp;설정!$B$7,거래내역!$H$2:$H$5000,"본인"),SUMIFS(거래내역!$D$2:$D$5000,거래내역!$E$2:$E$5000,$A16,거래내역!$B$2:$B$5000,설정!$B$3,거래내역!$H$2:$H$5000,"본인")))</f>
        <v>0</v>
      </c>
      <c r="K16" s="19" t="n">
        <f aca="false">IF($A16="","",IF($C16="연",SUMIFS(거래내역!$D$2:$D$5000,거래내역!$E$2:$E$5000,$A16,거래내역!$L$2:$L$5000,"&gt;="&amp;설정!$B$8,거래내역!$L$2:$L$5000,"&lt;="&amp;설정!$B$7,거래내역!$H$2:$H$5000,"배우자"),SUMIFS(거래내역!$D$2:$D$5000,거래내역!$E$2:$E$5000,$A16,거래내역!$B$2:$B$5000,설정!$B$3,거래내역!$H$2:$H$5000,"배우자")))</f>
        <v>0</v>
      </c>
      <c r="L16" s="19" t="n">
        <f aca="false">IF($A16="","",IF($C16="연",SUMIFS(거래내역!$D$2:$D$5000,거래내역!$E$2:$E$5000,$A16,거래내역!$L$2:$L$5000,"&gt;="&amp;설정!$B$8,거래내역!$L$2:$L$5000,"&lt;="&amp;설정!$B$7,거래내역!$H$2:$H$5000,"공동"),SUMIFS(거래내역!$D$2:$D$5000,거래내역!$E$2:$E$5000,$A16,거래내역!$B$2:$B$5000,설정!$B$3,거래내역!$H$2:$H$5000,"공동")))</f>
        <v>59360</v>
      </c>
      <c r="M16" s="44" t="str">
        <f aca="false">IF(ISNUMBER(SEARCH("초과",I16)),A16&amp;" "&amp;TEXT(G16,"0%"),"")</f>
        <v/>
      </c>
    </row>
    <row r="17" customFormat="false" ht="15" hidden="false" customHeight="false" outlineLevel="0" collapsed="false">
      <c r="A17" s="34" t="s">
        <v>72</v>
      </c>
      <c r="B17" s="18" t="str">
        <f aca="false">IF(A17="","",IFERROR(INDEX(카테고리!$B$2:$B$200,MATCH(A17,카테고리!$A$2:$A$200,0)),"?"))</f>
        <v>변동비</v>
      </c>
      <c r="C17" s="57" t="s">
        <v>60</v>
      </c>
      <c r="D17" s="35" t="n">
        <v>600000</v>
      </c>
      <c r="E17" s="19" t="n">
        <f aca="false">IF(A17="","",IF(C17="연",D17*설정!$B$9/12,D17))</f>
        <v>600000</v>
      </c>
      <c r="F17" s="19" t="n">
        <f aca="false">IF($A17="","",IF($C17="연",SUMIFS(거래내역!$D$2:$D$5000,거래내역!$E$2:$E$5000,$A17,거래내역!$L$2:$L$5000,"&gt;="&amp;설정!$B$8,거래내역!$L$2:$L$5000,"&lt;="&amp;설정!$B$7,거래내역!$H$2:$H$5000,설정!$B$5),SUMIFS(거래내역!$D$2:$D$5000,거래내역!$E$2:$E$5000,$A17,거래내역!$B$2:$B$5000,설정!$B$3,거래내역!$H$2:$H$5000,설정!$B$5)))</f>
        <v>600000</v>
      </c>
      <c r="G17" s="43" t="n">
        <f aca="false">IF(OR(A17="",N(E17)=0),"",F17/E17)</f>
        <v>1</v>
      </c>
      <c r="H17" s="19" t="n">
        <f aca="false">IF(A17="","",E17-F17)</f>
        <v>0</v>
      </c>
      <c r="I17" s="61" t="str">
        <f aca="false">IF(OR(A17="",N(E17)=0),"",IF(G17&gt;1,"🔴 초과",IF(AND(G17&gt;=0.9,B17&lt;&gt;"고정비"),"⚠ 주의","✅ 양호")))</f>
        <v>⚠ 주의</v>
      </c>
      <c r="J17" s="19" t="n">
        <f aca="false">IF($A17="","",IF($C17="연",SUMIFS(거래내역!$D$2:$D$5000,거래내역!$E$2:$E$5000,$A17,거래내역!$L$2:$L$5000,"&gt;="&amp;설정!$B$8,거래내역!$L$2:$L$5000,"&lt;="&amp;설정!$B$7,거래내역!$H$2:$H$5000,"본인"),SUMIFS(거래내역!$D$2:$D$5000,거래내역!$E$2:$E$5000,$A17,거래내역!$B$2:$B$5000,설정!$B$3,거래내역!$H$2:$H$5000,"본인")))</f>
        <v>300000</v>
      </c>
      <c r="K17" s="19" t="n">
        <f aca="false">IF($A17="","",IF($C17="연",SUMIFS(거래내역!$D$2:$D$5000,거래내역!$E$2:$E$5000,$A17,거래내역!$L$2:$L$5000,"&gt;="&amp;설정!$B$8,거래내역!$L$2:$L$5000,"&lt;="&amp;설정!$B$7,거래내역!$H$2:$H$5000,"배우자"),SUMIFS(거래내역!$D$2:$D$5000,거래내역!$E$2:$E$5000,$A17,거래내역!$B$2:$B$5000,설정!$B$3,거래내역!$H$2:$H$5000,"배우자")))</f>
        <v>300000</v>
      </c>
      <c r="L17" s="19" t="n">
        <f aca="false">IF($A17="","",IF($C17="연",SUMIFS(거래내역!$D$2:$D$5000,거래내역!$E$2:$E$5000,$A17,거래내역!$L$2:$L$5000,"&gt;="&amp;설정!$B$8,거래내역!$L$2:$L$5000,"&lt;="&amp;설정!$B$7,거래내역!$H$2:$H$5000,"공동"),SUMIFS(거래내역!$D$2:$D$5000,거래내역!$E$2:$E$5000,$A17,거래내역!$B$2:$B$5000,설정!$B$3,거래내역!$H$2:$H$5000,"공동")))</f>
        <v>0</v>
      </c>
      <c r="M17" s="44" t="str">
        <f aca="false">IF(ISNUMBER(SEARCH("초과",I17)),A17&amp;" "&amp;TEXT(G17,"0%"),"")</f>
        <v/>
      </c>
    </row>
    <row r="18" customFormat="false" ht="15" hidden="false" customHeight="false" outlineLevel="0" collapsed="false">
      <c r="A18" s="34" t="s">
        <v>153</v>
      </c>
      <c r="B18" s="18" t="str">
        <f aca="false">IF(A18="","",IFERROR(INDEX(카테고리!$B$2:$B$200,MATCH(A18,카테고리!$A$2:$A$200,0)),"?"))</f>
        <v>비정기비</v>
      </c>
      <c r="C18" s="57" t="s">
        <v>418</v>
      </c>
      <c r="D18" s="35" t="n">
        <v>1200000</v>
      </c>
      <c r="E18" s="19" t="n">
        <f aca="false">IF(A18="","",IF(C18="연",D18*설정!$B$9/12,D18))</f>
        <v>900000</v>
      </c>
      <c r="F18" s="19" t="n">
        <f aca="false">IF($A18="","",IF($C18="연",SUMIFS(거래내역!$D$2:$D$5000,거래내역!$E$2:$E$5000,$A18,거래내역!$L$2:$L$5000,"&gt;="&amp;설정!$B$8,거래내역!$L$2:$L$5000,"&lt;="&amp;설정!$B$7,거래내역!$H$2:$H$5000,설정!$B$5),SUMIFS(거래내역!$D$2:$D$5000,거래내역!$E$2:$E$5000,$A18,거래내역!$B$2:$B$5000,설정!$B$3,거래내역!$H$2:$H$5000,설정!$B$5)))</f>
        <v>100000</v>
      </c>
      <c r="G18" s="43" t="n">
        <f aca="false">IF(OR(A18="",N(E18)=0),"",F18/E18)</f>
        <v>0.111111111111111</v>
      </c>
      <c r="H18" s="19" t="n">
        <f aca="false">IF(A18="","",E18-F18)</f>
        <v>800000</v>
      </c>
      <c r="I18" s="61" t="str">
        <f aca="false">IF(OR(A18="",N(E18)=0),"",IF(G18&gt;1,"🔴 초과",IF(AND(G18&gt;=0.9,B18&lt;&gt;"고정비"),"⚠ 주의","✅ 양호")))</f>
        <v>✅ 양호</v>
      </c>
      <c r="J18" s="19" t="n">
        <f aca="false">IF($A18="","",IF($C18="연",SUMIFS(거래내역!$D$2:$D$5000,거래내역!$E$2:$E$5000,$A18,거래내역!$L$2:$L$5000,"&gt;="&amp;설정!$B$8,거래내역!$L$2:$L$5000,"&lt;="&amp;설정!$B$7,거래내역!$H$2:$H$5000,"본인"),SUMIFS(거래내역!$D$2:$D$5000,거래내역!$E$2:$E$5000,$A18,거래내역!$B$2:$B$5000,설정!$B$3,거래내역!$H$2:$H$5000,"본인")))</f>
        <v>0</v>
      </c>
      <c r="K18" s="19" t="n">
        <f aca="false">IF($A18="","",IF($C18="연",SUMIFS(거래내역!$D$2:$D$5000,거래내역!$E$2:$E$5000,$A18,거래내역!$L$2:$L$5000,"&gt;="&amp;설정!$B$8,거래내역!$L$2:$L$5000,"&lt;="&amp;설정!$B$7,거래내역!$H$2:$H$5000,"배우자"),SUMIFS(거래내역!$D$2:$D$5000,거래내역!$E$2:$E$5000,$A18,거래내역!$B$2:$B$5000,설정!$B$3,거래내역!$H$2:$H$5000,"배우자")))</f>
        <v>100000</v>
      </c>
      <c r="L18" s="19" t="n">
        <f aca="false">IF($A18="","",IF($C18="연",SUMIFS(거래내역!$D$2:$D$5000,거래내역!$E$2:$E$5000,$A18,거래내역!$L$2:$L$5000,"&gt;="&amp;설정!$B$8,거래내역!$L$2:$L$5000,"&lt;="&amp;설정!$B$7,거래내역!$H$2:$H$5000,"공동"),SUMIFS(거래내역!$D$2:$D$5000,거래내역!$E$2:$E$5000,$A18,거래내역!$B$2:$B$5000,설정!$B$3,거래내역!$H$2:$H$5000,"공동")))</f>
        <v>0</v>
      </c>
      <c r="M18" s="44" t="str">
        <f aca="false">IF(ISNUMBER(SEARCH("초과",I18)),A18&amp;" "&amp;TEXT(G18,"0%"),"")</f>
        <v/>
      </c>
    </row>
    <row r="19" customFormat="false" ht="15" hidden="false" customHeight="false" outlineLevel="0" collapsed="false">
      <c r="A19" s="34" t="s">
        <v>164</v>
      </c>
      <c r="B19" s="18" t="str">
        <f aca="false">IF(A19="","",IFERROR(INDEX(카테고리!$B$2:$B$200,MATCH(A19,카테고리!$A$2:$A$200,0)),"?"))</f>
        <v>비정기비</v>
      </c>
      <c r="C19" s="57" t="s">
        <v>418</v>
      </c>
      <c r="D19" s="35" t="n">
        <v>5200000</v>
      </c>
      <c r="E19" s="19" t="n">
        <f aca="false">IF(A19="","",IF(C19="연",D19*설정!$B$9/12,D19))</f>
        <v>3900000</v>
      </c>
      <c r="F19" s="19" t="n">
        <f aca="false">IF($A19="","",IF($C19="연",SUMIFS(거래내역!$D$2:$D$5000,거래내역!$E$2:$E$5000,$A19,거래내역!$L$2:$L$5000,"&gt;="&amp;설정!$B$8,거래내역!$L$2:$L$5000,"&lt;="&amp;설정!$B$7,거래내역!$H$2:$H$5000,설정!$B$5),SUMIFS(거래내역!$D$2:$D$5000,거래내역!$E$2:$E$5000,$A19,거래내역!$B$2:$B$5000,설정!$B$3,거래내역!$H$2:$H$5000,설정!$B$5)))</f>
        <v>3900000</v>
      </c>
      <c r="G19" s="43" t="n">
        <f aca="false">IF(OR(A19="",N(E19)=0),"",F19/E19)</f>
        <v>1</v>
      </c>
      <c r="H19" s="19" t="n">
        <f aca="false">IF(A19="","",E19-F19)</f>
        <v>0</v>
      </c>
      <c r="I19" s="61" t="str">
        <f aca="false">IF(OR(A19="",N(E19)=0),"",IF(G19&gt;1,"🔴 초과",IF(AND(G19&gt;=0.9,B19&lt;&gt;"고정비"),"⚠ 주의","✅ 양호")))</f>
        <v>⚠ 주의</v>
      </c>
      <c r="J19" s="19" t="n">
        <f aca="false">IF($A19="","",IF($C19="연",SUMIFS(거래내역!$D$2:$D$5000,거래내역!$E$2:$E$5000,$A19,거래내역!$L$2:$L$5000,"&gt;="&amp;설정!$B$8,거래내역!$L$2:$L$5000,"&lt;="&amp;설정!$B$7,거래내역!$H$2:$H$5000,"본인"),SUMIFS(거래내역!$D$2:$D$5000,거래내역!$E$2:$E$5000,$A19,거래내역!$B$2:$B$5000,설정!$B$3,거래내역!$H$2:$H$5000,"본인")))</f>
        <v>0</v>
      </c>
      <c r="K19" s="19" t="n">
        <f aca="false">IF($A19="","",IF($C19="연",SUMIFS(거래내역!$D$2:$D$5000,거래내역!$E$2:$E$5000,$A19,거래내역!$L$2:$L$5000,"&gt;="&amp;설정!$B$8,거래내역!$L$2:$L$5000,"&lt;="&amp;설정!$B$7,거래내역!$H$2:$H$5000,"배우자"),SUMIFS(거래내역!$D$2:$D$5000,거래내역!$E$2:$E$5000,$A19,거래내역!$B$2:$B$5000,설정!$B$3,거래내역!$H$2:$H$5000,"배우자")))</f>
        <v>0</v>
      </c>
      <c r="L19" s="19" t="n">
        <f aca="false">IF($A19="","",IF($C19="연",SUMIFS(거래내역!$D$2:$D$5000,거래내역!$E$2:$E$5000,$A19,거래내역!$L$2:$L$5000,"&gt;="&amp;설정!$B$8,거래내역!$L$2:$L$5000,"&lt;="&amp;설정!$B$7,거래내역!$H$2:$H$5000,"공동"),SUMIFS(거래내역!$D$2:$D$5000,거래내역!$E$2:$E$5000,$A19,거래내역!$B$2:$B$5000,설정!$B$3,거래내역!$H$2:$H$5000,"공동")))</f>
        <v>3900000</v>
      </c>
      <c r="M19" s="44" t="str">
        <f aca="false">IF(ISNUMBER(SEARCH("초과",I19)),A19&amp;" "&amp;TEXT(G19,"0%"),"")</f>
        <v/>
      </c>
    </row>
    <row r="20" customFormat="false" ht="15" hidden="false" customHeight="false" outlineLevel="0" collapsed="false">
      <c r="A20" s="34" t="s">
        <v>160</v>
      </c>
      <c r="B20" s="18" t="str">
        <f aca="false">IF(A20="","",IFERROR(INDEX(카테고리!$B$2:$B$200,MATCH(A20,카테고리!$A$2:$A$200,0)),"?"))</f>
        <v>비정기비</v>
      </c>
      <c r="C20" s="57" t="s">
        <v>418</v>
      </c>
      <c r="D20" s="35" t="n">
        <v>1500000</v>
      </c>
      <c r="E20" s="19" t="n">
        <f aca="false">IF(A20="","",IF(C20="연",D20*설정!$B$9/12,D20))</f>
        <v>1125000</v>
      </c>
      <c r="F20" s="19" t="n">
        <f aca="false">IF($A20="","",IF($C20="연",SUMIFS(거래내역!$D$2:$D$5000,거래내역!$E$2:$E$5000,$A20,거래내역!$L$2:$L$5000,"&gt;="&amp;설정!$B$8,거래내역!$L$2:$L$5000,"&lt;="&amp;설정!$B$7,거래내역!$H$2:$H$5000,설정!$B$5),SUMIFS(거래내역!$D$2:$D$5000,거래내역!$E$2:$E$5000,$A20,거래내역!$B$2:$B$5000,설정!$B$3,거래내역!$H$2:$H$5000,설정!$B$5)))</f>
        <v>1082000</v>
      </c>
      <c r="G20" s="43" t="n">
        <f aca="false">IF(OR(A20="",N(E20)=0),"",F20/E20)</f>
        <v>0.961777777777778</v>
      </c>
      <c r="H20" s="19" t="n">
        <f aca="false">IF(A20="","",E20-F20)</f>
        <v>43000</v>
      </c>
      <c r="I20" s="61" t="str">
        <f aca="false">IF(OR(A20="",N(E20)=0),"",IF(G20&gt;1,"🔴 초과",IF(AND(G20&gt;=0.9,B20&lt;&gt;"고정비"),"⚠ 주의","✅ 양호")))</f>
        <v>⚠ 주의</v>
      </c>
      <c r="J20" s="19" t="n">
        <f aca="false">IF($A20="","",IF($C20="연",SUMIFS(거래내역!$D$2:$D$5000,거래내역!$E$2:$E$5000,$A20,거래내역!$L$2:$L$5000,"&gt;="&amp;설정!$B$8,거래내역!$L$2:$L$5000,"&lt;="&amp;설정!$B$7,거래내역!$H$2:$H$5000,"본인"),SUMIFS(거래내역!$D$2:$D$5000,거래내역!$E$2:$E$5000,$A20,거래내역!$B$2:$B$5000,설정!$B$3,거래내역!$H$2:$H$5000,"본인")))</f>
        <v>0</v>
      </c>
      <c r="K20" s="19" t="n">
        <f aca="false">IF($A20="","",IF($C20="연",SUMIFS(거래내역!$D$2:$D$5000,거래내역!$E$2:$E$5000,$A20,거래내역!$L$2:$L$5000,"&gt;="&amp;설정!$B$8,거래내역!$L$2:$L$5000,"&lt;="&amp;설정!$B$7,거래내역!$H$2:$H$5000,"배우자"),SUMIFS(거래내역!$D$2:$D$5000,거래내역!$E$2:$E$5000,$A20,거래내역!$B$2:$B$5000,설정!$B$3,거래내역!$H$2:$H$5000,"배우자")))</f>
        <v>0</v>
      </c>
      <c r="L20" s="19" t="n">
        <f aca="false">IF($A20="","",IF($C20="연",SUMIFS(거래내역!$D$2:$D$5000,거래내역!$E$2:$E$5000,$A20,거래내역!$L$2:$L$5000,"&gt;="&amp;설정!$B$8,거래내역!$L$2:$L$5000,"&lt;="&amp;설정!$B$7,거래내역!$H$2:$H$5000,"공동"),SUMIFS(거래내역!$D$2:$D$5000,거래내역!$E$2:$E$5000,$A20,거래내역!$B$2:$B$5000,설정!$B$3,거래내역!$H$2:$H$5000,"공동")))</f>
        <v>1082000</v>
      </c>
      <c r="M20" s="44" t="str">
        <f aca="false">IF(ISNUMBER(SEARCH("초과",I20)),A20&amp;" "&amp;TEXT(G20,"0%"),"")</f>
        <v/>
      </c>
    </row>
    <row r="21" customFormat="false" ht="15" hidden="false" customHeight="false" outlineLevel="0" collapsed="false">
      <c r="A21" s="34" t="s">
        <v>166</v>
      </c>
      <c r="B21" s="18" t="str">
        <f aca="false">IF(A21="","",IFERROR(INDEX(카테고리!$B$2:$B$200,MATCH(A21,카테고리!$A$2:$A$200,0)),"?"))</f>
        <v>비정기비</v>
      </c>
      <c r="C21" s="57" t="s">
        <v>418</v>
      </c>
      <c r="D21" s="35" t="n">
        <v>1800000</v>
      </c>
      <c r="E21" s="19" t="n">
        <f aca="false">IF(A21="","",IF(C21="연",D21*설정!$B$9/12,D21))</f>
        <v>1350000</v>
      </c>
      <c r="F21" s="19" t="n">
        <f aca="false">IF($A21="","",IF($C21="연",SUMIFS(거래내역!$D$2:$D$5000,거래내역!$E$2:$E$5000,$A21,거래내역!$L$2:$L$5000,"&gt;="&amp;설정!$B$8,거래내역!$L$2:$L$5000,"&lt;="&amp;설정!$B$7,거래내역!$H$2:$H$5000,설정!$B$5),SUMIFS(거래내역!$D$2:$D$5000,거래내역!$E$2:$E$5000,$A21,거래내역!$B$2:$B$5000,설정!$B$3,거래내역!$H$2:$H$5000,설정!$B$5)))</f>
        <v>1200000</v>
      </c>
      <c r="G21" s="43" t="n">
        <f aca="false">IF(OR(A21="",N(E21)=0),"",F21/E21)</f>
        <v>0.888888888888889</v>
      </c>
      <c r="H21" s="19" t="n">
        <f aca="false">IF(A21="","",E21-F21)</f>
        <v>150000</v>
      </c>
      <c r="I21" s="61" t="str">
        <f aca="false">IF(OR(A21="",N(E21)=0),"",IF(G21&gt;1,"🔴 초과",IF(AND(G21&gt;=0.9,B21&lt;&gt;"고정비"),"⚠ 주의","✅ 양호")))</f>
        <v>✅ 양호</v>
      </c>
      <c r="J21" s="19" t="n">
        <f aca="false">IF($A21="","",IF($C21="연",SUMIFS(거래내역!$D$2:$D$5000,거래내역!$E$2:$E$5000,$A21,거래내역!$L$2:$L$5000,"&gt;="&amp;설정!$B$8,거래내역!$L$2:$L$5000,"&lt;="&amp;설정!$B$7,거래내역!$H$2:$H$5000,"본인"),SUMIFS(거래내역!$D$2:$D$5000,거래내역!$E$2:$E$5000,$A21,거래내역!$B$2:$B$5000,설정!$B$3,거래내역!$H$2:$H$5000,"본인")))</f>
        <v>0</v>
      </c>
      <c r="K21" s="19" t="n">
        <f aca="false">IF($A21="","",IF($C21="연",SUMIFS(거래내역!$D$2:$D$5000,거래내역!$E$2:$E$5000,$A21,거래내역!$L$2:$L$5000,"&gt;="&amp;설정!$B$8,거래내역!$L$2:$L$5000,"&lt;="&amp;설정!$B$7,거래내역!$H$2:$H$5000,"배우자"),SUMIFS(거래내역!$D$2:$D$5000,거래내역!$E$2:$E$5000,$A21,거래내역!$B$2:$B$5000,설정!$B$3,거래내역!$H$2:$H$5000,"배우자")))</f>
        <v>0</v>
      </c>
      <c r="L21" s="19" t="n">
        <f aca="false">IF($A21="","",IF($C21="연",SUMIFS(거래내역!$D$2:$D$5000,거래내역!$E$2:$E$5000,$A21,거래내역!$L$2:$L$5000,"&gt;="&amp;설정!$B$8,거래내역!$L$2:$L$5000,"&lt;="&amp;설정!$B$7,거래내역!$H$2:$H$5000,"공동"),SUMIFS(거래내역!$D$2:$D$5000,거래내역!$E$2:$E$5000,$A21,거래내역!$B$2:$B$5000,설정!$B$3,거래내역!$H$2:$H$5000,"공동")))</f>
        <v>1200000</v>
      </c>
      <c r="M21" s="44" t="str">
        <f aca="false">IF(ISNUMBER(SEARCH("초과",I21)),A21&amp;" "&amp;TEXT(G21,"0%"),"")</f>
        <v/>
      </c>
    </row>
    <row r="22" customFormat="false" ht="15" hidden="false" customHeight="false" outlineLevel="0" collapsed="false">
      <c r="A22" s="34"/>
      <c r="B22" s="18" t="str">
        <f aca="false">IF(A22="","",IFERROR(INDEX(카테고리!$B$2:$B$200,MATCH(A22,카테고리!$A$2:$A$200,0)),"?"))</f>
        <v/>
      </c>
      <c r="C22" s="37"/>
      <c r="D22" s="35"/>
      <c r="E22" s="19" t="str">
        <f aca="false">IF(A22="","",IF(C22="연",D22*설정!$B$9/12,D22))</f>
        <v/>
      </c>
      <c r="F22" s="19" t="str">
        <f aca="false">IF($A22="","",IF($C22="연",SUMIFS(거래내역!$D$2:$D$5000,거래내역!$E$2:$E$5000,$A22,거래내역!$L$2:$L$5000,"&gt;="&amp;설정!$B$8,거래내역!$L$2:$L$5000,"&lt;="&amp;설정!$B$7,거래내역!$H$2:$H$5000,설정!$B$5),SUMIFS(거래내역!$D$2:$D$5000,거래내역!$E$2:$E$5000,$A22,거래내역!$B$2:$B$5000,설정!$B$3,거래내역!$H$2:$H$5000,설정!$B$5)))</f>
        <v/>
      </c>
      <c r="G22" s="43" t="str">
        <f aca="false">IF(OR(A22="",N(E22)=0),"",F22/E22)</f>
        <v/>
      </c>
      <c r="H22" s="19" t="str">
        <f aca="false">IF(A22="","",E22-F22)</f>
        <v/>
      </c>
      <c r="I22" s="61" t="str">
        <f aca="false">IF(OR(A22="",N(E22)=0),"",IF(G22&gt;1,"🔴 초과",IF(AND(G22&gt;=0.9,B22&lt;&gt;"고정비"),"⚠ 주의","✅ 양호")))</f>
        <v/>
      </c>
      <c r="J22" s="19" t="str">
        <f aca="false">IF($A22="","",IF($C22="연",SUMIFS(거래내역!$D$2:$D$5000,거래내역!$E$2:$E$5000,$A22,거래내역!$L$2:$L$5000,"&gt;="&amp;설정!$B$8,거래내역!$L$2:$L$5000,"&lt;="&amp;설정!$B$7,거래내역!$H$2:$H$5000,"본인"),SUMIFS(거래내역!$D$2:$D$5000,거래내역!$E$2:$E$5000,$A22,거래내역!$B$2:$B$5000,설정!$B$3,거래내역!$H$2:$H$5000,"본인")))</f>
        <v/>
      </c>
      <c r="K22" s="19" t="str">
        <f aca="false">IF($A22="","",IF($C22="연",SUMIFS(거래내역!$D$2:$D$5000,거래내역!$E$2:$E$5000,$A22,거래내역!$L$2:$L$5000,"&gt;="&amp;설정!$B$8,거래내역!$L$2:$L$5000,"&lt;="&amp;설정!$B$7,거래내역!$H$2:$H$5000,"배우자"),SUMIFS(거래내역!$D$2:$D$5000,거래내역!$E$2:$E$5000,$A22,거래내역!$B$2:$B$5000,설정!$B$3,거래내역!$H$2:$H$5000,"배우자")))</f>
        <v/>
      </c>
      <c r="L22" s="19" t="str">
        <f aca="false">IF($A22="","",IF($C22="연",SUMIFS(거래내역!$D$2:$D$5000,거래내역!$E$2:$E$5000,$A22,거래내역!$L$2:$L$5000,"&gt;="&amp;설정!$B$8,거래내역!$L$2:$L$5000,"&lt;="&amp;설정!$B$7,거래내역!$H$2:$H$5000,"공동"),SUMIFS(거래내역!$D$2:$D$5000,거래내역!$E$2:$E$5000,$A22,거래내역!$B$2:$B$5000,설정!$B$3,거래내역!$H$2:$H$5000,"공동")))</f>
        <v/>
      </c>
      <c r="M22" s="44" t="str">
        <f aca="false">IF(ISNUMBER(SEARCH("초과",I22)),A22&amp;" "&amp;TEXT(G22,"0%"),"")</f>
        <v/>
      </c>
    </row>
    <row r="23" customFormat="false" ht="15" hidden="false" customHeight="false" outlineLevel="0" collapsed="false">
      <c r="A23" s="34"/>
      <c r="B23" s="18" t="str">
        <f aca="false">IF(A23="","",IFERROR(INDEX(카테고리!$B$2:$B$200,MATCH(A23,카테고리!$A$2:$A$200,0)),"?"))</f>
        <v/>
      </c>
      <c r="C23" s="37"/>
      <c r="D23" s="35"/>
      <c r="E23" s="19" t="str">
        <f aca="false">IF(A23="","",IF(C23="연",D23*설정!$B$9/12,D23))</f>
        <v/>
      </c>
      <c r="F23" s="19" t="str">
        <f aca="false">IF($A23="","",IF($C23="연",SUMIFS(거래내역!$D$2:$D$5000,거래내역!$E$2:$E$5000,$A23,거래내역!$L$2:$L$5000,"&gt;="&amp;설정!$B$8,거래내역!$L$2:$L$5000,"&lt;="&amp;설정!$B$7,거래내역!$H$2:$H$5000,설정!$B$5),SUMIFS(거래내역!$D$2:$D$5000,거래내역!$E$2:$E$5000,$A23,거래내역!$B$2:$B$5000,설정!$B$3,거래내역!$H$2:$H$5000,설정!$B$5)))</f>
        <v/>
      </c>
      <c r="G23" s="43" t="str">
        <f aca="false">IF(OR(A23="",N(E23)=0),"",F23/E23)</f>
        <v/>
      </c>
      <c r="H23" s="19" t="str">
        <f aca="false">IF(A23="","",E23-F23)</f>
        <v/>
      </c>
      <c r="I23" s="61" t="str">
        <f aca="false">IF(OR(A23="",N(E23)=0),"",IF(G23&gt;1,"🔴 초과",IF(AND(G23&gt;=0.9,B23&lt;&gt;"고정비"),"⚠ 주의","✅ 양호")))</f>
        <v/>
      </c>
      <c r="J23" s="19" t="str">
        <f aca="false">IF($A23="","",IF($C23="연",SUMIFS(거래내역!$D$2:$D$5000,거래내역!$E$2:$E$5000,$A23,거래내역!$L$2:$L$5000,"&gt;="&amp;설정!$B$8,거래내역!$L$2:$L$5000,"&lt;="&amp;설정!$B$7,거래내역!$H$2:$H$5000,"본인"),SUMIFS(거래내역!$D$2:$D$5000,거래내역!$E$2:$E$5000,$A23,거래내역!$B$2:$B$5000,설정!$B$3,거래내역!$H$2:$H$5000,"본인")))</f>
        <v/>
      </c>
      <c r="K23" s="19" t="str">
        <f aca="false">IF($A23="","",IF($C23="연",SUMIFS(거래내역!$D$2:$D$5000,거래내역!$E$2:$E$5000,$A23,거래내역!$L$2:$L$5000,"&gt;="&amp;설정!$B$8,거래내역!$L$2:$L$5000,"&lt;="&amp;설정!$B$7,거래내역!$H$2:$H$5000,"배우자"),SUMIFS(거래내역!$D$2:$D$5000,거래내역!$E$2:$E$5000,$A23,거래내역!$B$2:$B$5000,설정!$B$3,거래내역!$H$2:$H$5000,"배우자")))</f>
        <v/>
      </c>
      <c r="L23" s="19" t="str">
        <f aca="false">IF($A23="","",IF($C23="연",SUMIFS(거래내역!$D$2:$D$5000,거래내역!$E$2:$E$5000,$A23,거래내역!$L$2:$L$5000,"&gt;="&amp;설정!$B$8,거래내역!$L$2:$L$5000,"&lt;="&amp;설정!$B$7,거래내역!$H$2:$H$5000,"공동"),SUMIFS(거래내역!$D$2:$D$5000,거래내역!$E$2:$E$5000,$A23,거래내역!$B$2:$B$5000,설정!$B$3,거래내역!$H$2:$H$5000,"공동")))</f>
        <v/>
      </c>
      <c r="M23" s="44" t="str">
        <f aca="false">IF(ISNUMBER(SEARCH("초과",I23)),A23&amp;" "&amp;TEXT(G23,"0%"),"")</f>
        <v/>
      </c>
    </row>
    <row r="24" customFormat="false" ht="15" hidden="false" customHeight="false" outlineLevel="0" collapsed="false">
      <c r="A24" s="34"/>
      <c r="B24" s="18" t="str">
        <f aca="false">IF(A24="","",IFERROR(INDEX(카테고리!$B$2:$B$200,MATCH(A24,카테고리!$A$2:$A$200,0)),"?"))</f>
        <v/>
      </c>
      <c r="C24" s="37"/>
      <c r="D24" s="35"/>
      <c r="E24" s="19" t="str">
        <f aca="false">IF(A24="","",IF(C24="연",D24*설정!$B$9/12,D24))</f>
        <v/>
      </c>
      <c r="F24" s="19" t="str">
        <f aca="false">IF($A24="","",IF($C24="연",SUMIFS(거래내역!$D$2:$D$5000,거래내역!$E$2:$E$5000,$A24,거래내역!$L$2:$L$5000,"&gt;="&amp;설정!$B$8,거래내역!$L$2:$L$5000,"&lt;="&amp;설정!$B$7,거래내역!$H$2:$H$5000,설정!$B$5),SUMIFS(거래내역!$D$2:$D$5000,거래내역!$E$2:$E$5000,$A24,거래내역!$B$2:$B$5000,설정!$B$3,거래내역!$H$2:$H$5000,설정!$B$5)))</f>
        <v/>
      </c>
      <c r="G24" s="43" t="str">
        <f aca="false">IF(OR(A24="",N(E24)=0),"",F24/E24)</f>
        <v/>
      </c>
      <c r="H24" s="19" t="str">
        <f aca="false">IF(A24="","",E24-F24)</f>
        <v/>
      </c>
      <c r="I24" s="61" t="str">
        <f aca="false">IF(OR(A24="",N(E24)=0),"",IF(G24&gt;1,"🔴 초과",IF(AND(G24&gt;=0.9,B24&lt;&gt;"고정비"),"⚠ 주의","✅ 양호")))</f>
        <v/>
      </c>
      <c r="J24" s="19" t="str">
        <f aca="false">IF($A24="","",IF($C24="연",SUMIFS(거래내역!$D$2:$D$5000,거래내역!$E$2:$E$5000,$A24,거래내역!$L$2:$L$5000,"&gt;="&amp;설정!$B$8,거래내역!$L$2:$L$5000,"&lt;="&amp;설정!$B$7,거래내역!$H$2:$H$5000,"본인"),SUMIFS(거래내역!$D$2:$D$5000,거래내역!$E$2:$E$5000,$A24,거래내역!$B$2:$B$5000,설정!$B$3,거래내역!$H$2:$H$5000,"본인")))</f>
        <v/>
      </c>
      <c r="K24" s="19" t="str">
        <f aca="false">IF($A24="","",IF($C24="연",SUMIFS(거래내역!$D$2:$D$5000,거래내역!$E$2:$E$5000,$A24,거래내역!$L$2:$L$5000,"&gt;="&amp;설정!$B$8,거래내역!$L$2:$L$5000,"&lt;="&amp;설정!$B$7,거래내역!$H$2:$H$5000,"배우자"),SUMIFS(거래내역!$D$2:$D$5000,거래내역!$E$2:$E$5000,$A24,거래내역!$B$2:$B$5000,설정!$B$3,거래내역!$H$2:$H$5000,"배우자")))</f>
        <v/>
      </c>
      <c r="L24" s="19" t="str">
        <f aca="false">IF($A24="","",IF($C24="연",SUMIFS(거래내역!$D$2:$D$5000,거래내역!$E$2:$E$5000,$A24,거래내역!$L$2:$L$5000,"&gt;="&amp;설정!$B$8,거래내역!$L$2:$L$5000,"&lt;="&amp;설정!$B$7,거래내역!$H$2:$H$5000,"공동"),SUMIFS(거래내역!$D$2:$D$5000,거래내역!$E$2:$E$5000,$A24,거래내역!$B$2:$B$5000,설정!$B$3,거래내역!$H$2:$H$5000,"공동")))</f>
        <v/>
      </c>
      <c r="M24" s="44" t="str">
        <f aca="false">IF(ISNUMBER(SEARCH("초과",I24)),A24&amp;" "&amp;TEXT(G24,"0%"),"")</f>
        <v/>
      </c>
    </row>
    <row r="25" customFormat="false" ht="15" hidden="false" customHeight="false" outlineLevel="0" collapsed="false">
      <c r="A25" s="34"/>
      <c r="B25" s="18" t="str">
        <f aca="false">IF(A25="","",IFERROR(INDEX(카테고리!$B$2:$B$200,MATCH(A25,카테고리!$A$2:$A$200,0)),"?"))</f>
        <v/>
      </c>
      <c r="C25" s="37"/>
      <c r="D25" s="35"/>
      <c r="E25" s="19" t="str">
        <f aca="false">IF(A25="","",IF(C25="연",D25*설정!$B$9/12,D25))</f>
        <v/>
      </c>
      <c r="F25" s="19" t="str">
        <f aca="false">IF($A25="","",IF($C25="연",SUMIFS(거래내역!$D$2:$D$5000,거래내역!$E$2:$E$5000,$A25,거래내역!$L$2:$L$5000,"&gt;="&amp;설정!$B$8,거래내역!$L$2:$L$5000,"&lt;="&amp;설정!$B$7,거래내역!$H$2:$H$5000,설정!$B$5),SUMIFS(거래내역!$D$2:$D$5000,거래내역!$E$2:$E$5000,$A25,거래내역!$B$2:$B$5000,설정!$B$3,거래내역!$H$2:$H$5000,설정!$B$5)))</f>
        <v/>
      </c>
      <c r="G25" s="43" t="str">
        <f aca="false">IF(OR(A25="",N(E25)=0),"",F25/E25)</f>
        <v/>
      </c>
      <c r="H25" s="19" t="str">
        <f aca="false">IF(A25="","",E25-F25)</f>
        <v/>
      </c>
      <c r="I25" s="61" t="str">
        <f aca="false">IF(OR(A25="",N(E25)=0),"",IF(G25&gt;1,"🔴 초과",IF(AND(G25&gt;=0.9,B25&lt;&gt;"고정비"),"⚠ 주의","✅ 양호")))</f>
        <v/>
      </c>
      <c r="J25" s="19" t="str">
        <f aca="false">IF($A25="","",IF($C25="연",SUMIFS(거래내역!$D$2:$D$5000,거래내역!$E$2:$E$5000,$A25,거래내역!$L$2:$L$5000,"&gt;="&amp;설정!$B$8,거래내역!$L$2:$L$5000,"&lt;="&amp;설정!$B$7,거래내역!$H$2:$H$5000,"본인"),SUMIFS(거래내역!$D$2:$D$5000,거래내역!$E$2:$E$5000,$A25,거래내역!$B$2:$B$5000,설정!$B$3,거래내역!$H$2:$H$5000,"본인")))</f>
        <v/>
      </c>
      <c r="K25" s="19" t="str">
        <f aca="false">IF($A25="","",IF($C25="연",SUMIFS(거래내역!$D$2:$D$5000,거래내역!$E$2:$E$5000,$A25,거래내역!$L$2:$L$5000,"&gt;="&amp;설정!$B$8,거래내역!$L$2:$L$5000,"&lt;="&amp;설정!$B$7,거래내역!$H$2:$H$5000,"배우자"),SUMIFS(거래내역!$D$2:$D$5000,거래내역!$E$2:$E$5000,$A25,거래내역!$B$2:$B$5000,설정!$B$3,거래내역!$H$2:$H$5000,"배우자")))</f>
        <v/>
      </c>
      <c r="L25" s="19" t="str">
        <f aca="false">IF($A25="","",IF($C25="연",SUMIFS(거래내역!$D$2:$D$5000,거래내역!$E$2:$E$5000,$A25,거래내역!$L$2:$L$5000,"&gt;="&amp;설정!$B$8,거래내역!$L$2:$L$5000,"&lt;="&amp;설정!$B$7,거래내역!$H$2:$H$5000,"공동"),SUMIFS(거래내역!$D$2:$D$5000,거래내역!$E$2:$E$5000,$A25,거래내역!$B$2:$B$5000,설정!$B$3,거래내역!$H$2:$H$5000,"공동")))</f>
        <v/>
      </c>
      <c r="M25" s="44" t="str">
        <f aca="false">IF(ISNUMBER(SEARCH("초과",I25)),A25&amp;" "&amp;TEXT(G25,"0%"),"")</f>
        <v/>
      </c>
    </row>
    <row r="26" customFormat="false" ht="15" hidden="false" customHeight="false" outlineLevel="0" collapsed="false">
      <c r="A26" s="34"/>
      <c r="B26" s="18" t="str">
        <f aca="false">IF(A26="","",IFERROR(INDEX(카테고리!$B$2:$B$200,MATCH(A26,카테고리!$A$2:$A$200,0)),"?"))</f>
        <v/>
      </c>
      <c r="C26" s="37"/>
      <c r="D26" s="35"/>
      <c r="E26" s="19" t="str">
        <f aca="false">IF(A26="","",IF(C26="연",D26*설정!$B$9/12,D26))</f>
        <v/>
      </c>
      <c r="F26" s="19" t="str">
        <f aca="false">IF($A26="","",IF($C26="연",SUMIFS(거래내역!$D$2:$D$5000,거래내역!$E$2:$E$5000,$A26,거래내역!$L$2:$L$5000,"&gt;="&amp;설정!$B$8,거래내역!$L$2:$L$5000,"&lt;="&amp;설정!$B$7,거래내역!$H$2:$H$5000,설정!$B$5),SUMIFS(거래내역!$D$2:$D$5000,거래내역!$E$2:$E$5000,$A26,거래내역!$B$2:$B$5000,설정!$B$3,거래내역!$H$2:$H$5000,설정!$B$5)))</f>
        <v/>
      </c>
      <c r="G26" s="43" t="str">
        <f aca="false">IF(OR(A26="",N(E26)=0),"",F26/E26)</f>
        <v/>
      </c>
      <c r="H26" s="19" t="str">
        <f aca="false">IF(A26="","",E26-F26)</f>
        <v/>
      </c>
      <c r="I26" s="61" t="str">
        <f aca="false">IF(OR(A26="",N(E26)=0),"",IF(G26&gt;1,"🔴 초과",IF(AND(G26&gt;=0.9,B26&lt;&gt;"고정비"),"⚠ 주의","✅ 양호")))</f>
        <v/>
      </c>
      <c r="J26" s="19" t="str">
        <f aca="false">IF($A26="","",IF($C26="연",SUMIFS(거래내역!$D$2:$D$5000,거래내역!$E$2:$E$5000,$A26,거래내역!$L$2:$L$5000,"&gt;="&amp;설정!$B$8,거래내역!$L$2:$L$5000,"&lt;="&amp;설정!$B$7,거래내역!$H$2:$H$5000,"본인"),SUMIFS(거래내역!$D$2:$D$5000,거래내역!$E$2:$E$5000,$A26,거래내역!$B$2:$B$5000,설정!$B$3,거래내역!$H$2:$H$5000,"본인")))</f>
        <v/>
      </c>
      <c r="K26" s="19" t="str">
        <f aca="false">IF($A26="","",IF($C26="연",SUMIFS(거래내역!$D$2:$D$5000,거래내역!$E$2:$E$5000,$A26,거래내역!$L$2:$L$5000,"&gt;="&amp;설정!$B$8,거래내역!$L$2:$L$5000,"&lt;="&amp;설정!$B$7,거래내역!$H$2:$H$5000,"배우자"),SUMIFS(거래내역!$D$2:$D$5000,거래내역!$E$2:$E$5000,$A26,거래내역!$B$2:$B$5000,설정!$B$3,거래내역!$H$2:$H$5000,"배우자")))</f>
        <v/>
      </c>
      <c r="L26" s="19" t="str">
        <f aca="false">IF($A26="","",IF($C26="연",SUMIFS(거래내역!$D$2:$D$5000,거래내역!$E$2:$E$5000,$A26,거래내역!$L$2:$L$5000,"&gt;="&amp;설정!$B$8,거래내역!$L$2:$L$5000,"&lt;="&amp;설정!$B$7,거래내역!$H$2:$H$5000,"공동"),SUMIFS(거래내역!$D$2:$D$5000,거래내역!$E$2:$E$5000,$A26,거래내역!$B$2:$B$5000,설정!$B$3,거래내역!$H$2:$H$5000,"공동")))</f>
        <v/>
      </c>
      <c r="M26" s="44" t="str">
        <f aca="false">IF(ISNUMBER(SEARCH("초과",I26)),A26&amp;" "&amp;TEXT(G26,"0%"),"")</f>
        <v/>
      </c>
    </row>
    <row r="27" customFormat="false" ht="15" hidden="false" customHeight="false" outlineLevel="0" collapsed="false">
      <c r="A27" s="34"/>
      <c r="B27" s="18" t="str">
        <f aca="false">IF(A27="","",IFERROR(INDEX(카테고리!$B$2:$B$200,MATCH(A27,카테고리!$A$2:$A$200,0)),"?"))</f>
        <v/>
      </c>
      <c r="C27" s="37"/>
      <c r="D27" s="35"/>
      <c r="E27" s="19" t="str">
        <f aca="false">IF(A27="","",IF(C27="연",D27*설정!$B$9/12,D27))</f>
        <v/>
      </c>
      <c r="F27" s="19" t="str">
        <f aca="false">IF($A27="","",IF($C27="연",SUMIFS(거래내역!$D$2:$D$5000,거래내역!$E$2:$E$5000,$A27,거래내역!$L$2:$L$5000,"&gt;="&amp;설정!$B$8,거래내역!$L$2:$L$5000,"&lt;="&amp;설정!$B$7,거래내역!$H$2:$H$5000,설정!$B$5),SUMIFS(거래내역!$D$2:$D$5000,거래내역!$E$2:$E$5000,$A27,거래내역!$B$2:$B$5000,설정!$B$3,거래내역!$H$2:$H$5000,설정!$B$5)))</f>
        <v/>
      </c>
      <c r="G27" s="43" t="str">
        <f aca="false">IF(OR(A27="",N(E27)=0),"",F27/E27)</f>
        <v/>
      </c>
      <c r="H27" s="19" t="str">
        <f aca="false">IF(A27="","",E27-F27)</f>
        <v/>
      </c>
      <c r="I27" s="61" t="str">
        <f aca="false">IF(OR(A27="",N(E27)=0),"",IF(G27&gt;1,"🔴 초과",IF(AND(G27&gt;=0.9,B27&lt;&gt;"고정비"),"⚠ 주의","✅ 양호")))</f>
        <v/>
      </c>
      <c r="J27" s="19" t="str">
        <f aca="false">IF($A27="","",IF($C27="연",SUMIFS(거래내역!$D$2:$D$5000,거래내역!$E$2:$E$5000,$A27,거래내역!$L$2:$L$5000,"&gt;="&amp;설정!$B$8,거래내역!$L$2:$L$5000,"&lt;="&amp;설정!$B$7,거래내역!$H$2:$H$5000,"본인"),SUMIFS(거래내역!$D$2:$D$5000,거래내역!$E$2:$E$5000,$A27,거래내역!$B$2:$B$5000,설정!$B$3,거래내역!$H$2:$H$5000,"본인")))</f>
        <v/>
      </c>
      <c r="K27" s="19" t="str">
        <f aca="false">IF($A27="","",IF($C27="연",SUMIFS(거래내역!$D$2:$D$5000,거래내역!$E$2:$E$5000,$A27,거래내역!$L$2:$L$5000,"&gt;="&amp;설정!$B$8,거래내역!$L$2:$L$5000,"&lt;="&amp;설정!$B$7,거래내역!$H$2:$H$5000,"배우자"),SUMIFS(거래내역!$D$2:$D$5000,거래내역!$E$2:$E$5000,$A27,거래내역!$B$2:$B$5000,설정!$B$3,거래내역!$H$2:$H$5000,"배우자")))</f>
        <v/>
      </c>
      <c r="L27" s="19" t="str">
        <f aca="false">IF($A27="","",IF($C27="연",SUMIFS(거래내역!$D$2:$D$5000,거래내역!$E$2:$E$5000,$A27,거래내역!$L$2:$L$5000,"&gt;="&amp;설정!$B$8,거래내역!$L$2:$L$5000,"&lt;="&amp;설정!$B$7,거래내역!$H$2:$H$5000,"공동"),SUMIFS(거래내역!$D$2:$D$5000,거래내역!$E$2:$E$5000,$A27,거래내역!$B$2:$B$5000,설정!$B$3,거래내역!$H$2:$H$5000,"공동")))</f>
        <v/>
      </c>
      <c r="M27" s="44" t="str">
        <f aca="false">IF(ISNUMBER(SEARCH("초과",I27)),A27&amp;" "&amp;TEXT(G27,"0%"),"")</f>
        <v/>
      </c>
    </row>
    <row r="28" customFormat="false" ht="15" hidden="false" customHeight="false" outlineLevel="0" collapsed="false">
      <c r="A28" s="34"/>
      <c r="B28" s="18" t="str">
        <f aca="false">IF(A28="","",IFERROR(INDEX(카테고리!$B$2:$B$200,MATCH(A28,카테고리!$A$2:$A$200,0)),"?"))</f>
        <v/>
      </c>
      <c r="C28" s="37"/>
      <c r="D28" s="35"/>
      <c r="E28" s="19" t="str">
        <f aca="false">IF(A28="","",IF(C28="연",D28*설정!$B$9/12,D28))</f>
        <v/>
      </c>
      <c r="F28" s="19" t="str">
        <f aca="false">IF($A28="","",IF($C28="연",SUMIFS(거래내역!$D$2:$D$5000,거래내역!$E$2:$E$5000,$A28,거래내역!$L$2:$L$5000,"&gt;="&amp;설정!$B$8,거래내역!$L$2:$L$5000,"&lt;="&amp;설정!$B$7,거래내역!$H$2:$H$5000,설정!$B$5),SUMIFS(거래내역!$D$2:$D$5000,거래내역!$E$2:$E$5000,$A28,거래내역!$B$2:$B$5000,설정!$B$3,거래내역!$H$2:$H$5000,설정!$B$5)))</f>
        <v/>
      </c>
      <c r="G28" s="43" t="str">
        <f aca="false">IF(OR(A28="",N(E28)=0),"",F28/E28)</f>
        <v/>
      </c>
      <c r="H28" s="19" t="str">
        <f aca="false">IF(A28="","",E28-F28)</f>
        <v/>
      </c>
      <c r="I28" s="61" t="str">
        <f aca="false">IF(OR(A28="",N(E28)=0),"",IF(G28&gt;1,"🔴 초과",IF(AND(G28&gt;=0.9,B28&lt;&gt;"고정비"),"⚠ 주의","✅ 양호")))</f>
        <v/>
      </c>
      <c r="J28" s="19" t="str">
        <f aca="false">IF($A28="","",IF($C28="연",SUMIFS(거래내역!$D$2:$D$5000,거래내역!$E$2:$E$5000,$A28,거래내역!$L$2:$L$5000,"&gt;="&amp;설정!$B$8,거래내역!$L$2:$L$5000,"&lt;="&amp;설정!$B$7,거래내역!$H$2:$H$5000,"본인"),SUMIFS(거래내역!$D$2:$D$5000,거래내역!$E$2:$E$5000,$A28,거래내역!$B$2:$B$5000,설정!$B$3,거래내역!$H$2:$H$5000,"본인")))</f>
        <v/>
      </c>
      <c r="K28" s="19" t="str">
        <f aca="false">IF($A28="","",IF($C28="연",SUMIFS(거래내역!$D$2:$D$5000,거래내역!$E$2:$E$5000,$A28,거래내역!$L$2:$L$5000,"&gt;="&amp;설정!$B$8,거래내역!$L$2:$L$5000,"&lt;="&amp;설정!$B$7,거래내역!$H$2:$H$5000,"배우자"),SUMIFS(거래내역!$D$2:$D$5000,거래내역!$E$2:$E$5000,$A28,거래내역!$B$2:$B$5000,설정!$B$3,거래내역!$H$2:$H$5000,"배우자")))</f>
        <v/>
      </c>
      <c r="L28" s="19" t="str">
        <f aca="false">IF($A28="","",IF($C28="연",SUMIFS(거래내역!$D$2:$D$5000,거래내역!$E$2:$E$5000,$A28,거래내역!$L$2:$L$5000,"&gt;="&amp;설정!$B$8,거래내역!$L$2:$L$5000,"&lt;="&amp;설정!$B$7,거래내역!$H$2:$H$5000,"공동"),SUMIFS(거래내역!$D$2:$D$5000,거래내역!$E$2:$E$5000,$A28,거래내역!$B$2:$B$5000,설정!$B$3,거래내역!$H$2:$H$5000,"공동")))</f>
        <v/>
      </c>
      <c r="M28" s="44" t="str">
        <f aca="false">IF(ISNUMBER(SEARCH("초과",I28)),A28&amp;" "&amp;TEXT(G28,"0%"),"")</f>
        <v/>
      </c>
    </row>
    <row r="29" customFormat="false" ht="15" hidden="false" customHeight="false" outlineLevel="0" collapsed="false">
      <c r="A29" s="34"/>
      <c r="B29" s="18" t="str">
        <f aca="false">IF(A29="","",IFERROR(INDEX(카테고리!$B$2:$B$200,MATCH(A29,카테고리!$A$2:$A$200,0)),"?"))</f>
        <v/>
      </c>
      <c r="C29" s="37"/>
      <c r="D29" s="35"/>
      <c r="E29" s="19" t="str">
        <f aca="false">IF(A29="","",IF(C29="연",D29*설정!$B$9/12,D29))</f>
        <v/>
      </c>
      <c r="F29" s="19" t="str">
        <f aca="false">IF($A29="","",IF($C29="연",SUMIFS(거래내역!$D$2:$D$5000,거래내역!$E$2:$E$5000,$A29,거래내역!$L$2:$L$5000,"&gt;="&amp;설정!$B$8,거래내역!$L$2:$L$5000,"&lt;="&amp;설정!$B$7,거래내역!$H$2:$H$5000,설정!$B$5),SUMIFS(거래내역!$D$2:$D$5000,거래내역!$E$2:$E$5000,$A29,거래내역!$B$2:$B$5000,설정!$B$3,거래내역!$H$2:$H$5000,설정!$B$5)))</f>
        <v/>
      </c>
      <c r="G29" s="43" t="str">
        <f aca="false">IF(OR(A29="",N(E29)=0),"",F29/E29)</f>
        <v/>
      </c>
      <c r="H29" s="19" t="str">
        <f aca="false">IF(A29="","",E29-F29)</f>
        <v/>
      </c>
      <c r="I29" s="61" t="str">
        <f aca="false">IF(OR(A29="",N(E29)=0),"",IF(G29&gt;1,"🔴 초과",IF(AND(G29&gt;=0.9,B29&lt;&gt;"고정비"),"⚠ 주의","✅ 양호")))</f>
        <v/>
      </c>
      <c r="J29" s="19" t="str">
        <f aca="false">IF($A29="","",IF($C29="연",SUMIFS(거래내역!$D$2:$D$5000,거래내역!$E$2:$E$5000,$A29,거래내역!$L$2:$L$5000,"&gt;="&amp;설정!$B$8,거래내역!$L$2:$L$5000,"&lt;="&amp;설정!$B$7,거래내역!$H$2:$H$5000,"본인"),SUMIFS(거래내역!$D$2:$D$5000,거래내역!$E$2:$E$5000,$A29,거래내역!$B$2:$B$5000,설정!$B$3,거래내역!$H$2:$H$5000,"본인")))</f>
        <v/>
      </c>
      <c r="K29" s="19" t="str">
        <f aca="false">IF($A29="","",IF($C29="연",SUMIFS(거래내역!$D$2:$D$5000,거래내역!$E$2:$E$5000,$A29,거래내역!$L$2:$L$5000,"&gt;="&amp;설정!$B$8,거래내역!$L$2:$L$5000,"&lt;="&amp;설정!$B$7,거래내역!$H$2:$H$5000,"배우자"),SUMIFS(거래내역!$D$2:$D$5000,거래내역!$E$2:$E$5000,$A29,거래내역!$B$2:$B$5000,설정!$B$3,거래내역!$H$2:$H$5000,"배우자")))</f>
        <v/>
      </c>
      <c r="L29" s="19" t="str">
        <f aca="false">IF($A29="","",IF($C29="연",SUMIFS(거래내역!$D$2:$D$5000,거래내역!$E$2:$E$5000,$A29,거래내역!$L$2:$L$5000,"&gt;="&amp;설정!$B$8,거래내역!$L$2:$L$5000,"&lt;="&amp;설정!$B$7,거래내역!$H$2:$H$5000,"공동"),SUMIFS(거래내역!$D$2:$D$5000,거래내역!$E$2:$E$5000,$A29,거래내역!$B$2:$B$5000,설정!$B$3,거래내역!$H$2:$H$5000,"공동")))</f>
        <v/>
      </c>
      <c r="M29" s="44" t="str">
        <f aca="false">IF(ISNUMBER(SEARCH("초과",I29)),A29&amp;" "&amp;TEXT(G29,"0%"),"")</f>
        <v/>
      </c>
    </row>
    <row r="30" customFormat="false" ht="15" hidden="false" customHeight="false" outlineLevel="0" collapsed="false">
      <c r="A30" s="34"/>
      <c r="B30" s="18" t="str">
        <f aca="false">IF(A30="","",IFERROR(INDEX(카테고리!$B$2:$B$200,MATCH(A30,카테고리!$A$2:$A$200,0)),"?"))</f>
        <v/>
      </c>
      <c r="C30" s="37"/>
      <c r="D30" s="35"/>
      <c r="E30" s="19" t="str">
        <f aca="false">IF(A30="","",IF(C30="연",D30*설정!$B$9/12,D30))</f>
        <v/>
      </c>
      <c r="F30" s="19" t="str">
        <f aca="false">IF($A30="","",IF($C30="연",SUMIFS(거래내역!$D$2:$D$5000,거래내역!$E$2:$E$5000,$A30,거래내역!$L$2:$L$5000,"&gt;="&amp;설정!$B$8,거래내역!$L$2:$L$5000,"&lt;="&amp;설정!$B$7,거래내역!$H$2:$H$5000,설정!$B$5),SUMIFS(거래내역!$D$2:$D$5000,거래내역!$E$2:$E$5000,$A30,거래내역!$B$2:$B$5000,설정!$B$3,거래내역!$H$2:$H$5000,설정!$B$5)))</f>
        <v/>
      </c>
      <c r="G30" s="43" t="str">
        <f aca="false">IF(OR(A30="",N(E30)=0),"",F30/E30)</f>
        <v/>
      </c>
      <c r="H30" s="19" t="str">
        <f aca="false">IF(A30="","",E30-F30)</f>
        <v/>
      </c>
      <c r="I30" s="61" t="str">
        <f aca="false">IF(OR(A30="",N(E30)=0),"",IF(G30&gt;1,"🔴 초과",IF(AND(G30&gt;=0.9,B30&lt;&gt;"고정비"),"⚠ 주의","✅ 양호")))</f>
        <v/>
      </c>
      <c r="J30" s="19" t="str">
        <f aca="false">IF($A30="","",IF($C30="연",SUMIFS(거래내역!$D$2:$D$5000,거래내역!$E$2:$E$5000,$A30,거래내역!$L$2:$L$5000,"&gt;="&amp;설정!$B$8,거래내역!$L$2:$L$5000,"&lt;="&amp;설정!$B$7,거래내역!$H$2:$H$5000,"본인"),SUMIFS(거래내역!$D$2:$D$5000,거래내역!$E$2:$E$5000,$A30,거래내역!$B$2:$B$5000,설정!$B$3,거래내역!$H$2:$H$5000,"본인")))</f>
        <v/>
      </c>
      <c r="K30" s="19" t="str">
        <f aca="false">IF($A30="","",IF($C30="연",SUMIFS(거래내역!$D$2:$D$5000,거래내역!$E$2:$E$5000,$A30,거래내역!$L$2:$L$5000,"&gt;="&amp;설정!$B$8,거래내역!$L$2:$L$5000,"&lt;="&amp;설정!$B$7,거래내역!$H$2:$H$5000,"배우자"),SUMIFS(거래내역!$D$2:$D$5000,거래내역!$E$2:$E$5000,$A30,거래내역!$B$2:$B$5000,설정!$B$3,거래내역!$H$2:$H$5000,"배우자")))</f>
        <v/>
      </c>
      <c r="L30" s="19" t="str">
        <f aca="false">IF($A30="","",IF($C30="연",SUMIFS(거래내역!$D$2:$D$5000,거래내역!$E$2:$E$5000,$A30,거래내역!$L$2:$L$5000,"&gt;="&amp;설정!$B$8,거래내역!$L$2:$L$5000,"&lt;="&amp;설정!$B$7,거래내역!$H$2:$H$5000,"공동"),SUMIFS(거래내역!$D$2:$D$5000,거래내역!$E$2:$E$5000,$A30,거래내역!$B$2:$B$5000,설정!$B$3,거래내역!$H$2:$H$5000,"공동")))</f>
        <v/>
      </c>
      <c r="M30" s="44" t="str">
        <f aca="false">IF(ISNUMBER(SEARCH("초과",I30)),A30&amp;" "&amp;TEXT(G30,"0%"),"")</f>
        <v/>
      </c>
    </row>
    <row r="31" customFormat="false" ht="15" hidden="false" customHeight="false" outlineLevel="0" collapsed="false">
      <c r="A31" s="34"/>
      <c r="B31" s="18" t="str">
        <f aca="false">IF(A31="","",IFERROR(INDEX(카테고리!$B$2:$B$200,MATCH(A31,카테고리!$A$2:$A$200,0)),"?"))</f>
        <v/>
      </c>
      <c r="C31" s="37"/>
      <c r="D31" s="35"/>
      <c r="E31" s="19" t="str">
        <f aca="false">IF(A31="","",IF(C31="연",D31*설정!$B$9/12,D31))</f>
        <v/>
      </c>
      <c r="F31" s="19" t="str">
        <f aca="false">IF($A31="","",IF($C31="연",SUMIFS(거래내역!$D$2:$D$5000,거래내역!$E$2:$E$5000,$A31,거래내역!$L$2:$L$5000,"&gt;="&amp;설정!$B$8,거래내역!$L$2:$L$5000,"&lt;="&amp;설정!$B$7,거래내역!$H$2:$H$5000,설정!$B$5),SUMIFS(거래내역!$D$2:$D$5000,거래내역!$E$2:$E$5000,$A31,거래내역!$B$2:$B$5000,설정!$B$3,거래내역!$H$2:$H$5000,설정!$B$5)))</f>
        <v/>
      </c>
      <c r="G31" s="43" t="str">
        <f aca="false">IF(OR(A31="",N(E31)=0),"",F31/E31)</f>
        <v/>
      </c>
      <c r="H31" s="19" t="str">
        <f aca="false">IF(A31="","",E31-F31)</f>
        <v/>
      </c>
      <c r="I31" s="61" t="str">
        <f aca="false">IF(OR(A31="",N(E31)=0),"",IF(G31&gt;1,"🔴 초과",IF(AND(G31&gt;=0.9,B31&lt;&gt;"고정비"),"⚠ 주의","✅ 양호")))</f>
        <v/>
      </c>
      <c r="J31" s="19" t="str">
        <f aca="false">IF($A31="","",IF($C31="연",SUMIFS(거래내역!$D$2:$D$5000,거래내역!$E$2:$E$5000,$A31,거래내역!$L$2:$L$5000,"&gt;="&amp;설정!$B$8,거래내역!$L$2:$L$5000,"&lt;="&amp;설정!$B$7,거래내역!$H$2:$H$5000,"본인"),SUMIFS(거래내역!$D$2:$D$5000,거래내역!$E$2:$E$5000,$A31,거래내역!$B$2:$B$5000,설정!$B$3,거래내역!$H$2:$H$5000,"본인")))</f>
        <v/>
      </c>
      <c r="K31" s="19" t="str">
        <f aca="false">IF($A31="","",IF($C31="연",SUMIFS(거래내역!$D$2:$D$5000,거래내역!$E$2:$E$5000,$A31,거래내역!$L$2:$L$5000,"&gt;="&amp;설정!$B$8,거래내역!$L$2:$L$5000,"&lt;="&amp;설정!$B$7,거래내역!$H$2:$H$5000,"배우자"),SUMIFS(거래내역!$D$2:$D$5000,거래내역!$E$2:$E$5000,$A31,거래내역!$B$2:$B$5000,설정!$B$3,거래내역!$H$2:$H$5000,"배우자")))</f>
        <v/>
      </c>
      <c r="L31" s="19" t="str">
        <f aca="false">IF($A31="","",IF($C31="연",SUMIFS(거래내역!$D$2:$D$5000,거래내역!$E$2:$E$5000,$A31,거래내역!$L$2:$L$5000,"&gt;="&amp;설정!$B$8,거래내역!$L$2:$L$5000,"&lt;="&amp;설정!$B$7,거래내역!$H$2:$H$5000,"공동"),SUMIFS(거래내역!$D$2:$D$5000,거래내역!$E$2:$E$5000,$A31,거래내역!$B$2:$B$5000,설정!$B$3,거래내역!$H$2:$H$5000,"공동")))</f>
        <v/>
      </c>
      <c r="M31" s="44" t="str">
        <f aca="false">IF(ISNUMBER(SEARCH("초과",I31)),A31&amp;" "&amp;TEXT(G31,"0%"),"")</f>
        <v/>
      </c>
    </row>
    <row r="32" customFormat="false" ht="15" hidden="false" customHeight="false" outlineLevel="0" collapsed="false">
      <c r="A32" s="34"/>
      <c r="B32" s="18" t="str">
        <f aca="false">IF(A32="","",IFERROR(INDEX(카테고리!$B$2:$B$200,MATCH(A32,카테고리!$A$2:$A$200,0)),"?"))</f>
        <v/>
      </c>
      <c r="C32" s="37"/>
      <c r="D32" s="35"/>
      <c r="E32" s="19" t="str">
        <f aca="false">IF(A32="","",IF(C32="연",D32*설정!$B$9/12,D32))</f>
        <v/>
      </c>
      <c r="F32" s="19" t="str">
        <f aca="false">IF($A32="","",IF($C32="연",SUMIFS(거래내역!$D$2:$D$5000,거래내역!$E$2:$E$5000,$A32,거래내역!$L$2:$L$5000,"&gt;="&amp;설정!$B$8,거래내역!$L$2:$L$5000,"&lt;="&amp;설정!$B$7,거래내역!$H$2:$H$5000,설정!$B$5),SUMIFS(거래내역!$D$2:$D$5000,거래내역!$E$2:$E$5000,$A32,거래내역!$B$2:$B$5000,설정!$B$3,거래내역!$H$2:$H$5000,설정!$B$5)))</f>
        <v/>
      </c>
      <c r="G32" s="43" t="str">
        <f aca="false">IF(OR(A32="",N(E32)=0),"",F32/E32)</f>
        <v/>
      </c>
      <c r="H32" s="19" t="str">
        <f aca="false">IF(A32="","",E32-F32)</f>
        <v/>
      </c>
      <c r="I32" s="61" t="str">
        <f aca="false">IF(OR(A32="",N(E32)=0),"",IF(G32&gt;1,"🔴 초과",IF(AND(G32&gt;=0.9,B32&lt;&gt;"고정비"),"⚠ 주의","✅ 양호")))</f>
        <v/>
      </c>
      <c r="J32" s="19" t="str">
        <f aca="false">IF($A32="","",IF($C32="연",SUMIFS(거래내역!$D$2:$D$5000,거래내역!$E$2:$E$5000,$A32,거래내역!$L$2:$L$5000,"&gt;="&amp;설정!$B$8,거래내역!$L$2:$L$5000,"&lt;="&amp;설정!$B$7,거래내역!$H$2:$H$5000,"본인"),SUMIFS(거래내역!$D$2:$D$5000,거래내역!$E$2:$E$5000,$A32,거래내역!$B$2:$B$5000,설정!$B$3,거래내역!$H$2:$H$5000,"본인")))</f>
        <v/>
      </c>
      <c r="K32" s="19" t="str">
        <f aca="false">IF($A32="","",IF($C32="연",SUMIFS(거래내역!$D$2:$D$5000,거래내역!$E$2:$E$5000,$A32,거래내역!$L$2:$L$5000,"&gt;="&amp;설정!$B$8,거래내역!$L$2:$L$5000,"&lt;="&amp;설정!$B$7,거래내역!$H$2:$H$5000,"배우자"),SUMIFS(거래내역!$D$2:$D$5000,거래내역!$E$2:$E$5000,$A32,거래내역!$B$2:$B$5000,설정!$B$3,거래내역!$H$2:$H$5000,"배우자")))</f>
        <v/>
      </c>
      <c r="L32" s="19" t="str">
        <f aca="false">IF($A32="","",IF($C32="연",SUMIFS(거래내역!$D$2:$D$5000,거래내역!$E$2:$E$5000,$A32,거래내역!$L$2:$L$5000,"&gt;="&amp;설정!$B$8,거래내역!$L$2:$L$5000,"&lt;="&amp;설정!$B$7,거래내역!$H$2:$H$5000,"공동"),SUMIFS(거래내역!$D$2:$D$5000,거래내역!$E$2:$E$5000,$A32,거래내역!$B$2:$B$5000,설정!$B$3,거래내역!$H$2:$H$5000,"공동")))</f>
        <v/>
      </c>
      <c r="M32" s="44" t="str">
        <f aca="false">IF(ISNUMBER(SEARCH("초과",I32)),A32&amp;" "&amp;TEXT(G32,"0%"),"")</f>
        <v/>
      </c>
    </row>
    <row r="33" customFormat="false" ht="15" hidden="false" customHeight="false" outlineLevel="0" collapsed="false">
      <c r="A33" s="34"/>
      <c r="B33" s="18" t="str">
        <f aca="false">IF(A33="","",IFERROR(INDEX(카테고리!$B$2:$B$200,MATCH(A33,카테고리!$A$2:$A$200,0)),"?"))</f>
        <v/>
      </c>
      <c r="C33" s="37"/>
      <c r="D33" s="35"/>
      <c r="E33" s="19" t="str">
        <f aca="false">IF(A33="","",IF(C33="연",D33*설정!$B$9/12,D33))</f>
        <v/>
      </c>
      <c r="F33" s="19" t="str">
        <f aca="false">IF($A33="","",IF($C33="연",SUMIFS(거래내역!$D$2:$D$5000,거래내역!$E$2:$E$5000,$A33,거래내역!$L$2:$L$5000,"&gt;="&amp;설정!$B$8,거래내역!$L$2:$L$5000,"&lt;="&amp;설정!$B$7,거래내역!$H$2:$H$5000,설정!$B$5),SUMIFS(거래내역!$D$2:$D$5000,거래내역!$E$2:$E$5000,$A33,거래내역!$B$2:$B$5000,설정!$B$3,거래내역!$H$2:$H$5000,설정!$B$5)))</f>
        <v/>
      </c>
      <c r="G33" s="43" t="str">
        <f aca="false">IF(OR(A33="",N(E33)=0),"",F33/E33)</f>
        <v/>
      </c>
      <c r="H33" s="19" t="str">
        <f aca="false">IF(A33="","",E33-F33)</f>
        <v/>
      </c>
      <c r="I33" s="61" t="str">
        <f aca="false">IF(OR(A33="",N(E33)=0),"",IF(G33&gt;1,"🔴 초과",IF(AND(G33&gt;=0.9,B33&lt;&gt;"고정비"),"⚠ 주의","✅ 양호")))</f>
        <v/>
      </c>
      <c r="J33" s="19" t="str">
        <f aca="false">IF($A33="","",IF($C33="연",SUMIFS(거래내역!$D$2:$D$5000,거래내역!$E$2:$E$5000,$A33,거래내역!$L$2:$L$5000,"&gt;="&amp;설정!$B$8,거래내역!$L$2:$L$5000,"&lt;="&amp;설정!$B$7,거래내역!$H$2:$H$5000,"본인"),SUMIFS(거래내역!$D$2:$D$5000,거래내역!$E$2:$E$5000,$A33,거래내역!$B$2:$B$5000,설정!$B$3,거래내역!$H$2:$H$5000,"본인")))</f>
        <v/>
      </c>
      <c r="K33" s="19" t="str">
        <f aca="false">IF($A33="","",IF($C33="연",SUMIFS(거래내역!$D$2:$D$5000,거래내역!$E$2:$E$5000,$A33,거래내역!$L$2:$L$5000,"&gt;="&amp;설정!$B$8,거래내역!$L$2:$L$5000,"&lt;="&amp;설정!$B$7,거래내역!$H$2:$H$5000,"배우자"),SUMIFS(거래내역!$D$2:$D$5000,거래내역!$E$2:$E$5000,$A33,거래내역!$B$2:$B$5000,설정!$B$3,거래내역!$H$2:$H$5000,"배우자")))</f>
        <v/>
      </c>
      <c r="L33" s="19" t="str">
        <f aca="false">IF($A33="","",IF($C33="연",SUMIFS(거래내역!$D$2:$D$5000,거래내역!$E$2:$E$5000,$A33,거래내역!$L$2:$L$5000,"&gt;="&amp;설정!$B$8,거래내역!$L$2:$L$5000,"&lt;="&amp;설정!$B$7,거래내역!$H$2:$H$5000,"공동"),SUMIFS(거래내역!$D$2:$D$5000,거래내역!$E$2:$E$5000,$A33,거래내역!$B$2:$B$5000,설정!$B$3,거래내역!$H$2:$H$5000,"공동")))</f>
        <v/>
      </c>
      <c r="M33" s="44" t="str">
        <f aca="false">IF(ISNUMBER(SEARCH("초과",I33)),A33&amp;" "&amp;TEXT(G33,"0%"),"")</f>
        <v/>
      </c>
    </row>
    <row r="34" customFormat="false" ht="15" hidden="false" customHeight="false" outlineLevel="0" collapsed="false">
      <c r="A34" s="34"/>
      <c r="B34" s="18" t="str">
        <f aca="false">IF(A34="","",IFERROR(INDEX(카테고리!$B$2:$B$200,MATCH(A34,카테고리!$A$2:$A$200,0)),"?"))</f>
        <v/>
      </c>
      <c r="C34" s="37"/>
      <c r="D34" s="35"/>
      <c r="E34" s="19" t="str">
        <f aca="false">IF(A34="","",IF(C34="연",D34*설정!$B$9/12,D34))</f>
        <v/>
      </c>
      <c r="F34" s="19" t="str">
        <f aca="false">IF($A34="","",IF($C34="연",SUMIFS(거래내역!$D$2:$D$5000,거래내역!$E$2:$E$5000,$A34,거래내역!$L$2:$L$5000,"&gt;="&amp;설정!$B$8,거래내역!$L$2:$L$5000,"&lt;="&amp;설정!$B$7,거래내역!$H$2:$H$5000,설정!$B$5),SUMIFS(거래내역!$D$2:$D$5000,거래내역!$E$2:$E$5000,$A34,거래내역!$B$2:$B$5000,설정!$B$3,거래내역!$H$2:$H$5000,설정!$B$5)))</f>
        <v/>
      </c>
      <c r="G34" s="43" t="str">
        <f aca="false">IF(OR(A34="",N(E34)=0),"",F34/E34)</f>
        <v/>
      </c>
      <c r="H34" s="19" t="str">
        <f aca="false">IF(A34="","",E34-F34)</f>
        <v/>
      </c>
      <c r="I34" s="61" t="str">
        <f aca="false">IF(OR(A34="",N(E34)=0),"",IF(G34&gt;1,"🔴 초과",IF(AND(G34&gt;=0.9,B34&lt;&gt;"고정비"),"⚠ 주의","✅ 양호")))</f>
        <v/>
      </c>
      <c r="J34" s="19" t="str">
        <f aca="false">IF($A34="","",IF($C34="연",SUMIFS(거래내역!$D$2:$D$5000,거래내역!$E$2:$E$5000,$A34,거래내역!$L$2:$L$5000,"&gt;="&amp;설정!$B$8,거래내역!$L$2:$L$5000,"&lt;="&amp;설정!$B$7,거래내역!$H$2:$H$5000,"본인"),SUMIFS(거래내역!$D$2:$D$5000,거래내역!$E$2:$E$5000,$A34,거래내역!$B$2:$B$5000,설정!$B$3,거래내역!$H$2:$H$5000,"본인")))</f>
        <v/>
      </c>
      <c r="K34" s="19" t="str">
        <f aca="false">IF($A34="","",IF($C34="연",SUMIFS(거래내역!$D$2:$D$5000,거래내역!$E$2:$E$5000,$A34,거래내역!$L$2:$L$5000,"&gt;="&amp;설정!$B$8,거래내역!$L$2:$L$5000,"&lt;="&amp;설정!$B$7,거래내역!$H$2:$H$5000,"배우자"),SUMIFS(거래내역!$D$2:$D$5000,거래내역!$E$2:$E$5000,$A34,거래내역!$B$2:$B$5000,설정!$B$3,거래내역!$H$2:$H$5000,"배우자")))</f>
        <v/>
      </c>
      <c r="L34" s="19" t="str">
        <f aca="false">IF($A34="","",IF($C34="연",SUMIFS(거래내역!$D$2:$D$5000,거래내역!$E$2:$E$5000,$A34,거래내역!$L$2:$L$5000,"&gt;="&amp;설정!$B$8,거래내역!$L$2:$L$5000,"&lt;="&amp;설정!$B$7,거래내역!$H$2:$H$5000,"공동"),SUMIFS(거래내역!$D$2:$D$5000,거래내역!$E$2:$E$5000,$A34,거래내역!$B$2:$B$5000,설정!$B$3,거래내역!$H$2:$H$5000,"공동")))</f>
        <v/>
      </c>
      <c r="M34" s="44" t="str">
        <f aca="false">IF(ISNUMBER(SEARCH("초과",I34)),A34&amp;" "&amp;TEXT(G34,"0%"),"")</f>
        <v/>
      </c>
    </row>
    <row r="35" customFormat="false" ht="15" hidden="false" customHeight="false" outlineLevel="0" collapsed="false">
      <c r="A35" s="34"/>
      <c r="B35" s="18" t="str">
        <f aca="false">IF(A35="","",IFERROR(INDEX(카테고리!$B$2:$B$200,MATCH(A35,카테고리!$A$2:$A$200,0)),"?"))</f>
        <v/>
      </c>
      <c r="C35" s="37"/>
      <c r="D35" s="35"/>
      <c r="E35" s="19" t="str">
        <f aca="false">IF(A35="","",IF(C35="연",D35*설정!$B$9/12,D35))</f>
        <v/>
      </c>
      <c r="F35" s="19" t="str">
        <f aca="false">IF($A35="","",IF($C35="연",SUMIFS(거래내역!$D$2:$D$5000,거래내역!$E$2:$E$5000,$A35,거래내역!$L$2:$L$5000,"&gt;="&amp;설정!$B$8,거래내역!$L$2:$L$5000,"&lt;="&amp;설정!$B$7,거래내역!$H$2:$H$5000,설정!$B$5),SUMIFS(거래내역!$D$2:$D$5000,거래내역!$E$2:$E$5000,$A35,거래내역!$B$2:$B$5000,설정!$B$3,거래내역!$H$2:$H$5000,설정!$B$5)))</f>
        <v/>
      </c>
      <c r="G35" s="43" t="str">
        <f aca="false">IF(OR(A35="",N(E35)=0),"",F35/E35)</f>
        <v/>
      </c>
      <c r="H35" s="19" t="str">
        <f aca="false">IF(A35="","",E35-F35)</f>
        <v/>
      </c>
      <c r="I35" s="61" t="str">
        <f aca="false">IF(OR(A35="",N(E35)=0),"",IF(G35&gt;1,"🔴 초과",IF(AND(G35&gt;=0.9,B35&lt;&gt;"고정비"),"⚠ 주의","✅ 양호")))</f>
        <v/>
      </c>
      <c r="J35" s="19" t="str">
        <f aca="false">IF($A35="","",IF($C35="연",SUMIFS(거래내역!$D$2:$D$5000,거래내역!$E$2:$E$5000,$A35,거래내역!$L$2:$L$5000,"&gt;="&amp;설정!$B$8,거래내역!$L$2:$L$5000,"&lt;="&amp;설정!$B$7,거래내역!$H$2:$H$5000,"본인"),SUMIFS(거래내역!$D$2:$D$5000,거래내역!$E$2:$E$5000,$A35,거래내역!$B$2:$B$5000,설정!$B$3,거래내역!$H$2:$H$5000,"본인")))</f>
        <v/>
      </c>
      <c r="K35" s="19" t="str">
        <f aca="false">IF($A35="","",IF($C35="연",SUMIFS(거래내역!$D$2:$D$5000,거래내역!$E$2:$E$5000,$A35,거래내역!$L$2:$L$5000,"&gt;="&amp;설정!$B$8,거래내역!$L$2:$L$5000,"&lt;="&amp;설정!$B$7,거래내역!$H$2:$H$5000,"배우자"),SUMIFS(거래내역!$D$2:$D$5000,거래내역!$E$2:$E$5000,$A35,거래내역!$B$2:$B$5000,설정!$B$3,거래내역!$H$2:$H$5000,"배우자")))</f>
        <v/>
      </c>
      <c r="L35" s="19" t="str">
        <f aca="false">IF($A35="","",IF($C35="연",SUMIFS(거래내역!$D$2:$D$5000,거래내역!$E$2:$E$5000,$A35,거래내역!$L$2:$L$5000,"&gt;="&amp;설정!$B$8,거래내역!$L$2:$L$5000,"&lt;="&amp;설정!$B$7,거래내역!$H$2:$H$5000,"공동"),SUMIFS(거래내역!$D$2:$D$5000,거래내역!$E$2:$E$5000,$A35,거래내역!$B$2:$B$5000,설정!$B$3,거래내역!$H$2:$H$5000,"공동")))</f>
        <v/>
      </c>
      <c r="M35" s="44" t="str">
        <f aca="false">IF(ISNUMBER(SEARCH("초과",I35)),A35&amp;" "&amp;TEXT(G35,"0%"),"")</f>
        <v/>
      </c>
    </row>
    <row r="36" customFormat="false" ht="15" hidden="false" customHeight="false" outlineLevel="0" collapsed="false">
      <c r="A36" s="34"/>
      <c r="B36" s="18" t="str">
        <f aca="false">IF(A36="","",IFERROR(INDEX(카테고리!$B$2:$B$200,MATCH(A36,카테고리!$A$2:$A$200,0)),"?"))</f>
        <v/>
      </c>
      <c r="C36" s="37"/>
      <c r="D36" s="35"/>
      <c r="E36" s="19" t="str">
        <f aca="false">IF(A36="","",IF(C36="연",D36*설정!$B$9/12,D36))</f>
        <v/>
      </c>
      <c r="F36" s="19" t="str">
        <f aca="false">IF($A36="","",IF($C36="연",SUMIFS(거래내역!$D$2:$D$5000,거래내역!$E$2:$E$5000,$A36,거래내역!$L$2:$L$5000,"&gt;="&amp;설정!$B$8,거래내역!$L$2:$L$5000,"&lt;="&amp;설정!$B$7,거래내역!$H$2:$H$5000,설정!$B$5),SUMIFS(거래내역!$D$2:$D$5000,거래내역!$E$2:$E$5000,$A36,거래내역!$B$2:$B$5000,설정!$B$3,거래내역!$H$2:$H$5000,설정!$B$5)))</f>
        <v/>
      </c>
      <c r="G36" s="43" t="str">
        <f aca="false">IF(OR(A36="",N(E36)=0),"",F36/E36)</f>
        <v/>
      </c>
      <c r="H36" s="19" t="str">
        <f aca="false">IF(A36="","",E36-F36)</f>
        <v/>
      </c>
      <c r="I36" s="61" t="str">
        <f aca="false">IF(OR(A36="",N(E36)=0),"",IF(G36&gt;1,"🔴 초과",IF(AND(G36&gt;=0.9,B36&lt;&gt;"고정비"),"⚠ 주의","✅ 양호")))</f>
        <v/>
      </c>
      <c r="J36" s="19" t="str">
        <f aca="false">IF($A36="","",IF($C36="연",SUMIFS(거래내역!$D$2:$D$5000,거래내역!$E$2:$E$5000,$A36,거래내역!$L$2:$L$5000,"&gt;="&amp;설정!$B$8,거래내역!$L$2:$L$5000,"&lt;="&amp;설정!$B$7,거래내역!$H$2:$H$5000,"본인"),SUMIFS(거래내역!$D$2:$D$5000,거래내역!$E$2:$E$5000,$A36,거래내역!$B$2:$B$5000,설정!$B$3,거래내역!$H$2:$H$5000,"본인")))</f>
        <v/>
      </c>
      <c r="K36" s="19" t="str">
        <f aca="false">IF($A36="","",IF($C36="연",SUMIFS(거래내역!$D$2:$D$5000,거래내역!$E$2:$E$5000,$A36,거래내역!$L$2:$L$5000,"&gt;="&amp;설정!$B$8,거래내역!$L$2:$L$5000,"&lt;="&amp;설정!$B$7,거래내역!$H$2:$H$5000,"배우자"),SUMIFS(거래내역!$D$2:$D$5000,거래내역!$E$2:$E$5000,$A36,거래내역!$B$2:$B$5000,설정!$B$3,거래내역!$H$2:$H$5000,"배우자")))</f>
        <v/>
      </c>
      <c r="L36" s="19" t="str">
        <f aca="false">IF($A36="","",IF($C36="연",SUMIFS(거래내역!$D$2:$D$5000,거래내역!$E$2:$E$5000,$A36,거래내역!$L$2:$L$5000,"&gt;="&amp;설정!$B$8,거래내역!$L$2:$L$5000,"&lt;="&amp;설정!$B$7,거래내역!$H$2:$H$5000,"공동"),SUMIFS(거래내역!$D$2:$D$5000,거래내역!$E$2:$E$5000,$A36,거래내역!$B$2:$B$5000,설정!$B$3,거래내역!$H$2:$H$5000,"공동")))</f>
        <v/>
      </c>
      <c r="M36" s="44" t="str">
        <f aca="false">IF(ISNUMBER(SEARCH("초과",I36)),A36&amp;" "&amp;TEXT(G36,"0%"),"")</f>
        <v/>
      </c>
    </row>
    <row r="37" customFormat="false" ht="15" hidden="false" customHeight="false" outlineLevel="0" collapsed="false">
      <c r="A37" s="34"/>
      <c r="B37" s="18" t="str">
        <f aca="false">IF(A37="","",IFERROR(INDEX(카테고리!$B$2:$B$200,MATCH(A37,카테고리!$A$2:$A$200,0)),"?"))</f>
        <v/>
      </c>
      <c r="C37" s="37"/>
      <c r="D37" s="35"/>
      <c r="E37" s="19" t="str">
        <f aca="false">IF(A37="","",IF(C37="연",D37*설정!$B$9/12,D37))</f>
        <v/>
      </c>
      <c r="F37" s="19" t="str">
        <f aca="false">IF($A37="","",IF($C37="연",SUMIFS(거래내역!$D$2:$D$5000,거래내역!$E$2:$E$5000,$A37,거래내역!$L$2:$L$5000,"&gt;="&amp;설정!$B$8,거래내역!$L$2:$L$5000,"&lt;="&amp;설정!$B$7,거래내역!$H$2:$H$5000,설정!$B$5),SUMIFS(거래내역!$D$2:$D$5000,거래내역!$E$2:$E$5000,$A37,거래내역!$B$2:$B$5000,설정!$B$3,거래내역!$H$2:$H$5000,설정!$B$5)))</f>
        <v/>
      </c>
      <c r="G37" s="43" t="str">
        <f aca="false">IF(OR(A37="",N(E37)=0),"",F37/E37)</f>
        <v/>
      </c>
      <c r="H37" s="19" t="str">
        <f aca="false">IF(A37="","",E37-F37)</f>
        <v/>
      </c>
      <c r="I37" s="61" t="str">
        <f aca="false">IF(OR(A37="",N(E37)=0),"",IF(G37&gt;1,"🔴 초과",IF(AND(G37&gt;=0.9,B37&lt;&gt;"고정비"),"⚠ 주의","✅ 양호")))</f>
        <v/>
      </c>
      <c r="J37" s="19" t="str">
        <f aca="false">IF($A37="","",IF($C37="연",SUMIFS(거래내역!$D$2:$D$5000,거래내역!$E$2:$E$5000,$A37,거래내역!$L$2:$L$5000,"&gt;="&amp;설정!$B$8,거래내역!$L$2:$L$5000,"&lt;="&amp;설정!$B$7,거래내역!$H$2:$H$5000,"본인"),SUMIFS(거래내역!$D$2:$D$5000,거래내역!$E$2:$E$5000,$A37,거래내역!$B$2:$B$5000,설정!$B$3,거래내역!$H$2:$H$5000,"본인")))</f>
        <v/>
      </c>
      <c r="K37" s="19" t="str">
        <f aca="false">IF($A37="","",IF($C37="연",SUMIFS(거래내역!$D$2:$D$5000,거래내역!$E$2:$E$5000,$A37,거래내역!$L$2:$L$5000,"&gt;="&amp;설정!$B$8,거래내역!$L$2:$L$5000,"&lt;="&amp;설정!$B$7,거래내역!$H$2:$H$5000,"배우자"),SUMIFS(거래내역!$D$2:$D$5000,거래내역!$E$2:$E$5000,$A37,거래내역!$B$2:$B$5000,설정!$B$3,거래내역!$H$2:$H$5000,"배우자")))</f>
        <v/>
      </c>
      <c r="L37" s="19" t="str">
        <f aca="false">IF($A37="","",IF($C37="연",SUMIFS(거래내역!$D$2:$D$5000,거래내역!$E$2:$E$5000,$A37,거래내역!$L$2:$L$5000,"&gt;="&amp;설정!$B$8,거래내역!$L$2:$L$5000,"&lt;="&amp;설정!$B$7,거래내역!$H$2:$H$5000,"공동"),SUMIFS(거래내역!$D$2:$D$5000,거래내역!$E$2:$E$5000,$A37,거래내역!$B$2:$B$5000,설정!$B$3,거래내역!$H$2:$H$5000,"공동")))</f>
        <v/>
      </c>
      <c r="M37" s="44" t="str">
        <f aca="false">IF(ISNUMBER(SEARCH("초과",I37)),A37&amp;" "&amp;TEXT(G37,"0%"),"")</f>
        <v/>
      </c>
    </row>
    <row r="38" customFormat="false" ht="15" hidden="false" customHeight="false" outlineLevel="0" collapsed="false">
      <c r="A38" s="34"/>
      <c r="B38" s="18" t="str">
        <f aca="false">IF(A38="","",IFERROR(INDEX(카테고리!$B$2:$B$200,MATCH(A38,카테고리!$A$2:$A$200,0)),"?"))</f>
        <v/>
      </c>
      <c r="C38" s="37"/>
      <c r="D38" s="35"/>
      <c r="E38" s="19" t="str">
        <f aca="false">IF(A38="","",IF(C38="연",D38*설정!$B$9/12,D38))</f>
        <v/>
      </c>
      <c r="F38" s="19" t="str">
        <f aca="false">IF($A38="","",IF($C38="연",SUMIFS(거래내역!$D$2:$D$5000,거래내역!$E$2:$E$5000,$A38,거래내역!$L$2:$L$5000,"&gt;="&amp;설정!$B$8,거래내역!$L$2:$L$5000,"&lt;="&amp;설정!$B$7,거래내역!$H$2:$H$5000,설정!$B$5),SUMIFS(거래내역!$D$2:$D$5000,거래내역!$E$2:$E$5000,$A38,거래내역!$B$2:$B$5000,설정!$B$3,거래내역!$H$2:$H$5000,설정!$B$5)))</f>
        <v/>
      </c>
      <c r="G38" s="43" t="str">
        <f aca="false">IF(OR(A38="",N(E38)=0),"",F38/E38)</f>
        <v/>
      </c>
      <c r="H38" s="19" t="str">
        <f aca="false">IF(A38="","",E38-F38)</f>
        <v/>
      </c>
      <c r="I38" s="61" t="str">
        <f aca="false">IF(OR(A38="",N(E38)=0),"",IF(G38&gt;1,"🔴 초과",IF(AND(G38&gt;=0.9,B38&lt;&gt;"고정비"),"⚠ 주의","✅ 양호")))</f>
        <v/>
      </c>
      <c r="J38" s="19" t="str">
        <f aca="false">IF($A38="","",IF($C38="연",SUMIFS(거래내역!$D$2:$D$5000,거래내역!$E$2:$E$5000,$A38,거래내역!$L$2:$L$5000,"&gt;="&amp;설정!$B$8,거래내역!$L$2:$L$5000,"&lt;="&amp;설정!$B$7,거래내역!$H$2:$H$5000,"본인"),SUMIFS(거래내역!$D$2:$D$5000,거래내역!$E$2:$E$5000,$A38,거래내역!$B$2:$B$5000,설정!$B$3,거래내역!$H$2:$H$5000,"본인")))</f>
        <v/>
      </c>
      <c r="K38" s="19" t="str">
        <f aca="false">IF($A38="","",IF($C38="연",SUMIFS(거래내역!$D$2:$D$5000,거래내역!$E$2:$E$5000,$A38,거래내역!$L$2:$L$5000,"&gt;="&amp;설정!$B$8,거래내역!$L$2:$L$5000,"&lt;="&amp;설정!$B$7,거래내역!$H$2:$H$5000,"배우자"),SUMIFS(거래내역!$D$2:$D$5000,거래내역!$E$2:$E$5000,$A38,거래내역!$B$2:$B$5000,설정!$B$3,거래내역!$H$2:$H$5000,"배우자")))</f>
        <v/>
      </c>
      <c r="L38" s="19" t="str">
        <f aca="false">IF($A38="","",IF($C38="연",SUMIFS(거래내역!$D$2:$D$5000,거래내역!$E$2:$E$5000,$A38,거래내역!$L$2:$L$5000,"&gt;="&amp;설정!$B$8,거래내역!$L$2:$L$5000,"&lt;="&amp;설정!$B$7,거래내역!$H$2:$H$5000,"공동"),SUMIFS(거래내역!$D$2:$D$5000,거래내역!$E$2:$E$5000,$A38,거래내역!$B$2:$B$5000,설정!$B$3,거래내역!$H$2:$H$5000,"공동")))</f>
        <v/>
      </c>
      <c r="M38" s="44" t="str">
        <f aca="false">IF(ISNUMBER(SEARCH("초과",I38)),A38&amp;" "&amp;TEXT(G38,"0%"),"")</f>
        <v/>
      </c>
    </row>
    <row r="39" customFormat="false" ht="15" hidden="false" customHeight="false" outlineLevel="0" collapsed="false">
      <c r="A39" s="34"/>
      <c r="B39" s="18" t="str">
        <f aca="false">IF(A39="","",IFERROR(INDEX(카테고리!$B$2:$B$200,MATCH(A39,카테고리!$A$2:$A$200,0)),"?"))</f>
        <v/>
      </c>
      <c r="C39" s="37"/>
      <c r="D39" s="35"/>
      <c r="E39" s="19" t="str">
        <f aca="false">IF(A39="","",IF(C39="연",D39*설정!$B$9/12,D39))</f>
        <v/>
      </c>
      <c r="F39" s="19" t="str">
        <f aca="false">IF($A39="","",IF($C39="연",SUMIFS(거래내역!$D$2:$D$5000,거래내역!$E$2:$E$5000,$A39,거래내역!$L$2:$L$5000,"&gt;="&amp;설정!$B$8,거래내역!$L$2:$L$5000,"&lt;="&amp;설정!$B$7,거래내역!$H$2:$H$5000,설정!$B$5),SUMIFS(거래내역!$D$2:$D$5000,거래내역!$E$2:$E$5000,$A39,거래내역!$B$2:$B$5000,설정!$B$3,거래내역!$H$2:$H$5000,설정!$B$5)))</f>
        <v/>
      </c>
      <c r="G39" s="43" t="str">
        <f aca="false">IF(OR(A39="",N(E39)=0),"",F39/E39)</f>
        <v/>
      </c>
      <c r="H39" s="19" t="str">
        <f aca="false">IF(A39="","",E39-F39)</f>
        <v/>
      </c>
      <c r="I39" s="61" t="str">
        <f aca="false">IF(OR(A39="",N(E39)=0),"",IF(G39&gt;1,"🔴 초과",IF(AND(G39&gt;=0.9,B39&lt;&gt;"고정비"),"⚠ 주의","✅ 양호")))</f>
        <v/>
      </c>
      <c r="J39" s="19" t="str">
        <f aca="false">IF($A39="","",IF($C39="연",SUMIFS(거래내역!$D$2:$D$5000,거래내역!$E$2:$E$5000,$A39,거래내역!$L$2:$L$5000,"&gt;="&amp;설정!$B$8,거래내역!$L$2:$L$5000,"&lt;="&amp;설정!$B$7,거래내역!$H$2:$H$5000,"본인"),SUMIFS(거래내역!$D$2:$D$5000,거래내역!$E$2:$E$5000,$A39,거래내역!$B$2:$B$5000,설정!$B$3,거래내역!$H$2:$H$5000,"본인")))</f>
        <v/>
      </c>
      <c r="K39" s="19" t="str">
        <f aca="false">IF($A39="","",IF($C39="연",SUMIFS(거래내역!$D$2:$D$5000,거래내역!$E$2:$E$5000,$A39,거래내역!$L$2:$L$5000,"&gt;="&amp;설정!$B$8,거래내역!$L$2:$L$5000,"&lt;="&amp;설정!$B$7,거래내역!$H$2:$H$5000,"배우자"),SUMIFS(거래내역!$D$2:$D$5000,거래내역!$E$2:$E$5000,$A39,거래내역!$B$2:$B$5000,설정!$B$3,거래내역!$H$2:$H$5000,"배우자")))</f>
        <v/>
      </c>
      <c r="L39" s="19" t="str">
        <f aca="false">IF($A39="","",IF($C39="연",SUMIFS(거래내역!$D$2:$D$5000,거래내역!$E$2:$E$5000,$A39,거래내역!$L$2:$L$5000,"&gt;="&amp;설정!$B$8,거래내역!$L$2:$L$5000,"&lt;="&amp;설정!$B$7,거래내역!$H$2:$H$5000,"공동"),SUMIFS(거래내역!$D$2:$D$5000,거래내역!$E$2:$E$5000,$A39,거래내역!$B$2:$B$5000,설정!$B$3,거래내역!$H$2:$H$5000,"공동")))</f>
        <v/>
      </c>
      <c r="M39" s="44" t="str">
        <f aca="false">IF(ISNUMBER(SEARCH("초과",I39)),A39&amp;" "&amp;TEXT(G39,"0%"),"")</f>
        <v/>
      </c>
    </row>
    <row r="40" customFormat="false" ht="15" hidden="false" customHeight="false" outlineLevel="0" collapsed="false">
      <c r="A40" s="34"/>
      <c r="B40" s="18" t="str">
        <f aca="false">IF(A40="","",IFERROR(INDEX(카테고리!$B$2:$B$200,MATCH(A40,카테고리!$A$2:$A$200,0)),"?"))</f>
        <v/>
      </c>
      <c r="C40" s="37"/>
      <c r="D40" s="35"/>
      <c r="E40" s="19" t="str">
        <f aca="false">IF(A40="","",IF(C40="연",D40*설정!$B$9/12,D40))</f>
        <v/>
      </c>
      <c r="F40" s="19" t="str">
        <f aca="false">IF($A40="","",IF($C40="연",SUMIFS(거래내역!$D$2:$D$5000,거래내역!$E$2:$E$5000,$A40,거래내역!$L$2:$L$5000,"&gt;="&amp;설정!$B$8,거래내역!$L$2:$L$5000,"&lt;="&amp;설정!$B$7,거래내역!$H$2:$H$5000,설정!$B$5),SUMIFS(거래내역!$D$2:$D$5000,거래내역!$E$2:$E$5000,$A40,거래내역!$B$2:$B$5000,설정!$B$3,거래내역!$H$2:$H$5000,설정!$B$5)))</f>
        <v/>
      </c>
      <c r="G40" s="43" t="str">
        <f aca="false">IF(OR(A40="",N(E40)=0),"",F40/E40)</f>
        <v/>
      </c>
      <c r="H40" s="19" t="str">
        <f aca="false">IF(A40="","",E40-F40)</f>
        <v/>
      </c>
      <c r="I40" s="61" t="str">
        <f aca="false">IF(OR(A40="",N(E40)=0),"",IF(G40&gt;1,"🔴 초과",IF(AND(G40&gt;=0.9,B40&lt;&gt;"고정비"),"⚠ 주의","✅ 양호")))</f>
        <v/>
      </c>
      <c r="J40" s="19" t="str">
        <f aca="false">IF($A40="","",IF($C40="연",SUMIFS(거래내역!$D$2:$D$5000,거래내역!$E$2:$E$5000,$A40,거래내역!$L$2:$L$5000,"&gt;="&amp;설정!$B$8,거래내역!$L$2:$L$5000,"&lt;="&amp;설정!$B$7,거래내역!$H$2:$H$5000,"본인"),SUMIFS(거래내역!$D$2:$D$5000,거래내역!$E$2:$E$5000,$A40,거래내역!$B$2:$B$5000,설정!$B$3,거래내역!$H$2:$H$5000,"본인")))</f>
        <v/>
      </c>
      <c r="K40" s="19" t="str">
        <f aca="false">IF($A40="","",IF($C40="연",SUMIFS(거래내역!$D$2:$D$5000,거래내역!$E$2:$E$5000,$A40,거래내역!$L$2:$L$5000,"&gt;="&amp;설정!$B$8,거래내역!$L$2:$L$5000,"&lt;="&amp;설정!$B$7,거래내역!$H$2:$H$5000,"배우자"),SUMIFS(거래내역!$D$2:$D$5000,거래내역!$E$2:$E$5000,$A40,거래내역!$B$2:$B$5000,설정!$B$3,거래내역!$H$2:$H$5000,"배우자")))</f>
        <v/>
      </c>
      <c r="L40" s="19" t="str">
        <f aca="false">IF($A40="","",IF($C40="연",SUMIFS(거래내역!$D$2:$D$5000,거래내역!$E$2:$E$5000,$A40,거래내역!$L$2:$L$5000,"&gt;="&amp;설정!$B$8,거래내역!$L$2:$L$5000,"&lt;="&amp;설정!$B$7,거래내역!$H$2:$H$5000,"공동"),SUMIFS(거래내역!$D$2:$D$5000,거래내역!$E$2:$E$5000,$A40,거래내역!$B$2:$B$5000,설정!$B$3,거래내역!$H$2:$H$5000,"공동")))</f>
        <v/>
      </c>
      <c r="M40" s="44" t="str">
        <f aca="false">IF(ISNUMBER(SEARCH("초과",I40)),A40&amp;" "&amp;TEXT(G40,"0%"),"")</f>
        <v/>
      </c>
    </row>
    <row r="41" customFormat="false" ht="15" hidden="false" customHeight="false" outlineLevel="0" collapsed="false">
      <c r="A41" s="34"/>
      <c r="B41" s="18" t="str">
        <f aca="false">IF(A41="","",IFERROR(INDEX(카테고리!$B$2:$B$200,MATCH(A41,카테고리!$A$2:$A$200,0)),"?"))</f>
        <v/>
      </c>
      <c r="C41" s="37"/>
      <c r="D41" s="35"/>
      <c r="E41" s="19" t="str">
        <f aca="false">IF(A41="","",IF(C41="연",D41*설정!$B$9/12,D41))</f>
        <v/>
      </c>
      <c r="F41" s="19" t="str">
        <f aca="false">IF($A41="","",IF($C41="연",SUMIFS(거래내역!$D$2:$D$5000,거래내역!$E$2:$E$5000,$A41,거래내역!$L$2:$L$5000,"&gt;="&amp;설정!$B$8,거래내역!$L$2:$L$5000,"&lt;="&amp;설정!$B$7,거래내역!$H$2:$H$5000,설정!$B$5),SUMIFS(거래내역!$D$2:$D$5000,거래내역!$E$2:$E$5000,$A41,거래내역!$B$2:$B$5000,설정!$B$3,거래내역!$H$2:$H$5000,설정!$B$5)))</f>
        <v/>
      </c>
      <c r="G41" s="43" t="str">
        <f aca="false">IF(OR(A41="",N(E41)=0),"",F41/E41)</f>
        <v/>
      </c>
      <c r="H41" s="19" t="str">
        <f aca="false">IF(A41="","",E41-F41)</f>
        <v/>
      </c>
      <c r="I41" s="61" t="str">
        <f aca="false">IF(OR(A41="",N(E41)=0),"",IF(G41&gt;1,"🔴 초과",IF(AND(G41&gt;=0.9,B41&lt;&gt;"고정비"),"⚠ 주의","✅ 양호")))</f>
        <v/>
      </c>
      <c r="J41" s="19" t="str">
        <f aca="false">IF($A41="","",IF($C41="연",SUMIFS(거래내역!$D$2:$D$5000,거래내역!$E$2:$E$5000,$A41,거래내역!$L$2:$L$5000,"&gt;="&amp;설정!$B$8,거래내역!$L$2:$L$5000,"&lt;="&amp;설정!$B$7,거래내역!$H$2:$H$5000,"본인"),SUMIFS(거래내역!$D$2:$D$5000,거래내역!$E$2:$E$5000,$A41,거래내역!$B$2:$B$5000,설정!$B$3,거래내역!$H$2:$H$5000,"본인")))</f>
        <v/>
      </c>
      <c r="K41" s="19" t="str">
        <f aca="false">IF($A41="","",IF($C41="연",SUMIFS(거래내역!$D$2:$D$5000,거래내역!$E$2:$E$5000,$A41,거래내역!$L$2:$L$5000,"&gt;="&amp;설정!$B$8,거래내역!$L$2:$L$5000,"&lt;="&amp;설정!$B$7,거래내역!$H$2:$H$5000,"배우자"),SUMIFS(거래내역!$D$2:$D$5000,거래내역!$E$2:$E$5000,$A41,거래내역!$B$2:$B$5000,설정!$B$3,거래내역!$H$2:$H$5000,"배우자")))</f>
        <v/>
      </c>
      <c r="L41" s="19" t="str">
        <f aca="false">IF($A41="","",IF($C41="연",SUMIFS(거래내역!$D$2:$D$5000,거래내역!$E$2:$E$5000,$A41,거래내역!$L$2:$L$5000,"&gt;="&amp;설정!$B$8,거래내역!$L$2:$L$5000,"&lt;="&amp;설정!$B$7,거래내역!$H$2:$H$5000,"공동"),SUMIFS(거래내역!$D$2:$D$5000,거래내역!$E$2:$E$5000,$A41,거래내역!$B$2:$B$5000,설정!$B$3,거래내역!$H$2:$H$5000,"공동")))</f>
        <v/>
      </c>
      <c r="M41" s="44" t="str">
        <f aca="false">IF(ISNUMBER(SEARCH("초과",I41)),A41&amp;" "&amp;TEXT(G41,"0%"),"")</f>
        <v/>
      </c>
    </row>
    <row r="42" customFormat="false" ht="15" hidden="false" customHeight="false" outlineLevel="0" collapsed="false">
      <c r="A42" s="34"/>
      <c r="B42" s="18" t="str">
        <f aca="false">IF(A42="","",IFERROR(INDEX(카테고리!$B$2:$B$200,MATCH(A42,카테고리!$A$2:$A$200,0)),"?"))</f>
        <v/>
      </c>
      <c r="C42" s="37"/>
      <c r="D42" s="35"/>
      <c r="E42" s="19" t="str">
        <f aca="false">IF(A42="","",IF(C42="연",D42*설정!$B$9/12,D42))</f>
        <v/>
      </c>
      <c r="F42" s="19" t="str">
        <f aca="false">IF($A42="","",IF($C42="연",SUMIFS(거래내역!$D$2:$D$5000,거래내역!$E$2:$E$5000,$A42,거래내역!$L$2:$L$5000,"&gt;="&amp;설정!$B$8,거래내역!$L$2:$L$5000,"&lt;="&amp;설정!$B$7,거래내역!$H$2:$H$5000,설정!$B$5),SUMIFS(거래내역!$D$2:$D$5000,거래내역!$E$2:$E$5000,$A42,거래내역!$B$2:$B$5000,설정!$B$3,거래내역!$H$2:$H$5000,설정!$B$5)))</f>
        <v/>
      </c>
      <c r="G42" s="43" t="str">
        <f aca="false">IF(OR(A42="",N(E42)=0),"",F42/E42)</f>
        <v/>
      </c>
      <c r="H42" s="19" t="str">
        <f aca="false">IF(A42="","",E42-F42)</f>
        <v/>
      </c>
      <c r="I42" s="61" t="str">
        <f aca="false">IF(OR(A42="",N(E42)=0),"",IF(G42&gt;1,"🔴 초과",IF(AND(G42&gt;=0.9,B42&lt;&gt;"고정비"),"⚠ 주의","✅ 양호")))</f>
        <v/>
      </c>
      <c r="J42" s="19" t="str">
        <f aca="false">IF($A42="","",IF($C42="연",SUMIFS(거래내역!$D$2:$D$5000,거래내역!$E$2:$E$5000,$A42,거래내역!$L$2:$L$5000,"&gt;="&amp;설정!$B$8,거래내역!$L$2:$L$5000,"&lt;="&amp;설정!$B$7,거래내역!$H$2:$H$5000,"본인"),SUMIFS(거래내역!$D$2:$D$5000,거래내역!$E$2:$E$5000,$A42,거래내역!$B$2:$B$5000,설정!$B$3,거래내역!$H$2:$H$5000,"본인")))</f>
        <v/>
      </c>
      <c r="K42" s="19" t="str">
        <f aca="false">IF($A42="","",IF($C42="연",SUMIFS(거래내역!$D$2:$D$5000,거래내역!$E$2:$E$5000,$A42,거래내역!$L$2:$L$5000,"&gt;="&amp;설정!$B$8,거래내역!$L$2:$L$5000,"&lt;="&amp;설정!$B$7,거래내역!$H$2:$H$5000,"배우자"),SUMIFS(거래내역!$D$2:$D$5000,거래내역!$E$2:$E$5000,$A42,거래내역!$B$2:$B$5000,설정!$B$3,거래내역!$H$2:$H$5000,"배우자")))</f>
        <v/>
      </c>
      <c r="L42" s="19" t="str">
        <f aca="false">IF($A42="","",IF($C42="연",SUMIFS(거래내역!$D$2:$D$5000,거래내역!$E$2:$E$5000,$A42,거래내역!$L$2:$L$5000,"&gt;="&amp;설정!$B$8,거래내역!$L$2:$L$5000,"&lt;="&amp;설정!$B$7,거래내역!$H$2:$H$5000,"공동"),SUMIFS(거래내역!$D$2:$D$5000,거래내역!$E$2:$E$5000,$A42,거래내역!$B$2:$B$5000,설정!$B$3,거래내역!$H$2:$H$5000,"공동")))</f>
        <v/>
      </c>
      <c r="M42" s="44" t="str">
        <f aca="false">IF(ISNUMBER(SEARCH("초과",I42)),A42&amp;" "&amp;TEXT(G42,"0%"),"")</f>
        <v/>
      </c>
    </row>
    <row r="43" customFormat="false" ht="15" hidden="false" customHeight="false" outlineLevel="0" collapsed="false">
      <c r="A43" s="34"/>
      <c r="B43" s="18" t="str">
        <f aca="false">IF(A43="","",IFERROR(INDEX(카테고리!$B$2:$B$200,MATCH(A43,카테고리!$A$2:$A$200,0)),"?"))</f>
        <v/>
      </c>
      <c r="C43" s="37"/>
      <c r="D43" s="35"/>
      <c r="E43" s="19" t="str">
        <f aca="false">IF(A43="","",IF(C43="연",D43*설정!$B$9/12,D43))</f>
        <v/>
      </c>
      <c r="F43" s="19" t="str">
        <f aca="false">IF($A43="","",IF($C43="연",SUMIFS(거래내역!$D$2:$D$5000,거래내역!$E$2:$E$5000,$A43,거래내역!$L$2:$L$5000,"&gt;="&amp;설정!$B$8,거래내역!$L$2:$L$5000,"&lt;="&amp;설정!$B$7,거래내역!$H$2:$H$5000,설정!$B$5),SUMIFS(거래내역!$D$2:$D$5000,거래내역!$E$2:$E$5000,$A43,거래내역!$B$2:$B$5000,설정!$B$3,거래내역!$H$2:$H$5000,설정!$B$5)))</f>
        <v/>
      </c>
      <c r="G43" s="43" t="str">
        <f aca="false">IF(OR(A43="",N(E43)=0),"",F43/E43)</f>
        <v/>
      </c>
      <c r="H43" s="19" t="str">
        <f aca="false">IF(A43="","",E43-F43)</f>
        <v/>
      </c>
      <c r="I43" s="61" t="str">
        <f aca="false">IF(OR(A43="",N(E43)=0),"",IF(G43&gt;1,"🔴 초과",IF(AND(G43&gt;=0.9,B43&lt;&gt;"고정비"),"⚠ 주의","✅ 양호")))</f>
        <v/>
      </c>
      <c r="J43" s="19" t="str">
        <f aca="false">IF($A43="","",IF($C43="연",SUMIFS(거래내역!$D$2:$D$5000,거래내역!$E$2:$E$5000,$A43,거래내역!$L$2:$L$5000,"&gt;="&amp;설정!$B$8,거래내역!$L$2:$L$5000,"&lt;="&amp;설정!$B$7,거래내역!$H$2:$H$5000,"본인"),SUMIFS(거래내역!$D$2:$D$5000,거래내역!$E$2:$E$5000,$A43,거래내역!$B$2:$B$5000,설정!$B$3,거래내역!$H$2:$H$5000,"본인")))</f>
        <v/>
      </c>
      <c r="K43" s="19" t="str">
        <f aca="false">IF($A43="","",IF($C43="연",SUMIFS(거래내역!$D$2:$D$5000,거래내역!$E$2:$E$5000,$A43,거래내역!$L$2:$L$5000,"&gt;="&amp;설정!$B$8,거래내역!$L$2:$L$5000,"&lt;="&amp;설정!$B$7,거래내역!$H$2:$H$5000,"배우자"),SUMIFS(거래내역!$D$2:$D$5000,거래내역!$E$2:$E$5000,$A43,거래내역!$B$2:$B$5000,설정!$B$3,거래내역!$H$2:$H$5000,"배우자")))</f>
        <v/>
      </c>
      <c r="L43" s="19" t="str">
        <f aca="false">IF($A43="","",IF($C43="연",SUMIFS(거래내역!$D$2:$D$5000,거래내역!$E$2:$E$5000,$A43,거래내역!$L$2:$L$5000,"&gt;="&amp;설정!$B$8,거래내역!$L$2:$L$5000,"&lt;="&amp;설정!$B$7,거래내역!$H$2:$H$5000,"공동"),SUMIFS(거래내역!$D$2:$D$5000,거래내역!$E$2:$E$5000,$A43,거래내역!$B$2:$B$5000,설정!$B$3,거래내역!$H$2:$H$5000,"공동")))</f>
        <v/>
      </c>
      <c r="M43" s="44" t="str">
        <f aca="false">IF(ISNUMBER(SEARCH("초과",I43)),A43&amp;" "&amp;TEXT(G43,"0%"),"")</f>
        <v/>
      </c>
    </row>
    <row r="45" customFormat="false" ht="15" hidden="false" customHeight="false" outlineLevel="0" collapsed="false">
      <c r="A45" s="45" t="s">
        <v>419</v>
      </c>
      <c r="D45" s="47" t="n">
        <f aca="false">SUMIFS(D$4:D$43,$C$4:$C$43,"월")</f>
        <v>5680000</v>
      </c>
      <c r="E45" s="47" t="n">
        <f aca="false">SUMIFS(E$4:E$43,$C$4:$C$43,"월")</f>
        <v>5680000</v>
      </c>
      <c r="F45" s="47" t="n">
        <f aca="false">SUMIFS(F$4:F$43,$C$4:$C$43,"월")</f>
        <v>5352350</v>
      </c>
      <c r="G45" s="46" t="n">
        <f aca="false">IF(E45=0,0,F45/E45)</f>
        <v>0.94231514084507</v>
      </c>
      <c r="H45" s="47" t="n">
        <f aca="false">E45-F45</f>
        <v>327650</v>
      </c>
      <c r="I45" s="63" t="str">
        <f aca="false">IF(E45=0,"",IF(G45&gt;1,"🔴 초과",IF(G45&gt;=0.9,"⚠ 주의","✅ 양호")))</f>
        <v>⚠ 주의</v>
      </c>
      <c r="J45" s="47" t="n">
        <f aca="false">SUMIFS(J$4:J$43,$C$4:$C$43,"월")</f>
        <v>1091040</v>
      </c>
      <c r="K45" s="47" t="n">
        <f aca="false">SUMIFS(K$4:K$43,$C$4:$C$43,"월")</f>
        <v>1223620</v>
      </c>
      <c r="L45" s="47" t="n">
        <f aca="false">SUMIFS(L$4:L$43,$C$4:$C$43,"월")</f>
        <v>3037690</v>
      </c>
    </row>
    <row r="46" customFormat="false" ht="15" hidden="false" customHeight="false" outlineLevel="0" collapsed="false">
      <c r="A46" s="45" t="s">
        <v>420</v>
      </c>
      <c r="D46" s="47" t="n">
        <f aca="false">SUMIFS(D$4:D$43,$C$4:$C$43,"연")</f>
        <v>9700000</v>
      </c>
      <c r="E46" s="47" t="n">
        <f aca="false">SUMIFS(E$4:E$43,$C$4:$C$43,"연")</f>
        <v>7275000</v>
      </c>
      <c r="F46" s="47" t="n">
        <f aca="false">SUMIFS(F$4:F$43,$C$4:$C$43,"연")</f>
        <v>6282000</v>
      </c>
      <c r="G46" s="46" t="n">
        <f aca="false">IF(E46=0,0,F46/E46)</f>
        <v>0.863505154639175</v>
      </c>
      <c r="H46" s="47" t="n">
        <f aca="false">E46-F46</f>
        <v>993000</v>
      </c>
      <c r="I46" s="63" t="str">
        <f aca="false">IF(E46=0,"",IF(G46&gt;1,"🔴 초과",IF(G46&gt;=0.9,"⚠ 주의","✅ 양호")))</f>
        <v>✅ 양호</v>
      </c>
      <c r="J46" s="47" t="n">
        <f aca="false">SUMIFS(J$4:J$43,$C$4:$C$43,"연")</f>
        <v>0</v>
      </c>
      <c r="K46" s="47" t="n">
        <f aca="false">SUMIFS(K$4:K$43,$C$4:$C$43,"연")</f>
        <v>100000</v>
      </c>
      <c r="L46" s="47" t="n">
        <f aca="false">SUMIFS(L$4:L$43,$C$4:$C$43,"연")</f>
        <v>6182000</v>
      </c>
    </row>
  </sheetData>
  <conditionalFormatting sqref="I4:I46">
    <cfRule type="expression" priority="2" aboveAverage="0" equalAverage="0" bottom="0" percent="0" rank="0" text="" dxfId="0">
      <formula>OR(ISNUMBER(SEARCH("초과",I4)),ISNUMBER(SEARCH("부족",I4)),ISNUMBER(SEARCH("공백",I4)))</formula>
    </cfRule>
    <cfRule type="expression" priority="3" aboveAverage="0" equalAverage="0" bottom="0" percent="0" rank="0" text="" dxfId="1">
      <formula>OR(ISNUMBER(SEARCH("주의",I4)),ISNUMBER(SEARCH("미달",I4)),ISNUMBER(SEARCH("지연",I4)),ISNUMBER(SEARCH("리밸런싱",I4)),ISNUMBER(SEARCH("감소",I4)))</formula>
    </cfRule>
    <cfRule type="expression" priority="4" aboveAverage="0" equalAverage="0" bottom="0" percent="0" rank="0" text="" dxfId="2">
      <formula>OR(ISNUMBER(SEARCH("양호",I4)),ISNUMBER(SEARCH("달성",I4)),ISNUMBER(SEARCH("순항",I4)),ISNUMBER(SEARCH("정상",I4)),ISNUMBER(SEARCH("증가",I4)),ISNUMBER(SEARCH("보장",I4)),ISNUMBER(SEARCH("적정",I4)))</formula>
    </cfRule>
  </conditionalFormatting>
  <dataValidations count="2">
    <dataValidation allowBlank="true" error="목록에서 선택하세요." errorStyle="stop" errorTitle="입력 확인" operator="between" showDropDown="false" showErrorMessage="false" showInputMessage="false" sqref="A4:A43" type="list">
      <formula1>카테고리!$A$2:$A$200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C4:C43" type="list">
      <formula1>"월,연"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1.5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3"/>
  </cols>
  <sheetData>
    <row r="1" customFormat="false" ht="20.85" hidden="false" customHeight="false" outlineLevel="0" collapsed="false">
      <c r="A1" s="39" t="s">
        <v>421</v>
      </c>
    </row>
    <row r="2" customFormat="false" ht="15" hidden="false" customHeight="false" outlineLevel="0" collapsed="false">
      <c r="A2" s="31" t="s">
        <v>422</v>
      </c>
    </row>
    <row r="3" customFormat="false" ht="26.85" hidden="false" customHeight="false" outlineLevel="0" collapsed="false">
      <c r="A3" s="30" t="s">
        <v>278</v>
      </c>
      <c r="B3" s="30" t="str">
        <f aca="false">TEXT(EDATE(DATEVALUE(설정!$B$3&amp;"-01"),-11),"yyyy-mm")</f>
        <v>2025-10</v>
      </c>
      <c r="C3" s="30" t="str">
        <f aca="false">TEXT(EDATE(DATEVALUE(설정!$B$3&amp;"-01"),-10),"yyyy-mm")</f>
        <v>2025-11</v>
      </c>
      <c r="D3" s="30" t="str">
        <f aca="false">TEXT(EDATE(DATEVALUE(설정!$B$3&amp;"-01"),-9),"yyyy-mm")</f>
        <v>2025-12</v>
      </c>
      <c r="E3" s="30" t="str">
        <f aca="false">TEXT(EDATE(DATEVALUE(설정!$B$3&amp;"-01"),-8),"yyyy-mm")</f>
        <v>2026-01</v>
      </c>
      <c r="F3" s="30" t="str">
        <f aca="false">TEXT(EDATE(DATEVALUE(설정!$B$3&amp;"-01"),-7),"yyyy-mm")</f>
        <v>2026-02</v>
      </c>
      <c r="G3" s="30" t="str">
        <f aca="false">TEXT(EDATE(DATEVALUE(설정!$B$3&amp;"-01"),-6),"yyyy-mm")</f>
        <v>2026-03</v>
      </c>
      <c r="H3" s="30" t="str">
        <f aca="false">TEXT(EDATE(DATEVALUE(설정!$B$3&amp;"-01"),-5),"yyyy-mm")</f>
        <v>2026-04</v>
      </c>
      <c r="I3" s="30" t="str">
        <f aca="false">TEXT(EDATE(DATEVALUE(설정!$B$3&amp;"-01"),-4),"yyyy-mm")</f>
        <v>2026-05</v>
      </c>
      <c r="J3" s="30" t="str">
        <f aca="false">TEXT(EDATE(DATEVALUE(설정!$B$3&amp;"-01"),-3),"yyyy-mm")</f>
        <v>2026-06</v>
      </c>
      <c r="K3" s="30" t="str">
        <f aca="false">TEXT(EDATE(DATEVALUE(설정!$B$3&amp;"-01"),-2),"yyyy-mm")</f>
        <v>2026-07</v>
      </c>
      <c r="L3" s="30" t="str">
        <f aca="false">TEXT(EDATE(DATEVALUE(설정!$B$3&amp;"-01"),-1),"yyyy-mm")</f>
        <v>2026-08</v>
      </c>
      <c r="M3" s="30" t="str">
        <f aca="false">TEXT(EDATE(DATEVALUE(설정!$B$3&amp;"-01"),0),"yyyy-mm")</f>
        <v>2026-09</v>
      </c>
      <c r="N3" s="40" t="s">
        <v>423</v>
      </c>
      <c r="O3" s="30" t="s">
        <v>424</v>
      </c>
      <c r="P3" s="30" t="s">
        <v>425</v>
      </c>
    </row>
    <row r="4" customFormat="false" ht="15" hidden="false" customHeight="false" outlineLevel="0" collapsed="false">
      <c r="A4" s="64" t="s">
        <v>426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</row>
    <row r="5" customFormat="false" ht="15" hidden="false" customHeight="false" outlineLevel="0" collapsed="false">
      <c r="A5" s="41" t="s">
        <v>427</v>
      </c>
      <c r="B5" s="19" t="n">
        <f aca="false">SUMIFS(거래내역!$D$2:$D$5000,거래내역!$B$2:$B$5000,B$3,거래내역!$E$2:$E$5000,"급여",거래내역!$H$2:$H$5000,설정!$B$5)</f>
        <v>8470000</v>
      </c>
      <c r="C5" s="19" t="n">
        <f aca="false">SUMIFS(거래내역!$D$2:$D$5000,거래내역!$B$2:$B$5000,C$3,거래내역!$E$2:$E$5000,"급여",거래내역!$H$2:$H$5000,설정!$B$5)</f>
        <v>8470000</v>
      </c>
      <c r="D5" s="19" t="n">
        <f aca="false">SUMIFS(거래내역!$D$2:$D$5000,거래내역!$B$2:$B$5000,D$3,거래내역!$E$2:$E$5000,"급여",거래내역!$H$2:$H$5000,설정!$B$5)</f>
        <v>8470000</v>
      </c>
      <c r="E5" s="19" t="n">
        <f aca="false">SUMIFS(거래내역!$D$2:$D$5000,거래내역!$B$2:$B$5000,E$3,거래내역!$E$2:$E$5000,"급여",거래내역!$H$2:$H$5000,설정!$B$5)</f>
        <v>8470000</v>
      </c>
      <c r="F5" s="19" t="n">
        <f aca="false">SUMIFS(거래내역!$D$2:$D$5000,거래내역!$B$2:$B$5000,F$3,거래내역!$E$2:$E$5000,"급여",거래내역!$H$2:$H$5000,설정!$B$5)</f>
        <v>8470000</v>
      </c>
      <c r="G5" s="19" t="n">
        <f aca="false">SUMIFS(거래내역!$D$2:$D$5000,거래내역!$B$2:$B$5000,G$3,거래내역!$E$2:$E$5000,"급여",거래내역!$H$2:$H$5000,설정!$B$5)</f>
        <v>8470000</v>
      </c>
      <c r="H5" s="19" t="n">
        <f aca="false">SUMIFS(거래내역!$D$2:$D$5000,거래내역!$B$2:$B$5000,H$3,거래내역!$E$2:$E$5000,"급여",거래내역!$H$2:$H$5000,설정!$B$5)</f>
        <v>8470000</v>
      </c>
      <c r="I5" s="19" t="n">
        <f aca="false">SUMIFS(거래내역!$D$2:$D$5000,거래내역!$B$2:$B$5000,I$3,거래내역!$E$2:$E$5000,"급여",거래내역!$H$2:$H$5000,설정!$B$5)</f>
        <v>8470000</v>
      </c>
      <c r="J5" s="19" t="n">
        <f aca="false">SUMIFS(거래내역!$D$2:$D$5000,거래내역!$B$2:$B$5000,J$3,거래내역!$E$2:$E$5000,"급여",거래내역!$H$2:$H$5000,설정!$B$5)</f>
        <v>8470000</v>
      </c>
      <c r="K5" s="19" t="n">
        <f aca="false">SUMIFS(거래내역!$D$2:$D$5000,거래내역!$B$2:$B$5000,K$3,거래내역!$E$2:$E$5000,"급여",거래내역!$H$2:$H$5000,설정!$B$5)</f>
        <v>8470000</v>
      </c>
      <c r="L5" s="19" t="n">
        <f aca="false">SUMIFS(거래내역!$D$2:$D$5000,거래내역!$B$2:$B$5000,L$3,거래내역!$E$2:$E$5000,"급여",거래내역!$H$2:$H$5000,설정!$B$5)</f>
        <v>8470000</v>
      </c>
      <c r="M5" s="19" t="n">
        <f aca="false">SUMIFS(거래내역!$D$2:$D$5000,거래내역!$B$2:$B$5000,M$3,거래내역!$E$2:$E$5000,"급여",거래내역!$H$2:$H$5000,설정!$B$5)</f>
        <v>8470000</v>
      </c>
      <c r="N5" s="19" t="n">
        <f aca="false">SUM(B5:M5)</f>
        <v>101640000</v>
      </c>
      <c r="O5" s="19" t="n">
        <f aca="false">N5/12</f>
        <v>8470000</v>
      </c>
      <c r="P5" s="19" t="n">
        <f aca="false">AVERAGE(K5:M5)</f>
        <v>8470000</v>
      </c>
    </row>
    <row r="6" customFormat="false" ht="15" hidden="false" customHeight="false" outlineLevel="0" collapsed="false">
      <c r="A6" s="41" t="s">
        <v>428</v>
      </c>
      <c r="B6" s="19" t="n">
        <f aca="false">SUMIFS(거래내역!$D$2:$D$5000,거래내역!$B$2:$B$5000,B$3,거래내역!$E$2:$E$5000,"상여",거래내역!$H$2:$H$5000,설정!$B$5)</f>
        <v>0</v>
      </c>
      <c r="C6" s="19" t="n">
        <f aca="false">SUMIFS(거래내역!$D$2:$D$5000,거래내역!$B$2:$B$5000,C$3,거래내역!$E$2:$E$5000,"상여",거래내역!$H$2:$H$5000,설정!$B$5)</f>
        <v>0</v>
      </c>
      <c r="D6" s="19" t="n">
        <f aca="false">SUMIFS(거래내역!$D$2:$D$5000,거래내역!$B$2:$B$5000,D$3,거래내역!$E$2:$E$5000,"상여",거래내역!$H$2:$H$5000,설정!$B$5)</f>
        <v>1500000</v>
      </c>
      <c r="E6" s="19" t="n">
        <f aca="false">SUMIFS(거래내역!$D$2:$D$5000,거래내역!$B$2:$B$5000,E$3,거래내역!$E$2:$E$5000,"상여",거래내역!$H$2:$H$5000,설정!$B$5)</f>
        <v>3000000</v>
      </c>
      <c r="F6" s="19" t="n">
        <f aca="false">SUMIFS(거래내역!$D$2:$D$5000,거래내역!$B$2:$B$5000,F$3,거래내역!$E$2:$E$5000,"상여",거래내역!$H$2:$H$5000,설정!$B$5)</f>
        <v>0</v>
      </c>
      <c r="G6" s="19" t="n">
        <f aca="false">SUMIFS(거래내역!$D$2:$D$5000,거래내역!$B$2:$B$5000,G$3,거래내역!$E$2:$E$5000,"상여",거래내역!$H$2:$H$5000,설정!$B$5)</f>
        <v>0</v>
      </c>
      <c r="H6" s="19" t="n">
        <f aca="false">SUMIFS(거래내역!$D$2:$D$5000,거래내역!$B$2:$B$5000,H$3,거래내역!$E$2:$E$5000,"상여",거래내역!$H$2:$H$5000,설정!$B$5)</f>
        <v>0</v>
      </c>
      <c r="I6" s="19" t="n">
        <f aca="false">SUMIFS(거래내역!$D$2:$D$5000,거래내역!$B$2:$B$5000,I$3,거래내역!$E$2:$E$5000,"상여",거래내역!$H$2:$H$5000,설정!$B$5)</f>
        <v>0</v>
      </c>
      <c r="J6" s="19" t="n">
        <f aca="false">SUMIFS(거래내역!$D$2:$D$5000,거래내역!$B$2:$B$5000,J$3,거래내역!$E$2:$E$5000,"상여",거래내역!$H$2:$H$5000,설정!$B$5)</f>
        <v>0</v>
      </c>
      <c r="K6" s="19" t="n">
        <f aca="false">SUMIFS(거래내역!$D$2:$D$5000,거래내역!$B$2:$B$5000,K$3,거래내역!$E$2:$E$5000,"상여",거래내역!$H$2:$H$5000,설정!$B$5)</f>
        <v>3000000</v>
      </c>
      <c r="L6" s="19" t="n">
        <f aca="false">SUMIFS(거래내역!$D$2:$D$5000,거래내역!$B$2:$B$5000,L$3,거래내역!$E$2:$E$5000,"상여",거래내역!$H$2:$H$5000,설정!$B$5)</f>
        <v>0</v>
      </c>
      <c r="M6" s="19" t="n">
        <f aca="false">SUMIFS(거래내역!$D$2:$D$5000,거래내역!$B$2:$B$5000,M$3,거래내역!$E$2:$E$5000,"상여",거래내역!$H$2:$H$5000,설정!$B$5)</f>
        <v>0</v>
      </c>
      <c r="N6" s="19" t="n">
        <f aca="false">SUM(B6:M6)</f>
        <v>7500000</v>
      </c>
      <c r="O6" s="19" t="n">
        <f aca="false">N6/12</f>
        <v>625000</v>
      </c>
      <c r="P6" s="19" t="n">
        <f aca="false">AVERAGE(K6:M6)</f>
        <v>1000000</v>
      </c>
    </row>
    <row r="7" customFormat="false" ht="15" hidden="false" customHeight="false" outlineLevel="0" collapsed="false">
      <c r="A7" s="41" t="s">
        <v>429</v>
      </c>
      <c r="B7" s="19" t="n">
        <f aca="false">SUMIFS(거래내역!$D$2:$D$5000,거래내역!$B$2:$B$5000,B$3,거래내역!$E$2:$E$5000,"이자배당",거래내역!$H$2:$H$5000,설정!$B$5)</f>
        <v>14000</v>
      </c>
      <c r="C7" s="19" t="n">
        <f aca="false">SUMIFS(거래내역!$D$2:$D$5000,거래내역!$B$2:$B$5000,C$3,거래내역!$E$2:$E$5000,"이자배당",거래내역!$H$2:$H$5000,설정!$B$5)</f>
        <v>15500</v>
      </c>
      <c r="D7" s="19" t="n">
        <f aca="false">SUMIFS(거래내역!$D$2:$D$5000,거래내역!$B$2:$B$5000,D$3,거래내역!$E$2:$E$5000,"이자배당",거래내역!$H$2:$H$5000,설정!$B$5)</f>
        <v>119000</v>
      </c>
      <c r="E7" s="19" t="n">
        <f aca="false">SUMIFS(거래내역!$D$2:$D$5000,거래내역!$B$2:$B$5000,E$3,거래내역!$E$2:$E$5000,"이자배당",거래내역!$H$2:$H$5000,설정!$B$5)</f>
        <v>18500</v>
      </c>
      <c r="F7" s="19" t="n">
        <f aca="false">SUMIFS(거래내역!$D$2:$D$5000,거래내역!$B$2:$B$5000,F$3,거래내역!$E$2:$E$5000,"이자배당",거래내역!$H$2:$H$5000,설정!$B$5)</f>
        <v>20000</v>
      </c>
      <c r="G7" s="19" t="n">
        <f aca="false">SUMIFS(거래내역!$D$2:$D$5000,거래내역!$B$2:$B$5000,G$3,거래내역!$E$2:$E$5000,"이자배당",거래내역!$H$2:$H$5000,설정!$B$5)</f>
        <v>141500</v>
      </c>
      <c r="H7" s="19" t="n">
        <f aca="false">SUMIFS(거래내역!$D$2:$D$5000,거래내역!$B$2:$B$5000,H$3,거래내역!$E$2:$E$5000,"이자배당",거래내역!$H$2:$H$5000,설정!$B$5)</f>
        <v>23000</v>
      </c>
      <c r="I7" s="19" t="n">
        <f aca="false">SUMIFS(거래내역!$D$2:$D$5000,거래내역!$B$2:$B$5000,I$3,거래내역!$E$2:$E$5000,"이자배당",거래내역!$H$2:$H$5000,설정!$B$5)</f>
        <v>24500</v>
      </c>
      <c r="J7" s="19" t="n">
        <f aca="false">SUMIFS(거래내역!$D$2:$D$5000,거래내역!$B$2:$B$5000,J$3,거래내역!$E$2:$E$5000,"이자배당",거래내역!$H$2:$H$5000,설정!$B$5)</f>
        <v>164000</v>
      </c>
      <c r="K7" s="19" t="n">
        <f aca="false">SUMIFS(거래내역!$D$2:$D$5000,거래내역!$B$2:$B$5000,K$3,거래내역!$E$2:$E$5000,"이자배당",거래내역!$H$2:$H$5000,설정!$B$5)</f>
        <v>27500</v>
      </c>
      <c r="L7" s="19" t="n">
        <f aca="false">SUMIFS(거래내역!$D$2:$D$5000,거래내역!$B$2:$B$5000,L$3,거래내역!$E$2:$E$5000,"이자배당",거래내역!$H$2:$H$5000,설정!$B$5)</f>
        <v>29000</v>
      </c>
      <c r="M7" s="19" t="n">
        <f aca="false">SUMIFS(거래내역!$D$2:$D$5000,거래내역!$B$2:$B$5000,M$3,거래내역!$E$2:$E$5000,"이자배당",거래내역!$H$2:$H$5000,설정!$B$5)</f>
        <v>186500</v>
      </c>
      <c r="N7" s="19" t="n">
        <f aca="false">SUM(B7:M7)</f>
        <v>783000</v>
      </c>
      <c r="O7" s="19" t="n">
        <f aca="false">N7/12</f>
        <v>65250</v>
      </c>
      <c r="P7" s="19" t="n">
        <f aca="false">AVERAGE(K7:M7)</f>
        <v>81000</v>
      </c>
    </row>
    <row r="8" customFormat="false" ht="15" hidden="false" customHeight="false" outlineLevel="0" collapsed="false">
      <c r="A8" s="41" t="s">
        <v>430</v>
      </c>
      <c r="B8" s="19" t="n">
        <f aca="false">SUMIFS(거래내역!$D$2:$D$5000,거래내역!$B$2:$B$5000,B$3,거래내역!$E$2:$E$5000,"부수입",거래내역!$H$2:$H$5000,설정!$B$5)</f>
        <v>0</v>
      </c>
      <c r="C8" s="19" t="n">
        <f aca="false">SUMIFS(거래내역!$D$2:$D$5000,거래내역!$B$2:$B$5000,C$3,거래내역!$E$2:$E$5000,"부수입",거래내역!$H$2:$H$5000,설정!$B$5)</f>
        <v>300000</v>
      </c>
      <c r="D8" s="19" t="n">
        <f aca="false">SUMIFS(거래내역!$D$2:$D$5000,거래내역!$B$2:$B$5000,D$3,거래내역!$E$2:$E$5000,"부수입",거래내역!$H$2:$H$5000,설정!$B$5)</f>
        <v>0</v>
      </c>
      <c r="E8" s="19" t="n">
        <f aca="false">SUMIFS(거래내역!$D$2:$D$5000,거래내역!$B$2:$B$5000,E$3,거래내역!$E$2:$E$5000,"부수입",거래내역!$H$2:$H$5000,설정!$B$5)</f>
        <v>0</v>
      </c>
      <c r="F8" s="19" t="n">
        <f aca="false">SUMIFS(거래내역!$D$2:$D$5000,거래내역!$B$2:$B$5000,F$3,거래내역!$E$2:$E$5000,"부수입",거래내역!$H$2:$H$5000,설정!$B$5)</f>
        <v>300000</v>
      </c>
      <c r="G8" s="19" t="n">
        <f aca="false">SUMIFS(거래내역!$D$2:$D$5000,거래내역!$B$2:$B$5000,G$3,거래내역!$E$2:$E$5000,"부수입",거래내역!$H$2:$H$5000,설정!$B$5)</f>
        <v>0</v>
      </c>
      <c r="H8" s="19" t="n">
        <f aca="false">SUMIFS(거래내역!$D$2:$D$5000,거래내역!$B$2:$B$5000,H$3,거래내역!$E$2:$E$5000,"부수입",거래내역!$H$2:$H$5000,설정!$B$5)</f>
        <v>0</v>
      </c>
      <c r="I8" s="19" t="n">
        <f aca="false">SUMIFS(거래내역!$D$2:$D$5000,거래내역!$B$2:$B$5000,I$3,거래내역!$E$2:$E$5000,"부수입",거래내역!$H$2:$H$5000,설정!$B$5)</f>
        <v>300000</v>
      </c>
      <c r="J8" s="19" t="n">
        <f aca="false">SUMIFS(거래내역!$D$2:$D$5000,거래내역!$B$2:$B$5000,J$3,거래내역!$E$2:$E$5000,"부수입",거래내역!$H$2:$H$5000,설정!$B$5)</f>
        <v>0</v>
      </c>
      <c r="K8" s="19" t="n">
        <f aca="false">SUMIFS(거래내역!$D$2:$D$5000,거래내역!$B$2:$B$5000,K$3,거래내역!$E$2:$E$5000,"부수입",거래내역!$H$2:$H$5000,설정!$B$5)</f>
        <v>0</v>
      </c>
      <c r="L8" s="19" t="n">
        <f aca="false">SUMIFS(거래내역!$D$2:$D$5000,거래내역!$B$2:$B$5000,L$3,거래내역!$E$2:$E$5000,"부수입",거래내역!$H$2:$H$5000,설정!$B$5)</f>
        <v>300000</v>
      </c>
      <c r="M8" s="19" t="n">
        <f aca="false">SUMIFS(거래내역!$D$2:$D$5000,거래내역!$B$2:$B$5000,M$3,거래내역!$E$2:$E$5000,"부수입",거래내역!$H$2:$H$5000,설정!$B$5)</f>
        <v>0</v>
      </c>
      <c r="N8" s="19" t="n">
        <f aca="false">SUM(B8:M8)</f>
        <v>1200000</v>
      </c>
      <c r="O8" s="19" t="n">
        <f aca="false">N8/12</f>
        <v>100000</v>
      </c>
      <c r="P8" s="19" t="n">
        <f aca="false">AVERAGE(K8:M8)</f>
        <v>100000</v>
      </c>
    </row>
    <row r="9" customFormat="false" ht="15" hidden="false" customHeight="false" outlineLevel="0" collapsed="false">
      <c r="A9" s="45" t="s">
        <v>431</v>
      </c>
      <c r="B9" s="47" t="n">
        <f aca="false">SUMIFS(거래내역!$D$2:$D$5000,거래내역!$B$2:$B$5000,B$3,거래내역!$F$2:$F$5000,"소득",거래내역!$H$2:$H$5000,설정!$B$5)</f>
        <v>8484000</v>
      </c>
      <c r="C9" s="47" t="n">
        <f aca="false">SUMIFS(거래내역!$D$2:$D$5000,거래내역!$B$2:$B$5000,C$3,거래내역!$F$2:$F$5000,"소득",거래내역!$H$2:$H$5000,설정!$B$5)</f>
        <v>8785500</v>
      </c>
      <c r="D9" s="47" t="n">
        <f aca="false">SUMIFS(거래내역!$D$2:$D$5000,거래내역!$B$2:$B$5000,D$3,거래내역!$F$2:$F$5000,"소득",거래내역!$H$2:$H$5000,설정!$B$5)</f>
        <v>10089000</v>
      </c>
      <c r="E9" s="47" t="n">
        <f aca="false">SUMIFS(거래내역!$D$2:$D$5000,거래내역!$B$2:$B$5000,E$3,거래내역!$F$2:$F$5000,"소득",거래내역!$H$2:$H$5000,설정!$B$5)</f>
        <v>11488500</v>
      </c>
      <c r="F9" s="47" t="n">
        <f aca="false">SUMIFS(거래내역!$D$2:$D$5000,거래내역!$B$2:$B$5000,F$3,거래내역!$F$2:$F$5000,"소득",거래내역!$H$2:$H$5000,설정!$B$5)</f>
        <v>8790000</v>
      </c>
      <c r="G9" s="47" t="n">
        <f aca="false">SUMIFS(거래내역!$D$2:$D$5000,거래내역!$B$2:$B$5000,G$3,거래내역!$F$2:$F$5000,"소득",거래내역!$H$2:$H$5000,설정!$B$5)</f>
        <v>8611500</v>
      </c>
      <c r="H9" s="47" t="n">
        <f aca="false">SUMIFS(거래내역!$D$2:$D$5000,거래내역!$B$2:$B$5000,H$3,거래내역!$F$2:$F$5000,"소득",거래내역!$H$2:$H$5000,설정!$B$5)</f>
        <v>8493000</v>
      </c>
      <c r="I9" s="47" t="n">
        <f aca="false">SUMIFS(거래내역!$D$2:$D$5000,거래내역!$B$2:$B$5000,I$3,거래내역!$F$2:$F$5000,"소득",거래내역!$H$2:$H$5000,설정!$B$5)</f>
        <v>8794500</v>
      </c>
      <c r="J9" s="47" t="n">
        <f aca="false">SUMIFS(거래내역!$D$2:$D$5000,거래내역!$B$2:$B$5000,J$3,거래내역!$F$2:$F$5000,"소득",거래내역!$H$2:$H$5000,설정!$B$5)</f>
        <v>8634000</v>
      </c>
      <c r="K9" s="47" t="n">
        <f aca="false">SUMIFS(거래내역!$D$2:$D$5000,거래내역!$B$2:$B$5000,K$3,거래내역!$F$2:$F$5000,"소득",거래내역!$H$2:$H$5000,설정!$B$5)</f>
        <v>11497500</v>
      </c>
      <c r="L9" s="47" t="n">
        <f aca="false">SUMIFS(거래내역!$D$2:$D$5000,거래내역!$B$2:$B$5000,L$3,거래내역!$F$2:$F$5000,"소득",거래내역!$H$2:$H$5000,설정!$B$5)</f>
        <v>8799000</v>
      </c>
      <c r="M9" s="47" t="n">
        <f aca="false">SUMIFS(거래내역!$D$2:$D$5000,거래내역!$B$2:$B$5000,M$3,거래내역!$F$2:$F$5000,"소득",거래내역!$H$2:$H$5000,설정!$B$5)</f>
        <v>8656500</v>
      </c>
      <c r="N9" s="47" t="n">
        <f aca="false">SUM(B9:M9)</f>
        <v>111123000</v>
      </c>
      <c r="O9" s="47" t="n">
        <f aca="false">N9/12</f>
        <v>9260250</v>
      </c>
      <c r="P9" s="47" t="n">
        <f aca="false">AVERAGE(K9:M9)</f>
        <v>9651000</v>
      </c>
    </row>
    <row r="10" customFormat="false" ht="15" hidden="false" customHeight="false" outlineLevel="0" collapsed="false">
      <c r="A10" s="64" t="s">
        <v>432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customFormat="false" ht="15" hidden="false" customHeight="false" outlineLevel="0" collapsed="false">
      <c r="A11" s="41" t="s">
        <v>433</v>
      </c>
      <c r="B11" s="19" t="n">
        <f aca="false">SUMIFS(거래내역!$D$2:$D$5000,거래내역!$B$2:$B$5000,B$3,거래내역!$E$2:$E$5000,"주거관리비",거래내역!$H$2:$H$5000,설정!$B$5)</f>
        <v>275950</v>
      </c>
      <c r="C11" s="19" t="n">
        <f aca="false">SUMIFS(거래내역!$D$2:$D$5000,거래내역!$B$2:$B$5000,C$3,거래내역!$E$2:$E$5000,"주거관리비",거래내역!$H$2:$H$5000,설정!$B$5)</f>
        <v>268140</v>
      </c>
      <c r="D11" s="19" t="n">
        <f aca="false">SUMIFS(거래내역!$D$2:$D$5000,거래내역!$B$2:$B$5000,D$3,거래내역!$E$2:$E$5000,"주거관리비",거래내역!$H$2:$H$5000,설정!$B$5)</f>
        <v>318960</v>
      </c>
      <c r="E11" s="19" t="n">
        <f aca="false">SUMIFS(거래내역!$D$2:$D$5000,거래내역!$B$2:$B$5000,E$3,거래내역!$E$2:$E$5000,"주거관리비",거래내역!$H$2:$H$5000,설정!$B$5)</f>
        <v>322710</v>
      </c>
      <c r="F11" s="19" t="n">
        <f aca="false">SUMIFS(거래내역!$D$2:$D$5000,거래내역!$B$2:$B$5000,F$3,거래내역!$E$2:$E$5000,"주거관리비",거래내역!$H$2:$H$5000,설정!$B$5)</f>
        <v>339560</v>
      </c>
      <c r="G11" s="19" t="n">
        <f aca="false">SUMIFS(거래내역!$D$2:$D$5000,거래내역!$B$2:$B$5000,G$3,거래내역!$E$2:$E$5000,"주거관리비",거래내역!$H$2:$H$5000,설정!$B$5)</f>
        <v>264860</v>
      </c>
      <c r="H11" s="19" t="n">
        <f aca="false">SUMIFS(거래내역!$D$2:$D$5000,거래내역!$B$2:$B$5000,H$3,거래내역!$E$2:$E$5000,"주거관리비",거래내역!$H$2:$H$5000,설정!$B$5)</f>
        <v>257100</v>
      </c>
      <c r="I11" s="19" t="n">
        <f aca="false">SUMIFS(거래내역!$D$2:$D$5000,거래내역!$B$2:$B$5000,I$3,거래내역!$E$2:$E$5000,"주거관리비",거래내역!$H$2:$H$5000,설정!$B$5)</f>
        <v>284750</v>
      </c>
      <c r="J11" s="19" t="n">
        <f aca="false">SUMIFS(거래내역!$D$2:$D$5000,거래내역!$B$2:$B$5000,J$3,거래내역!$E$2:$E$5000,"주거관리비",거래내역!$H$2:$H$5000,설정!$B$5)</f>
        <v>268940</v>
      </c>
      <c r="K11" s="19" t="n">
        <f aca="false">SUMIFS(거래내역!$D$2:$D$5000,거래내역!$B$2:$B$5000,K$3,거래내역!$E$2:$E$5000,"주거관리비",거래내역!$H$2:$H$5000,설정!$B$5)</f>
        <v>269880</v>
      </c>
      <c r="L11" s="19" t="n">
        <f aca="false">SUMIFS(거래내역!$D$2:$D$5000,거래내역!$B$2:$B$5000,L$3,거래내역!$E$2:$E$5000,"주거관리비",거래내역!$H$2:$H$5000,설정!$B$5)</f>
        <v>258050</v>
      </c>
      <c r="M11" s="19" t="n">
        <f aca="false">SUMIFS(거래내역!$D$2:$D$5000,거래내역!$B$2:$B$5000,M$3,거래내역!$E$2:$E$5000,"주거관리비",거래내역!$H$2:$H$5000,설정!$B$5)</f>
        <v>262690</v>
      </c>
      <c r="N11" s="19" t="n">
        <f aca="false">SUM(B11:M11)</f>
        <v>3391590</v>
      </c>
      <c r="O11" s="19" t="n">
        <f aca="false">N11/12</f>
        <v>282632.5</v>
      </c>
      <c r="P11" s="19" t="n">
        <f aca="false">AVERAGE(K11:M11)</f>
        <v>263540</v>
      </c>
    </row>
    <row r="12" customFormat="false" ht="15" hidden="false" customHeight="false" outlineLevel="0" collapsed="false">
      <c r="A12" s="41" t="s">
        <v>434</v>
      </c>
      <c r="B12" s="19" t="n">
        <f aca="false">SUMIFS(거래내역!$D$2:$D$5000,거래내역!$B$2:$B$5000,B$3,거래내역!$E$2:$E$5000,"대출이자",거래내역!$H$2:$H$5000,설정!$B$5)</f>
        <v>1087000</v>
      </c>
      <c r="C12" s="19" t="n">
        <f aca="false">SUMIFS(거래내역!$D$2:$D$5000,거래내역!$B$2:$B$5000,C$3,거래내역!$E$2:$E$5000,"대출이자",거래내역!$H$2:$H$5000,설정!$B$5)</f>
        <v>1083700</v>
      </c>
      <c r="D12" s="19" t="n">
        <f aca="false">SUMIFS(거래내역!$D$2:$D$5000,거래내역!$B$2:$B$5000,D$3,거래내역!$E$2:$E$5000,"대출이자",거래내역!$H$2:$H$5000,설정!$B$5)</f>
        <v>1080400</v>
      </c>
      <c r="E12" s="19" t="n">
        <f aca="false">SUMIFS(거래내역!$D$2:$D$5000,거래내역!$B$2:$B$5000,E$3,거래내역!$E$2:$E$5000,"대출이자",거래내역!$H$2:$H$5000,설정!$B$5)</f>
        <v>1077100</v>
      </c>
      <c r="F12" s="19" t="n">
        <f aca="false">SUMIFS(거래내역!$D$2:$D$5000,거래내역!$B$2:$B$5000,F$3,거래내역!$E$2:$E$5000,"대출이자",거래내역!$H$2:$H$5000,설정!$B$5)</f>
        <v>1073800</v>
      </c>
      <c r="G12" s="19" t="n">
        <f aca="false">SUMIFS(거래내역!$D$2:$D$5000,거래내역!$B$2:$B$5000,G$3,거래내역!$E$2:$E$5000,"대출이자",거래내역!$H$2:$H$5000,설정!$B$5)</f>
        <v>1070500</v>
      </c>
      <c r="H12" s="19" t="n">
        <f aca="false">SUMIFS(거래내역!$D$2:$D$5000,거래내역!$B$2:$B$5000,H$3,거래내역!$E$2:$E$5000,"대출이자",거래내역!$H$2:$H$5000,설정!$B$5)</f>
        <v>1067200</v>
      </c>
      <c r="I12" s="19" t="n">
        <f aca="false">SUMIFS(거래내역!$D$2:$D$5000,거래내역!$B$2:$B$5000,I$3,거래내역!$E$2:$E$5000,"대출이자",거래내역!$H$2:$H$5000,설정!$B$5)</f>
        <v>1063900</v>
      </c>
      <c r="J12" s="19" t="n">
        <f aca="false">SUMIFS(거래내역!$D$2:$D$5000,거래내역!$B$2:$B$5000,J$3,거래내역!$E$2:$E$5000,"대출이자",거래내역!$H$2:$H$5000,설정!$B$5)</f>
        <v>1060600</v>
      </c>
      <c r="K12" s="19" t="n">
        <f aca="false">SUMIFS(거래내역!$D$2:$D$5000,거래내역!$B$2:$B$5000,K$3,거래내역!$E$2:$E$5000,"대출이자",거래내역!$H$2:$H$5000,설정!$B$5)</f>
        <v>1057300</v>
      </c>
      <c r="L12" s="19" t="n">
        <f aca="false">SUMIFS(거래내역!$D$2:$D$5000,거래내역!$B$2:$B$5000,L$3,거래내역!$E$2:$E$5000,"대출이자",거래내역!$H$2:$H$5000,설정!$B$5)</f>
        <v>1054000</v>
      </c>
      <c r="M12" s="19" t="n">
        <f aca="false">SUMIFS(거래내역!$D$2:$D$5000,거래내역!$B$2:$B$5000,M$3,거래내역!$E$2:$E$5000,"대출이자",거래내역!$H$2:$H$5000,설정!$B$5)</f>
        <v>1050700</v>
      </c>
      <c r="N12" s="19" t="n">
        <f aca="false">SUM(B12:M12)</f>
        <v>12826200</v>
      </c>
      <c r="O12" s="19" t="n">
        <f aca="false">N12/12</f>
        <v>1068850</v>
      </c>
      <c r="P12" s="19" t="n">
        <f aca="false">AVERAGE(K12:M12)</f>
        <v>1054000</v>
      </c>
    </row>
    <row r="13" customFormat="false" ht="15" hidden="false" customHeight="false" outlineLevel="0" collapsed="false">
      <c r="A13" s="41" t="s">
        <v>435</v>
      </c>
      <c r="B13" s="19" t="n">
        <f aca="false">SUMIFS(거래내역!$D$2:$D$5000,거래내역!$B$2:$B$5000,B$3,거래내역!$E$2:$E$5000,"보험료",거래내역!$H$2:$H$5000,설정!$B$5)</f>
        <v>388000</v>
      </c>
      <c r="C13" s="19" t="n">
        <f aca="false">SUMIFS(거래내역!$D$2:$D$5000,거래내역!$B$2:$B$5000,C$3,거래내역!$E$2:$E$5000,"보험료",거래내역!$H$2:$H$5000,설정!$B$5)</f>
        <v>388000</v>
      </c>
      <c r="D13" s="19" t="n">
        <f aca="false">SUMIFS(거래내역!$D$2:$D$5000,거래내역!$B$2:$B$5000,D$3,거래내역!$E$2:$E$5000,"보험료",거래내역!$H$2:$H$5000,설정!$B$5)</f>
        <v>388000</v>
      </c>
      <c r="E13" s="19" t="n">
        <f aca="false">SUMIFS(거래내역!$D$2:$D$5000,거래내역!$B$2:$B$5000,E$3,거래내역!$E$2:$E$5000,"보험료",거래내역!$H$2:$H$5000,설정!$B$5)</f>
        <v>388000</v>
      </c>
      <c r="F13" s="19" t="n">
        <f aca="false">SUMIFS(거래내역!$D$2:$D$5000,거래내역!$B$2:$B$5000,F$3,거래내역!$E$2:$E$5000,"보험료",거래내역!$H$2:$H$5000,설정!$B$5)</f>
        <v>388000</v>
      </c>
      <c r="G13" s="19" t="n">
        <f aca="false">SUMIFS(거래내역!$D$2:$D$5000,거래내역!$B$2:$B$5000,G$3,거래내역!$E$2:$E$5000,"보험료",거래내역!$H$2:$H$5000,설정!$B$5)</f>
        <v>388000</v>
      </c>
      <c r="H13" s="19" t="n">
        <f aca="false">SUMIFS(거래내역!$D$2:$D$5000,거래내역!$B$2:$B$5000,H$3,거래내역!$E$2:$E$5000,"보험료",거래내역!$H$2:$H$5000,설정!$B$5)</f>
        <v>388000</v>
      </c>
      <c r="I13" s="19" t="n">
        <f aca="false">SUMIFS(거래내역!$D$2:$D$5000,거래내역!$B$2:$B$5000,I$3,거래내역!$E$2:$E$5000,"보험료",거래내역!$H$2:$H$5000,설정!$B$5)</f>
        <v>388000</v>
      </c>
      <c r="J13" s="19" t="n">
        <f aca="false">SUMIFS(거래내역!$D$2:$D$5000,거래내역!$B$2:$B$5000,J$3,거래내역!$E$2:$E$5000,"보험료",거래내역!$H$2:$H$5000,설정!$B$5)</f>
        <v>388000</v>
      </c>
      <c r="K13" s="19" t="n">
        <f aca="false">SUMIFS(거래내역!$D$2:$D$5000,거래내역!$B$2:$B$5000,K$3,거래내역!$E$2:$E$5000,"보험료",거래내역!$H$2:$H$5000,설정!$B$5)</f>
        <v>388000</v>
      </c>
      <c r="L13" s="19" t="n">
        <f aca="false">SUMIFS(거래내역!$D$2:$D$5000,거래내역!$B$2:$B$5000,L$3,거래내역!$E$2:$E$5000,"보험료",거래내역!$H$2:$H$5000,설정!$B$5)</f>
        <v>388000</v>
      </c>
      <c r="M13" s="19" t="n">
        <f aca="false">SUMIFS(거래내역!$D$2:$D$5000,거래내역!$B$2:$B$5000,M$3,거래내역!$E$2:$E$5000,"보험료",거래내역!$H$2:$H$5000,설정!$B$5)</f>
        <v>388000</v>
      </c>
      <c r="N13" s="19" t="n">
        <f aca="false">SUM(B13:M13)</f>
        <v>4656000</v>
      </c>
      <c r="O13" s="19" t="n">
        <f aca="false">N13/12</f>
        <v>388000</v>
      </c>
      <c r="P13" s="19" t="n">
        <f aca="false">AVERAGE(K13:M13)</f>
        <v>388000</v>
      </c>
    </row>
    <row r="14" customFormat="false" ht="15" hidden="false" customHeight="false" outlineLevel="0" collapsed="false">
      <c r="A14" s="41" t="s">
        <v>436</v>
      </c>
      <c r="B14" s="19" t="n">
        <f aca="false">SUMIFS(거래내역!$D$2:$D$5000,거래내역!$B$2:$B$5000,B$3,거래내역!$E$2:$E$5000,"통신비",거래내역!$H$2:$H$5000,설정!$B$5)</f>
        <v>155000</v>
      </c>
      <c r="C14" s="19" t="n">
        <f aca="false">SUMIFS(거래내역!$D$2:$D$5000,거래내역!$B$2:$B$5000,C$3,거래내역!$E$2:$E$5000,"통신비",거래내역!$H$2:$H$5000,설정!$B$5)</f>
        <v>155000</v>
      </c>
      <c r="D14" s="19" t="n">
        <f aca="false">SUMIFS(거래내역!$D$2:$D$5000,거래내역!$B$2:$B$5000,D$3,거래내역!$E$2:$E$5000,"통신비",거래내역!$H$2:$H$5000,설정!$B$5)</f>
        <v>155000</v>
      </c>
      <c r="E14" s="19" t="n">
        <f aca="false">SUMIFS(거래내역!$D$2:$D$5000,거래내역!$B$2:$B$5000,E$3,거래내역!$E$2:$E$5000,"통신비",거래내역!$H$2:$H$5000,설정!$B$5)</f>
        <v>155000</v>
      </c>
      <c r="F14" s="19" t="n">
        <f aca="false">SUMIFS(거래내역!$D$2:$D$5000,거래내역!$B$2:$B$5000,F$3,거래내역!$E$2:$E$5000,"통신비",거래내역!$H$2:$H$5000,설정!$B$5)</f>
        <v>155000</v>
      </c>
      <c r="G14" s="19" t="n">
        <f aca="false">SUMIFS(거래내역!$D$2:$D$5000,거래내역!$B$2:$B$5000,G$3,거래내역!$E$2:$E$5000,"통신비",거래내역!$H$2:$H$5000,설정!$B$5)</f>
        <v>155000</v>
      </c>
      <c r="H14" s="19" t="n">
        <f aca="false">SUMIFS(거래내역!$D$2:$D$5000,거래내역!$B$2:$B$5000,H$3,거래내역!$E$2:$E$5000,"통신비",거래내역!$H$2:$H$5000,설정!$B$5)</f>
        <v>155000</v>
      </c>
      <c r="I14" s="19" t="n">
        <f aca="false">SUMIFS(거래내역!$D$2:$D$5000,거래내역!$B$2:$B$5000,I$3,거래내역!$E$2:$E$5000,"통신비",거래내역!$H$2:$H$5000,설정!$B$5)</f>
        <v>155000</v>
      </c>
      <c r="J14" s="19" t="n">
        <f aca="false">SUMIFS(거래내역!$D$2:$D$5000,거래내역!$B$2:$B$5000,J$3,거래내역!$E$2:$E$5000,"통신비",거래내역!$H$2:$H$5000,설정!$B$5)</f>
        <v>155000</v>
      </c>
      <c r="K14" s="19" t="n">
        <f aca="false">SUMIFS(거래내역!$D$2:$D$5000,거래내역!$B$2:$B$5000,K$3,거래내역!$E$2:$E$5000,"통신비",거래내역!$H$2:$H$5000,설정!$B$5)</f>
        <v>155000</v>
      </c>
      <c r="L14" s="19" t="n">
        <f aca="false">SUMIFS(거래내역!$D$2:$D$5000,거래내역!$B$2:$B$5000,L$3,거래내역!$E$2:$E$5000,"통신비",거래내역!$H$2:$H$5000,설정!$B$5)</f>
        <v>155000</v>
      </c>
      <c r="M14" s="19" t="n">
        <f aca="false">SUMIFS(거래내역!$D$2:$D$5000,거래내역!$B$2:$B$5000,M$3,거래내역!$E$2:$E$5000,"통신비",거래내역!$H$2:$H$5000,설정!$B$5)</f>
        <v>155000</v>
      </c>
      <c r="N14" s="19" t="n">
        <f aca="false">SUM(B14:M14)</f>
        <v>1860000</v>
      </c>
      <c r="O14" s="19" t="n">
        <f aca="false">N14/12</f>
        <v>155000</v>
      </c>
      <c r="P14" s="19" t="n">
        <f aca="false">AVERAGE(K14:M14)</f>
        <v>155000</v>
      </c>
    </row>
    <row r="15" customFormat="false" ht="15" hidden="false" customHeight="false" outlineLevel="0" collapsed="false">
      <c r="A15" s="41" t="s">
        <v>437</v>
      </c>
      <c r="B15" s="19" t="n">
        <f aca="false">SUMIFS(거래내역!$D$2:$D$5000,거래내역!$B$2:$B$5000,B$3,거래내역!$E$2:$E$5000,"교육비",거래내역!$H$2:$H$5000,설정!$B$5)</f>
        <v>520000</v>
      </c>
      <c r="C15" s="19" t="n">
        <f aca="false">SUMIFS(거래내역!$D$2:$D$5000,거래내역!$B$2:$B$5000,C$3,거래내역!$E$2:$E$5000,"교육비",거래내역!$H$2:$H$5000,설정!$B$5)</f>
        <v>520000</v>
      </c>
      <c r="D15" s="19" t="n">
        <f aca="false">SUMIFS(거래내역!$D$2:$D$5000,거래내역!$B$2:$B$5000,D$3,거래내역!$E$2:$E$5000,"교육비",거래내역!$H$2:$H$5000,설정!$B$5)</f>
        <v>520000</v>
      </c>
      <c r="E15" s="19" t="n">
        <f aca="false">SUMIFS(거래내역!$D$2:$D$5000,거래내역!$B$2:$B$5000,E$3,거래내역!$E$2:$E$5000,"교육비",거래내역!$H$2:$H$5000,설정!$B$5)</f>
        <v>520000</v>
      </c>
      <c r="F15" s="19" t="n">
        <f aca="false">SUMIFS(거래내역!$D$2:$D$5000,거래내역!$B$2:$B$5000,F$3,거래내역!$E$2:$E$5000,"교육비",거래내역!$H$2:$H$5000,설정!$B$5)</f>
        <v>520000</v>
      </c>
      <c r="G15" s="19" t="n">
        <f aca="false">SUMIFS(거래내역!$D$2:$D$5000,거래내역!$B$2:$B$5000,G$3,거래내역!$E$2:$E$5000,"교육비",거래내역!$H$2:$H$5000,설정!$B$5)</f>
        <v>520000</v>
      </c>
      <c r="H15" s="19" t="n">
        <f aca="false">SUMIFS(거래내역!$D$2:$D$5000,거래내역!$B$2:$B$5000,H$3,거래내역!$E$2:$E$5000,"교육비",거래내역!$H$2:$H$5000,설정!$B$5)</f>
        <v>520000</v>
      </c>
      <c r="I15" s="19" t="n">
        <f aca="false">SUMIFS(거래내역!$D$2:$D$5000,거래내역!$B$2:$B$5000,I$3,거래내역!$E$2:$E$5000,"교육비",거래내역!$H$2:$H$5000,설정!$B$5)</f>
        <v>520000</v>
      </c>
      <c r="J15" s="19" t="n">
        <f aca="false">SUMIFS(거래내역!$D$2:$D$5000,거래내역!$B$2:$B$5000,J$3,거래내역!$E$2:$E$5000,"교육비",거래내역!$H$2:$H$5000,설정!$B$5)</f>
        <v>520000</v>
      </c>
      <c r="K15" s="19" t="n">
        <f aca="false">SUMIFS(거래내역!$D$2:$D$5000,거래내역!$B$2:$B$5000,K$3,거래내역!$E$2:$E$5000,"교육비",거래내역!$H$2:$H$5000,설정!$B$5)</f>
        <v>520000</v>
      </c>
      <c r="L15" s="19" t="n">
        <f aca="false">SUMIFS(거래내역!$D$2:$D$5000,거래내역!$B$2:$B$5000,L$3,거래내역!$E$2:$E$5000,"교육비",거래내역!$H$2:$H$5000,설정!$B$5)</f>
        <v>520000</v>
      </c>
      <c r="M15" s="19" t="n">
        <f aca="false">SUMIFS(거래내역!$D$2:$D$5000,거래내역!$B$2:$B$5000,M$3,거래내역!$E$2:$E$5000,"교육비",거래내역!$H$2:$H$5000,설정!$B$5)</f>
        <v>520000</v>
      </c>
      <c r="N15" s="19" t="n">
        <f aca="false">SUM(B15:M15)</f>
        <v>6240000</v>
      </c>
      <c r="O15" s="19" t="n">
        <f aca="false">N15/12</f>
        <v>520000</v>
      </c>
      <c r="P15" s="19" t="n">
        <f aca="false">AVERAGE(K15:M15)</f>
        <v>520000</v>
      </c>
    </row>
    <row r="16" customFormat="false" ht="15" hidden="false" customHeight="false" outlineLevel="0" collapsed="false">
      <c r="A16" s="41" t="s">
        <v>438</v>
      </c>
      <c r="B16" s="19" t="n">
        <f aca="false">SUMIFS(거래내역!$D$2:$D$5000,거래내역!$B$2:$B$5000,B$3,거래내역!$E$2:$E$5000,"구독료",거래내역!$H$2:$H$5000,설정!$B$5)</f>
        <v>39790</v>
      </c>
      <c r="C16" s="19" t="n">
        <f aca="false">SUMIFS(거래내역!$D$2:$D$5000,거래내역!$B$2:$B$5000,C$3,거래내역!$E$2:$E$5000,"구독료",거래내역!$H$2:$H$5000,설정!$B$5)</f>
        <v>39790</v>
      </c>
      <c r="D16" s="19" t="n">
        <f aca="false">SUMIFS(거래내역!$D$2:$D$5000,거래내역!$B$2:$B$5000,D$3,거래내역!$E$2:$E$5000,"구독료",거래내역!$H$2:$H$5000,설정!$B$5)</f>
        <v>39790</v>
      </c>
      <c r="E16" s="19" t="n">
        <f aca="false">SUMIFS(거래내역!$D$2:$D$5000,거래내역!$B$2:$B$5000,E$3,거래내역!$E$2:$E$5000,"구독료",거래내역!$H$2:$H$5000,설정!$B$5)</f>
        <v>39790</v>
      </c>
      <c r="F16" s="19" t="n">
        <f aca="false">SUMIFS(거래내역!$D$2:$D$5000,거래내역!$B$2:$B$5000,F$3,거래내역!$E$2:$E$5000,"구독료",거래내역!$H$2:$H$5000,설정!$B$5)</f>
        <v>39790</v>
      </c>
      <c r="G16" s="19" t="n">
        <f aca="false">SUMIFS(거래내역!$D$2:$D$5000,거래내역!$B$2:$B$5000,G$3,거래내역!$E$2:$E$5000,"구독료",거래내역!$H$2:$H$5000,설정!$B$5)</f>
        <v>39790</v>
      </c>
      <c r="H16" s="19" t="n">
        <f aca="false">SUMIFS(거래내역!$D$2:$D$5000,거래내역!$B$2:$B$5000,H$3,거래내역!$E$2:$E$5000,"구독료",거래내역!$H$2:$H$5000,설정!$B$5)</f>
        <v>39790</v>
      </c>
      <c r="I16" s="19" t="n">
        <f aca="false">SUMIFS(거래내역!$D$2:$D$5000,거래내역!$B$2:$B$5000,I$3,거래내역!$E$2:$E$5000,"구독료",거래내역!$H$2:$H$5000,설정!$B$5)</f>
        <v>39790</v>
      </c>
      <c r="J16" s="19" t="n">
        <f aca="false">SUMIFS(거래내역!$D$2:$D$5000,거래내역!$B$2:$B$5000,J$3,거래내역!$E$2:$E$5000,"구독료",거래내역!$H$2:$H$5000,설정!$B$5)</f>
        <v>39790</v>
      </c>
      <c r="K16" s="19" t="n">
        <f aca="false">SUMIFS(거래내역!$D$2:$D$5000,거래내역!$B$2:$B$5000,K$3,거래내역!$E$2:$E$5000,"구독료",거래내역!$H$2:$H$5000,설정!$B$5)</f>
        <v>39790</v>
      </c>
      <c r="L16" s="19" t="n">
        <f aca="false">SUMIFS(거래내역!$D$2:$D$5000,거래내역!$B$2:$B$5000,L$3,거래내역!$E$2:$E$5000,"구독료",거래내역!$H$2:$H$5000,설정!$B$5)</f>
        <v>39790</v>
      </c>
      <c r="M16" s="19" t="n">
        <f aca="false">SUMIFS(거래내역!$D$2:$D$5000,거래내역!$B$2:$B$5000,M$3,거래내역!$E$2:$E$5000,"구독료",거래내역!$H$2:$H$5000,설정!$B$5)</f>
        <v>39790</v>
      </c>
      <c r="N16" s="19" t="n">
        <f aca="false">SUM(B16:M16)</f>
        <v>477480</v>
      </c>
      <c r="O16" s="19" t="n">
        <f aca="false">N16/12</f>
        <v>39790</v>
      </c>
      <c r="P16" s="19" t="n">
        <f aca="false">AVERAGE(K16:M16)</f>
        <v>39790</v>
      </c>
    </row>
    <row r="17" customFormat="false" ht="15" hidden="false" customHeight="false" outlineLevel="0" collapsed="false">
      <c r="A17" s="45" t="s">
        <v>439</v>
      </c>
      <c r="B17" s="47" t="n">
        <f aca="false">SUMIFS(거래내역!$D$2:$D$5000,거래내역!$B$2:$B$5000,B$3,거래내역!$F$2:$F$5000,"고정비",거래내역!$H$2:$H$5000,설정!$B$5)</f>
        <v>2465740</v>
      </c>
      <c r="C17" s="47" t="n">
        <f aca="false">SUMIFS(거래내역!$D$2:$D$5000,거래내역!$B$2:$B$5000,C$3,거래내역!$F$2:$F$5000,"고정비",거래내역!$H$2:$H$5000,설정!$B$5)</f>
        <v>2454630</v>
      </c>
      <c r="D17" s="47" t="n">
        <f aca="false">SUMIFS(거래내역!$D$2:$D$5000,거래내역!$B$2:$B$5000,D$3,거래내역!$F$2:$F$5000,"고정비",거래내역!$H$2:$H$5000,설정!$B$5)</f>
        <v>2502150</v>
      </c>
      <c r="E17" s="47" t="n">
        <f aca="false">SUMIFS(거래내역!$D$2:$D$5000,거래내역!$B$2:$B$5000,E$3,거래내역!$F$2:$F$5000,"고정비",거래내역!$H$2:$H$5000,설정!$B$5)</f>
        <v>2502600</v>
      </c>
      <c r="F17" s="47" t="n">
        <f aca="false">SUMIFS(거래내역!$D$2:$D$5000,거래내역!$B$2:$B$5000,F$3,거래내역!$F$2:$F$5000,"고정비",거래내역!$H$2:$H$5000,설정!$B$5)</f>
        <v>2516150</v>
      </c>
      <c r="G17" s="47" t="n">
        <f aca="false">SUMIFS(거래내역!$D$2:$D$5000,거래내역!$B$2:$B$5000,G$3,거래내역!$F$2:$F$5000,"고정비",거래내역!$H$2:$H$5000,설정!$B$5)</f>
        <v>2438150</v>
      </c>
      <c r="H17" s="47" t="n">
        <f aca="false">SUMIFS(거래내역!$D$2:$D$5000,거래내역!$B$2:$B$5000,H$3,거래내역!$F$2:$F$5000,"고정비",거래내역!$H$2:$H$5000,설정!$B$5)</f>
        <v>2427090</v>
      </c>
      <c r="I17" s="47" t="n">
        <f aca="false">SUMIFS(거래내역!$D$2:$D$5000,거래내역!$B$2:$B$5000,I$3,거래내역!$F$2:$F$5000,"고정비",거래내역!$H$2:$H$5000,설정!$B$5)</f>
        <v>2451440</v>
      </c>
      <c r="J17" s="47" t="n">
        <f aca="false">SUMIFS(거래내역!$D$2:$D$5000,거래내역!$B$2:$B$5000,J$3,거래내역!$F$2:$F$5000,"고정비",거래내역!$H$2:$H$5000,설정!$B$5)</f>
        <v>2432330</v>
      </c>
      <c r="K17" s="47" t="n">
        <f aca="false">SUMIFS(거래내역!$D$2:$D$5000,거래내역!$B$2:$B$5000,K$3,거래내역!$F$2:$F$5000,"고정비",거래내역!$H$2:$H$5000,설정!$B$5)</f>
        <v>2429970</v>
      </c>
      <c r="L17" s="47" t="n">
        <f aca="false">SUMIFS(거래내역!$D$2:$D$5000,거래내역!$B$2:$B$5000,L$3,거래내역!$F$2:$F$5000,"고정비",거래내역!$H$2:$H$5000,설정!$B$5)</f>
        <v>2414840</v>
      </c>
      <c r="M17" s="47" t="n">
        <f aca="false">SUMIFS(거래내역!$D$2:$D$5000,거래내역!$B$2:$B$5000,M$3,거래내역!$F$2:$F$5000,"고정비",거래내역!$H$2:$H$5000,설정!$B$5)</f>
        <v>2416180</v>
      </c>
      <c r="N17" s="47" t="n">
        <f aca="false">SUM(B17:M17)</f>
        <v>29451270</v>
      </c>
      <c r="O17" s="47" t="n">
        <f aca="false">N17/12</f>
        <v>2454272.5</v>
      </c>
      <c r="P17" s="47" t="n">
        <f aca="false">AVERAGE(K17:M17)</f>
        <v>2420330</v>
      </c>
    </row>
    <row r="18" customFormat="false" ht="15" hidden="false" customHeight="false" outlineLevel="0" collapsed="false">
      <c r="A18" s="64" t="s">
        <v>440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customFormat="false" ht="15" hidden="false" customHeight="false" outlineLevel="0" collapsed="false">
      <c r="A19" s="41" t="s">
        <v>441</v>
      </c>
      <c r="B19" s="19" t="n">
        <f aca="false">SUMIFS(거래내역!$D$2:$D$5000,거래내역!$B$2:$B$5000,B$3,거래내역!$E$2:$E$5000,"식비",거래내역!$H$2:$H$5000,설정!$B$5)</f>
        <v>629810</v>
      </c>
      <c r="C19" s="19" t="n">
        <f aca="false">SUMIFS(거래내역!$D$2:$D$5000,거래내역!$B$2:$B$5000,C$3,거래내역!$E$2:$E$5000,"식비",거래내역!$H$2:$H$5000,설정!$B$5)</f>
        <v>805880</v>
      </c>
      <c r="D19" s="19" t="n">
        <f aca="false">SUMIFS(거래내역!$D$2:$D$5000,거래내역!$B$2:$B$5000,D$3,거래내역!$E$2:$E$5000,"식비",거래내역!$H$2:$H$5000,설정!$B$5)</f>
        <v>683460</v>
      </c>
      <c r="E19" s="19" t="n">
        <f aca="false">SUMIFS(거래내역!$D$2:$D$5000,거래내역!$B$2:$B$5000,E$3,거래내역!$E$2:$E$5000,"식비",거래내역!$H$2:$H$5000,설정!$B$5)</f>
        <v>753030</v>
      </c>
      <c r="F19" s="19" t="n">
        <f aca="false">SUMIFS(거래내역!$D$2:$D$5000,거래내역!$B$2:$B$5000,F$3,거래내역!$E$2:$E$5000,"식비",거래내역!$H$2:$H$5000,설정!$B$5)</f>
        <v>599880</v>
      </c>
      <c r="G19" s="19" t="n">
        <f aca="false">SUMIFS(거래내역!$D$2:$D$5000,거래내역!$B$2:$B$5000,G$3,거래내역!$E$2:$E$5000,"식비",거래내역!$H$2:$H$5000,설정!$B$5)</f>
        <v>694790</v>
      </c>
      <c r="H19" s="19" t="n">
        <f aca="false">SUMIFS(거래내역!$D$2:$D$5000,거래내역!$B$2:$B$5000,H$3,거래내역!$E$2:$E$5000,"식비",거래내역!$H$2:$H$5000,설정!$B$5)</f>
        <v>696820</v>
      </c>
      <c r="I19" s="19" t="n">
        <f aca="false">SUMIFS(거래내역!$D$2:$D$5000,거래내역!$B$2:$B$5000,I$3,거래내역!$E$2:$E$5000,"식비",거래내역!$H$2:$H$5000,설정!$B$5)</f>
        <v>772430</v>
      </c>
      <c r="J19" s="19" t="n">
        <f aca="false">SUMIFS(거래내역!$D$2:$D$5000,거래내역!$B$2:$B$5000,J$3,거래내역!$E$2:$E$5000,"식비",거래내역!$H$2:$H$5000,설정!$B$5)</f>
        <v>892870</v>
      </c>
      <c r="K19" s="19" t="n">
        <f aca="false">SUMIFS(거래내역!$D$2:$D$5000,거래내역!$B$2:$B$5000,K$3,거래내역!$E$2:$E$5000,"식비",거래내역!$H$2:$H$5000,설정!$B$5)</f>
        <v>662380</v>
      </c>
      <c r="L19" s="19" t="n">
        <f aca="false">SUMIFS(거래내역!$D$2:$D$5000,거래내역!$B$2:$B$5000,L$3,거래내역!$E$2:$E$5000,"식비",거래내역!$H$2:$H$5000,설정!$B$5)</f>
        <v>716470</v>
      </c>
      <c r="M19" s="19" t="n">
        <f aca="false">SUMIFS(거래내역!$D$2:$D$5000,거래내역!$B$2:$B$5000,M$3,거래내역!$E$2:$E$5000,"식비",거래내역!$H$2:$H$5000,설정!$B$5)</f>
        <v>768940</v>
      </c>
      <c r="N19" s="19" t="n">
        <f aca="false">SUM(B19:M19)</f>
        <v>8676760</v>
      </c>
      <c r="O19" s="19" t="n">
        <f aca="false">N19/12</f>
        <v>723063.333333333</v>
      </c>
      <c r="P19" s="19" t="n">
        <f aca="false">AVERAGE(K19:M19)</f>
        <v>715930</v>
      </c>
    </row>
    <row r="20" customFormat="false" ht="15" hidden="false" customHeight="false" outlineLevel="0" collapsed="false">
      <c r="A20" s="41" t="s">
        <v>442</v>
      </c>
      <c r="B20" s="19" t="n">
        <f aca="false">SUMIFS(거래내역!$D$2:$D$5000,거래내역!$B$2:$B$5000,B$3,거래내역!$E$2:$E$5000,"외식",거래내역!$H$2:$H$5000,설정!$B$5)</f>
        <v>282310</v>
      </c>
      <c r="C20" s="19" t="n">
        <f aca="false">SUMIFS(거래내역!$D$2:$D$5000,거래내역!$B$2:$B$5000,C$3,거래내역!$E$2:$E$5000,"외식",거래내역!$H$2:$H$5000,설정!$B$5)</f>
        <v>356970</v>
      </c>
      <c r="D20" s="19" t="n">
        <f aca="false">SUMIFS(거래내역!$D$2:$D$5000,거래내역!$B$2:$B$5000,D$3,거래내역!$E$2:$E$5000,"외식",거래내역!$H$2:$H$5000,설정!$B$5)</f>
        <v>366770</v>
      </c>
      <c r="E20" s="19" t="n">
        <f aca="false">SUMIFS(거래내역!$D$2:$D$5000,거래내역!$B$2:$B$5000,E$3,거래내역!$E$2:$E$5000,"외식",거래내역!$H$2:$H$5000,설정!$B$5)</f>
        <v>254360</v>
      </c>
      <c r="F20" s="19" t="n">
        <f aca="false">SUMIFS(거래내역!$D$2:$D$5000,거래내역!$B$2:$B$5000,F$3,거래내역!$E$2:$E$5000,"외식",거래내역!$H$2:$H$5000,설정!$B$5)</f>
        <v>283520</v>
      </c>
      <c r="G20" s="19" t="n">
        <f aca="false">SUMIFS(거래내역!$D$2:$D$5000,거래내역!$B$2:$B$5000,G$3,거래내역!$E$2:$E$5000,"외식",거래내역!$H$2:$H$5000,설정!$B$5)</f>
        <v>305000</v>
      </c>
      <c r="H20" s="19" t="n">
        <f aca="false">SUMIFS(거래내역!$D$2:$D$5000,거래내역!$B$2:$B$5000,H$3,거래내역!$E$2:$E$5000,"외식",거래내역!$H$2:$H$5000,설정!$B$5)</f>
        <v>289830</v>
      </c>
      <c r="I20" s="19" t="n">
        <f aca="false">SUMIFS(거래내역!$D$2:$D$5000,거래내역!$B$2:$B$5000,I$3,거래내역!$E$2:$E$5000,"외식",거래내역!$H$2:$H$5000,설정!$B$5)</f>
        <v>279340</v>
      </c>
      <c r="J20" s="19" t="n">
        <f aca="false">SUMIFS(거래내역!$D$2:$D$5000,거래내역!$B$2:$B$5000,J$3,거래내역!$E$2:$E$5000,"외식",거래내역!$H$2:$H$5000,설정!$B$5)</f>
        <v>297520</v>
      </c>
      <c r="K20" s="19" t="n">
        <f aca="false">SUMIFS(거래내역!$D$2:$D$5000,거래내역!$B$2:$B$5000,K$3,거래내역!$E$2:$E$5000,"외식",거래내역!$H$2:$H$5000,설정!$B$5)</f>
        <v>257110</v>
      </c>
      <c r="L20" s="19" t="n">
        <f aca="false">SUMIFS(거래내역!$D$2:$D$5000,거래내역!$B$2:$B$5000,L$3,거래내역!$E$2:$E$5000,"외식",거래내역!$H$2:$H$5000,설정!$B$5)</f>
        <v>284560</v>
      </c>
      <c r="M20" s="19" t="n">
        <f aca="false">SUMIFS(거래내역!$D$2:$D$5000,거래내역!$B$2:$B$5000,M$3,거래내역!$E$2:$E$5000,"외식",거래내역!$H$2:$H$5000,설정!$B$5)</f>
        <v>503600</v>
      </c>
      <c r="N20" s="19" t="n">
        <f aca="false">SUM(B20:M20)</f>
        <v>3760890</v>
      </c>
      <c r="O20" s="19" t="n">
        <f aca="false">N20/12</f>
        <v>313407.5</v>
      </c>
      <c r="P20" s="19" t="n">
        <f aca="false">AVERAGE(K20:M20)</f>
        <v>348423.333333333</v>
      </c>
    </row>
    <row r="21" customFormat="false" ht="15" hidden="false" customHeight="false" outlineLevel="0" collapsed="false">
      <c r="A21" s="41" t="s">
        <v>443</v>
      </c>
      <c r="B21" s="19" t="n">
        <f aca="false">SUMIFS(거래내역!$D$2:$D$5000,거래내역!$B$2:$B$5000,B$3,거래내역!$E$2:$E$5000,"생활용품",거래내역!$H$2:$H$5000,설정!$B$5)</f>
        <v>229080</v>
      </c>
      <c r="C21" s="19" t="n">
        <f aca="false">SUMIFS(거래내역!$D$2:$D$5000,거래내역!$B$2:$B$5000,C$3,거래내역!$E$2:$E$5000,"생활용품",거래내역!$H$2:$H$5000,설정!$B$5)</f>
        <v>139220</v>
      </c>
      <c r="D21" s="19" t="n">
        <f aca="false">SUMIFS(거래내역!$D$2:$D$5000,거래내역!$B$2:$B$5000,D$3,거래내역!$E$2:$E$5000,"생활용품",거래내역!$H$2:$H$5000,설정!$B$5)</f>
        <v>170860</v>
      </c>
      <c r="E21" s="19" t="n">
        <f aca="false">SUMIFS(거래내역!$D$2:$D$5000,거래내역!$B$2:$B$5000,E$3,거래내역!$E$2:$E$5000,"생활용품",거래내역!$H$2:$H$5000,설정!$B$5)</f>
        <v>151860</v>
      </c>
      <c r="F21" s="19" t="n">
        <f aca="false">SUMIFS(거래내역!$D$2:$D$5000,거래내역!$B$2:$B$5000,F$3,거래내역!$E$2:$E$5000,"생활용품",거래내역!$H$2:$H$5000,설정!$B$5)</f>
        <v>117040</v>
      </c>
      <c r="G21" s="19" t="n">
        <f aca="false">SUMIFS(거래내역!$D$2:$D$5000,거래내역!$B$2:$B$5000,G$3,거래내역!$E$2:$E$5000,"생활용품",거래내역!$H$2:$H$5000,설정!$B$5)</f>
        <v>123660</v>
      </c>
      <c r="H21" s="19" t="n">
        <f aca="false">SUMIFS(거래내역!$D$2:$D$5000,거래내역!$B$2:$B$5000,H$3,거래내역!$E$2:$E$5000,"생활용품",거래내역!$H$2:$H$5000,설정!$B$5)</f>
        <v>210810</v>
      </c>
      <c r="I21" s="19" t="n">
        <f aca="false">SUMIFS(거래내역!$D$2:$D$5000,거래내역!$B$2:$B$5000,I$3,거래내역!$E$2:$E$5000,"생활용품",거래내역!$H$2:$H$5000,설정!$B$5)</f>
        <v>95550</v>
      </c>
      <c r="J21" s="19" t="n">
        <f aca="false">SUMIFS(거래내역!$D$2:$D$5000,거래내역!$B$2:$B$5000,J$3,거래내역!$E$2:$E$5000,"생활용품",거래내역!$H$2:$H$5000,설정!$B$5)</f>
        <v>126310</v>
      </c>
      <c r="K21" s="19" t="n">
        <f aca="false">SUMIFS(거래내역!$D$2:$D$5000,거래내역!$B$2:$B$5000,K$3,거래내역!$E$2:$E$5000,"생활용품",거래내역!$H$2:$H$5000,설정!$B$5)</f>
        <v>177080</v>
      </c>
      <c r="L21" s="19" t="n">
        <f aca="false">SUMIFS(거래내역!$D$2:$D$5000,거래내역!$B$2:$B$5000,L$3,거래내역!$E$2:$E$5000,"생활용품",거래내역!$H$2:$H$5000,설정!$B$5)</f>
        <v>121520</v>
      </c>
      <c r="M21" s="19" t="n">
        <f aca="false">SUMIFS(거래내역!$D$2:$D$5000,거래내역!$B$2:$B$5000,M$3,거래내역!$E$2:$E$5000,"생활용품",거래내역!$H$2:$H$5000,설정!$B$5)</f>
        <v>129450</v>
      </c>
      <c r="N21" s="19" t="n">
        <f aca="false">SUM(B21:M21)</f>
        <v>1792440</v>
      </c>
      <c r="O21" s="19" t="n">
        <f aca="false">N21/12</f>
        <v>149370</v>
      </c>
      <c r="P21" s="19" t="n">
        <f aca="false">AVERAGE(K21:M21)</f>
        <v>142683.333333333</v>
      </c>
    </row>
    <row r="22" customFormat="false" ht="15" hidden="false" customHeight="false" outlineLevel="0" collapsed="false">
      <c r="A22" s="41" t="s">
        <v>444</v>
      </c>
      <c r="B22" s="19" t="n">
        <f aca="false">SUMIFS(거래내역!$D$2:$D$5000,거래내역!$B$2:$B$5000,B$3,거래내역!$E$2:$E$5000,"교통",거래내역!$H$2:$H$5000,설정!$B$5)</f>
        <v>266520</v>
      </c>
      <c r="C22" s="19" t="n">
        <f aca="false">SUMIFS(거래내역!$D$2:$D$5000,거래내역!$B$2:$B$5000,C$3,거래내역!$E$2:$E$5000,"교통",거래내역!$H$2:$H$5000,설정!$B$5)</f>
        <v>268050</v>
      </c>
      <c r="D22" s="19" t="n">
        <f aca="false">SUMIFS(거래내역!$D$2:$D$5000,거래내역!$B$2:$B$5000,D$3,거래내역!$E$2:$E$5000,"교통",거래내역!$H$2:$H$5000,설정!$B$5)</f>
        <v>259870</v>
      </c>
      <c r="E22" s="19" t="n">
        <f aca="false">SUMIFS(거래내역!$D$2:$D$5000,거래내역!$B$2:$B$5000,E$3,거래내역!$E$2:$E$5000,"교통",거래내역!$H$2:$H$5000,설정!$B$5)</f>
        <v>254840</v>
      </c>
      <c r="F22" s="19" t="n">
        <f aca="false">SUMIFS(거래내역!$D$2:$D$5000,거래내역!$B$2:$B$5000,F$3,거래내역!$E$2:$E$5000,"교통",거래내역!$H$2:$H$5000,설정!$B$5)</f>
        <v>275690</v>
      </c>
      <c r="G22" s="19" t="n">
        <f aca="false">SUMIFS(거래내역!$D$2:$D$5000,거래내역!$B$2:$B$5000,G$3,거래내역!$E$2:$E$5000,"교통",거래내역!$H$2:$H$5000,설정!$B$5)</f>
        <v>304520</v>
      </c>
      <c r="H22" s="19" t="n">
        <f aca="false">SUMIFS(거래내역!$D$2:$D$5000,거래내역!$B$2:$B$5000,H$3,거래내역!$E$2:$E$5000,"교통",거래내역!$H$2:$H$5000,설정!$B$5)</f>
        <v>247180</v>
      </c>
      <c r="I22" s="19" t="n">
        <f aca="false">SUMIFS(거래내역!$D$2:$D$5000,거래내역!$B$2:$B$5000,I$3,거래내역!$E$2:$E$5000,"교통",거래내역!$H$2:$H$5000,설정!$B$5)</f>
        <v>305660</v>
      </c>
      <c r="J22" s="19" t="n">
        <f aca="false">SUMIFS(거래내역!$D$2:$D$5000,거래내역!$B$2:$B$5000,J$3,거래내역!$E$2:$E$5000,"교통",거래내역!$H$2:$H$5000,설정!$B$5)</f>
        <v>284910</v>
      </c>
      <c r="K22" s="19" t="n">
        <f aca="false">SUMIFS(거래내역!$D$2:$D$5000,거래내역!$B$2:$B$5000,K$3,거래내역!$E$2:$E$5000,"교통",거래내역!$H$2:$H$5000,설정!$B$5)</f>
        <v>255620</v>
      </c>
      <c r="L22" s="19" t="n">
        <f aca="false">SUMIFS(거래내역!$D$2:$D$5000,거래내역!$B$2:$B$5000,L$3,거래내역!$E$2:$E$5000,"교통",거래내역!$H$2:$H$5000,설정!$B$5)</f>
        <v>261430</v>
      </c>
      <c r="M22" s="19" t="n">
        <f aca="false">SUMIFS(거래내역!$D$2:$D$5000,거래내역!$B$2:$B$5000,M$3,거래내역!$E$2:$E$5000,"교통",거래내역!$H$2:$H$5000,설정!$B$5)</f>
        <v>288640</v>
      </c>
      <c r="N22" s="19" t="n">
        <f aca="false">SUM(B22:M22)</f>
        <v>3272930</v>
      </c>
      <c r="O22" s="19" t="n">
        <f aca="false">N22/12</f>
        <v>272744.166666667</v>
      </c>
      <c r="P22" s="19" t="n">
        <f aca="false">AVERAGE(K22:M22)</f>
        <v>268563.333333333</v>
      </c>
    </row>
    <row r="23" customFormat="false" ht="15" hidden="false" customHeight="false" outlineLevel="0" collapsed="false">
      <c r="A23" s="41" t="s">
        <v>445</v>
      </c>
      <c r="B23" s="19" t="n">
        <f aca="false">SUMIFS(거래내역!$D$2:$D$5000,거래내역!$B$2:$B$5000,B$3,거래내역!$E$2:$E$5000,"쇼핑",거래내역!$H$2:$H$5000,설정!$B$5)</f>
        <v>131990</v>
      </c>
      <c r="C23" s="19" t="n">
        <f aca="false">SUMIFS(거래내역!$D$2:$D$5000,거래내역!$B$2:$B$5000,C$3,거래내역!$E$2:$E$5000,"쇼핑",거래내역!$H$2:$H$5000,설정!$B$5)</f>
        <v>146960</v>
      </c>
      <c r="D23" s="19" t="n">
        <f aca="false">SUMIFS(거래내역!$D$2:$D$5000,거래내역!$B$2:$B$5000,D$3,거래내역!$E$2:$E$5000,"쇼핑",거래내역!$H$2:$H$5000,설정!$B$5)</f>
        <v>156280</v>
      </c>
      <c r="E23" s="19" t="n">
        <f aca="false">SUMIFS(거래내역!$D$2:$D$5000,거래내역!$B$2:$B$5000,E$3,거래내역!$E$2:$E$5000,"쇼핑",거래내역!$H$2:$H$5000,설정!$B$5)</f>
        <v>212190</v>
      </c>
      <c r="F23" s="19" t="n">
        <f aca="false">SUMIFS(거래내역!$D$2:$D$5000,거래내역!$B$2:$B$5000,F$3,거래내역!$E$2:$E$5000,"쇼핑",거래내역!$H$2:$H$5000,설정!$B$5)</f>
        <v>106470</v>
      </c>
      <c r="G23" s="19" t="n">
        <f aca="false">SUMIFS(거래내역!$D$2:$D$5000,거래내역!$B$2:$B$5000,G$3,거래내역!$E$2:$E$5000,"쇼핑",거래내역!$H$2:$H$5000,설정!$B$5)</f>
        <v>363540</v>
      </c>
      <c r="H23" s="19" t="n">
        <f aca="false">SUMIFS(거래내역!$D$2:$D$5000,거래내역!$B$2:$B$5000,H$3,거래내역!$E$2:$E$5000,"쇼핑",거래내역!$H$2:$H$5000,설정!$B$5)</f>
        <v>54990</v>
      </c>
      <c r="I23" s="19" t="n">
        <f aca="false">SUMIFS(거래내역!$D$2:$D$5000,거래내역!$B$2:$B$5000,I$3,거래내역!$E$2:$E$5000,"쇼핑",거래내역!$H$2:$H$5000,설정!$B$5)</f>
        <v>124660</v>
      </c>
      <c r="J23" s="19" t="n">
        <f aca="false">SUMIFS(거래내역!$D$2:$D$5000,거래내역!$B$2:$B$5000,J$3,거래내역!$E$2:$E$5000,"쇼핑",거래내역!$H$2:$H$5000,설정!$B$5)</f>
        <v>306940</v>
      </c>
      <c r="K23" s="19" t="n">
        <f aca="false">SUMIFS(거래내역!$D$2:$D$5000,거래내역!$B$2:$B$5000,K$3,거래내역!$E$2:$E$5000,"쇼핑",거래내역!$H$2:$H$5000,설정!$B$5)</f>
        <v>212710</v>
      </c>
      <c r="L23" s="19" t="n">
        <f aca="false">SUMIFS(거래내역!$D$2:$D$5000,거래내역!$B$2:$B$5000,L$3,거래내역!$E$2:$E$5000,"쇼핑",거래내역!$H$2:$H$5000,설정!$B$5)</f>
        <v>253070</v>
      </c>
      <c r="M23" s="19" t="n">
        <f aca="false">SUMIFS(거래내역!$D$2:$D$5000,거래내역!$B$2:$B$5000,M$3,거래내역!$E$2:$E$5000,"쇼핑",거래내역!$H$2:$H$5000,설정!$B$5)</f>
        <v>501030</v>
      </c>
      <c r="N23" s="19" t="n">
        <f aca="false">SUM(B23:M23)</f>
        <v>2570830</v>
      </c>
      <c r="O23" s="19" t="n">
        <f aca="false">N23/12</f>
        <v>214235.833333333</v>
      </c>
      <c r="P23" s="19" t="n">
        <f aca="false">AVERAGE(K23:M23)</f>
        <v>322270</v>
      </c>
    </row>
    <row r="24" customFormat="false" ht="15" hidden="false" customHeight="false" outlineLevel="0" collapsed="false">
      <c r="A24" s="41" t="s">
        <v>446</v>
      </c>
      <c r="B24" s="19" t="n">
        <f aca="false">SUMIFS(거래내역!$D$2:$D$5000,거래내역!$B$2:$B$5000,B$3,거래내역!$E$2:$E$5000,"의료",거래내역!$H$2:$H$5000,설정!$B$5)</f>
        <v>44400</v>
      </c>
      <c r="C24" s="19" t="n">
        <f aca="false">SUMIFS(거래내역!$D$2:$D$5000,거래내역!$B$2:$B$5000,C$3,거래내역!$E$2:$E$5000,"의료",거래내역!$H$2:$H$5000,설정!$B$5)</f>
        <v>0</v>
      </c>
      <c r="D24" s="19" t="n">
        <f aca="false">SUMIFS(거래내역!$D$2:$D$5000,거래내역!$B$2:$B$5000,D$3,거래내역!$E$2:$E$5000,"의료",거래내역!$H$2:$H$5000,설정!$B$5)</f>
        <v>68310</v>
      </c>
      <c r="E24" s="19" t="n">
        <f aca="false">SUMIFS(거래내역!$D$2:$D$5000,거래내역!$B$2:$B$5000,E$3,거래내역!$E$2:$E$5000,"의료",거래내역!$H$2:$H$5000,설정!$B$5)</f>
        <v>0</v>
      </c>
      <c r="F24" s="19" t="n">
        <f aca="false">SUMIFS(거래내역!$D$2:$D$5000,거래내역!$B$2:$B$5000,F$3,거래내역!$E$2:$E$5000,"의료",거래내역!$H$2:$H$5000,설정!$B$5)</f>
        <v>44330</v>
      </c>
      <c r="G24" s="19" t="n">
        <f aca="false">SUMIFS(거래내역!$D$2:$D$5000,거래내역!$B$2:$B$5000,G$3,거래내역!$E$2:$E$5000,"의료",거래내역!$H$2:$H$5000,설정!$B$5)</f>
        <v>69210</v>
      </c>
      <c r="H24" s="19" t="n">
        <f aca="false">SUMIFS(거래내역!$D$2:$D$5000,거래내역!$B$2:$B$5000,H$3,거래내역!$E$2:$E$5000,"의료",거래내역!$H$2:$H$5000,설정!$B$5)</f>
        <v>77970</v>
      </c>
      <c r="I24" s="19" t="n">
        <f aca="false">SUMIFS(거래내역!$D$2:$D$5000,거래내역!$B$2:$B$5000,I$3,거래내역!$E$2:$E$5000,"의료",거래내역!$H$2:$H$5000,설정!$B$5)</f>
        <v>0</v>
      </c>
      <c r="J24" s="19" t="n">
        <f aca="false">SUMIFS(거래내역!$D$2:$D$5000,거래내역!$B$2:$B$5000,J$3,거래내역!$E$2:$E$5000,"의료",거래내역!$H$2:$H$5000,설정!$B$5)</f>
        <v>0</v>
      </c>
      <c r="K24" s="19" t="n">
        <f aca="false">SUMIFS(거래내역!$D$2:$D$5000,거래내역!$B$2:$B$5000,K$3,거래내역!$E$2:$E$5000,"의료",거래내역!$H$2:$H$5000,설정!$B$5)</f>
        <v>48220</v>
      </c>
      <c r="L24" s="19" t="n">
        <f aca="false">SUMIFS(거래내역!$D$2:$D$5000,거래내역!$B$2:$B$5000,L$3,거래내역!$E$2:$E$5000,"의료",거래내역!$H$2:$H$5000,설정!$B$5)</f>
        <v>30190</v>
      </c>
      <c r="M24" s="19" t="n">
        <f aca="false">SUMIFS(거래내역!$D$2:$D$5000,거래내역!$B$2:$B$5000,M$3,거래내역!$E$2:$E$5000,"의료",거래내역!$H$2:$H$5000,설정!$B$5)</f>
        <v>85150</v>
      </c>
      <c r="N24" s="19" t="n">
        <f aca="false">SUM(B24:M24)</f>
        <v>467780</v>
      </c>
      <c r="O24" s="19" t="n">
        <f aca="false">N24/12</f>
        <v>38981.6666666667</v>
      </c>
      <c r="P24" s="19" t="n">
        <f aca="false">AVERAGE(K24:M24)</f>
        <v>54520</v>
      </c>
    </row>
    <row r="25" customFormat="false" ht="15" hidden="false" customHeight="false" outlineLevel="0" collapsed="false">
      <c r="A25" s="41" t="s">
        <v>447</v>
      </c>
      <c r="B25" s="19" t="n">
        <f aca="false">SUMIFS(거래내역!$D$2:$D$5000,거래내역!$B$2:$B$5000,B$3,거래내역!$E$2:$E$5000,"여가",거래내역!$H$2:$H$5000,설정!$B$5)</f>
        <v>32330</v>
      </c>
      <c r="C25" s="19" t="n">
        <f aca="false">SUMIFS(거래내역!$D$2:$D$5000,거래내역!$B$2:$B$5000,C$3,거래내역!$E$2:$E$5000,"여가",거래내역!$H$2:$H$5000,설정!$B$5)</f>
        <v>111100</v>
      </c>
      <c r="D25" s="19" t="n">
        <f aca="false">SUMIFS(거래내역!$D$2:$D$5000,거래내역!$B$2:$B$5000,D$3,거래내역!$E$2:$E$5000,"여가",거래내역!$H$2:$H$5000,설정!$B$5)</f>
        <v>79620</v>
      </c>
      <c r="E25" s="19" t="n">
        <f aca="false">SUMIFS(거래내역!$D$2:$D$5000,거래내역!$B$2:$B$5000,E$3,거래내역!$E$2:$E$5000,"여가",거래내역!$H$2:$H$5000,설정!$B$5)</f>
        <v>143260</v>
      </c>
      <c r="F25" s="19" t="n">
        <f aca="false">SUMIFS(거래내역!$D$2:$D$5000,거래내역!$B$2:$B$5000,F$3,거래내역!$E$2:$E$5000,"여가",거래내역!$H$2:$H$5000,설정!$B$5)</f>
        <v>74700</v>
      </c>
      <c r="G25" s="19" t="n">
        <f aca="false">SUMIFS(거래내역!$D$2:$D$5000,거래내역!$B$2:$B$5000,G$3,거래내역!$E$2:$E$5000,"여가",거래내역!$H$2:$H$5000,설정!$B$5)</f>
        <v>55310</v>
      </c>
      <c r="H25" s="19" t="n">
        <f aca="false">SUMIFS(거래내역!$D$2:$D$5000,거래내역!$B$2:$B$5000,H$3,거래내역!$E$2:$E$5000,"여가",거래내역!$H$2:$H$5000,설정!$B$5)</f>
        <v>100850</v>
      </c>
      <c r="I25" s="19" t="n">
        <f aca="false">SUMIFS(거래내역!$D$2:$D$5000,거래내역!$B$2:$B$5000,I$3,거래내역!$E$2:$E$5000,"여가",거래내역!$H$2:$H$5000,설정!$B$5)</f>
        <v>78000</v>
      </c>
      <c r="J25" s="19" t="n">
        <f aca="false">SUMIFS(거래내역!$D$2:$D$5000,거래내역!$B$2:$B$5000,J$3,거래내역!$E$2:$E$5000,"여가",거래내역!$H$2:$H$5000,설정!$B$5)</f>
        <v>165590</v>
      </c>
      <c r="K25" s="19" t="n">
        <f aca="false">SUMIFS(거래내역!$D$2:$D$5000,거래내역!$B$2:$B$5000,K$3,거래내역!$E$2:$E$5000,"여가",거래내역!$H$2:$H$5000,설정!$B$5)</f>
        <v>106650</v>
      </c>
      <c r="L25" s="19" t="n">
        <f aca="false">SUMIFS(거래내역!$D$2:$D$5000,거래내역!$B$2:$B$5000,L$3,거래내역!$E$2:$E$5000,"여가",거래내역!$H$2:$H$5000,설정!$B$5)</f>
        <v>157020</v>
      </c>
      <c r="M25" s="19" t="n">
        <f aca="false">SUMIFS(거래내역!$D$2:$D$5000,거래내역!$B$2:$B$5000,M$3,거래내역!$E$2:$E$5000,"여가",거래내역!$H$2:$H$5000,설정!$B$5)</f>
        <v>59360</v>
      </c>
      <c r="N25" s="19" t="n">
        <f aca="false">SUM(B25:M25)</f>
        <v>1163790</v>
      </c>
      <c r="O25" s="19" t="n">
        <f aca="false">N25/12</f>
        <v>96982.5</v>
      </c>
      <c r="P25" s="19" t="n">
        <f aca="false">AVERAGE(K25:M25)</f>
        <v>107676.666666667</v>
      </c>
    </row>
    <row r="26" customFormat="false" ht="15" hidden="false" customHeight="false" outlineLevel="0" collapsed="false">
      <c r="A26" s="41" t="s">
        <v>448</v>
      </c>
      <c r="B26" s="19" t="n">
        <f aca="false">SUMIFS(거래내역!$D$2:$D$5000,거래내역!$B$2:$B$5000,B$3,거래내역!$E$2:$E$5000,"용돈",거래내역!$H$2:$H$5000,설정!$B$5)</f>
        <v>600000</v>
      </c>
      <c r="C26" s="19" t="n">
        <f aca="false">SUMIFS(거래내역!$D$2:$D$5000,거래내역!$B$2:$B$5000,C$3,거래내역!$E$2:$E$5000,"용돈",거래내역!$H$2:$H$5000,설정!$B$5)</f>
        <v>600000</v>
      </c>
      <c r="D26" s="19" t="n">
        <f aca="false">SUMIFS(거래내역!$D$2:$D$5000,거래내역!$B$2:$B$5000,D$3,거래내역!$E$2:$E$5000,"용돈",거래내역!$H$2:$H$5000,설정!$B$5)</f>
        <v>600000</v>
      </c>
      <c r="E26" s="19" t="n">
        <f aca="false">SUMIFS(거래내역!$D$2:$D$5000,거래내역!$B$2:$B$5000,E$3,거래내역!$E$2:$E$5000,"용돈",거래내역!$H$2:$H$5000,설정!$B$5)</f>
        <v>600000</v>
      </c>
      <c r="F26" s="19" t="n">
        <f aca="false">SUMIFS(거래내역!$D$2:$D$5000,거래내역!$B$2:$B$5000,F$3,거래내역!$E$2:$E$5000,"용돈",거래내역!$H$2:$H$5000,설정!$B$5)</f>
        <v>600000</v>
      </c>
      <c r="G26" s="19" t="n">
        <f aca="false">SUMIFS(거래내역!$D$2:$D$5000,거래내역!$B$2:$B$5000,G$3,거래내역!$E$2:$E$5000,"용돈",거래내역!$H$2:$H$5000,설정!$B$5)</f>
        <v>600000</v>
      </c>
      <c r="H26" s="19" t="n">
        <f aca="false">SUMIFS(거래내역!$D$2:$D$5000,거래내역!$B$2:$B$5000,H$3,거래내역!$E$2:$E$5000,"용돈",거래내역!$H$2:$H$5000,설정!$B$5)</f>
        <v>600000</v>
      </c>
      <c r="I26" s="19" t="n">
        <f aca="false">SUMIFS(거래내역!$D$2:$D$5000,거래내역!$B$2:$B$5000,I$3,거래내역!$E$2:$E$5000,"용돈",거래내역!$H$2:$H$5000,설정!$B$5)</f>
        <v>600000</v>
      </c>
      <c r="J26" s="19" t="n">
        <f aca="false">SUMIFS(거래내역!$D$2:$D$5000,거래내역!$B$2:$B$5000,J$3,거래내역!$E$2:$E$5000,"용돈",거래내역!$H$2:$H$5000,설정!$B$5)</f>
        <v>600000</v>
      </c>
      <c r="K26" s="19" t="n">
        <f aca="false">SUMIFS(거래내역!$D$2:$D$5000,거래내역!$B$2:$B$5000,K$3,거래내역!$E$2:$E$5000,"용돈",거래내역!$H$2:$H$5000,설정!$B$5)</f>
        <v>600000</v>
      </c>
      <c r="L26" s="19" t="n">
        <f aca="false">SUMIFS(거래내역!$D$2:$D$5000,거래내역!$B$2:$B$5000,L$3,거래내역!$E$2:$E$5000,"용돈",거래내역!$H$2:$H$5000,설정!$B$5)</f>
        <v>600000</v>
      </c>
      <c r="M26" s="19" t="n">
        <f aca="false">SUMIFS(거래내역!$D$2:$D$5000,거래내역!$B$2:$B$5000,M$3,거래내역!$E$2:$E$5000,"용돈",거래내역!$H$2:$H$5000,설정!$B$5)</f>
        <v>600000</v>
      </c>
      <c r="N26" s="19" t="n">
        <f aca="false">SUM(B26:M26)</f>
        <v>7200000</v>
      </c>
      <c r="O26" s="19" t="n">
        <f aca="false">N26/12</f>
        <v>600000</v>
      </c>
      <c r="P26" s="19" t="n">
        <f aca="false">AVERAGE(K26:M26)</f>
        <v>600000</v>
      </c>
    </row>
    <row r="27" customFormat="false" ht="15" hidden="false" customHeight="false" outlineLevel="0" collapsed="false">
      <c r="A27" s="45" t="s">
        <v>449</v>
      </c>
      <c r="B27" s="47" t="n">
        <f aca="false">SUMIFS(거래내역!$D$2:$D$5000,거래내역!$B$2:$B$5000,B$3,거래내역!$F$2:$F$5000,"변동비",거래내역!$H$2:$H$5000,설정!$B$5)</f>
        <v>2216440</v>
      </c>
      <c r="C27" s="47" t="n">
        <f aca="false">SUMIFS(거래내역!$D$2:$D$5000,거래내역!$B$2:$B$5000,C$3,거래내역!$F$2:$F$5000,"변동비",거래내역!$H$2:$H$5000,설정!$B$5)</f>
        <v>2428180</v>
      </c>
      <c r="D27" s="47" t="n">
        <f aca="false">SUMIFS(거래내역!$D$2:$D$5000,거래내역!$B$2:$B$5000,D$3,거래내역!$F$2:$F$5000,"변동비",거래내역!$H$2:$H$5000,설정!$B$5)</f>
        <v>2385170</v>
      </c>
      <c r="E27" s="47" t="n">
        <f aca="false">SUMIFS(거래내역!$D$2:$D$5000,거래내역!$B$2:$B$5000,E$3,거래내역!$F$2:$F$5000,"변동비",거래내역!$H$2:$H$5000,설정!$B$5)</f>
        <v>2369540</v>
      </c>
      <c r="F27" s="47" t="n">
        <f aca="false">SUMIFS(거래내역!$D$2:$D$5000,거래내역!$B$2:$B$5000,F$3,거래내역!$F$2:$F$5000,"변동비",거래내역!$H$2:$H$5000,설정!$B$5)</f>
        <v>2101630</v>
      </c>
      <c r="G27" s="47" t="n">
        <f aca="false">SUMIFS(거래내역!$D$2:$D$5000,거래내역!$B$2:$B$5000,G$3,거래내역!$F$2:$F$5000,"변동비",거래내역!$H$2:$H$5000,설정!$B$5)</f>
        <v>2516030</v>
      </c>
      <c r="H27" s="47" t="n">
        <f aca="false">SUMIFS(거래내역!$D$2:$D$5000,거래내역!$B$2:$B$5000,H$3,거래내역!$F$2:$F$5000,"변동비",거래내역!$H$2:$H$5000,설정!$B$5)</f>
        <v>2278450</v>
      </c>
      <c r="I27" s="47" t="n">
        <f aca="false">SUMIFS(거래내역!$D$2:$D$5000,거래내역!$B$2:$B$5000,I$3,거래내역!$F$2:$F$5000,"변동비",거래내역!$H$2:$H$5000,설정!$B$5)</f>
        <v>2255640</v>
      </c>
      <c r="J27" s="47" t="n">
        <f aca="false">SUMIFS(거래내역!$D$2:$D$5000,거래내역!$B$2:$B$5000,J$3,거래내역!$F$2:$F$5000,"변동비",거래내역!$H$2:$H$5000,설정!$B$5)</f>
        <v>2674140</v>
      </c>
      <c r="K27" s="47" t="n">
        <f aca="false">SUMIFS(거래내역!$D$2:$D$5000,거래내역!$B$2:$B$5000,K$3,거래내역!$F$2:$F$5000,"변동비",거래내역!$H$2:$H$5000,설정!$B$5)</f>
        <v>2319770</v>
      </c>
      <c r="L27" s="47" t="n">
        <f aca="false">SUMIFS(거래내역!$D$2:$D$5000,거래내역!$B$2:$B$5000,L$3,거래내역!$F$2:$F$5000,"변동비",거래내역!$H$2:$H$5000,설정!$B$5)</f>
        <v>2424260</v>
      </c>
      <c r="M27" s="47" t="n">
        <f aca="false">SUMIFS(거래내역!$D$2:$D$5000,거래내역!$B$2:$B$5000,M$3,거래내역!$F$2:$F$5000,"변동비",거래내역!$H$2:$H$5000,설정!$B$5)</f>
        <v>2936170</v>
      </c>
      <c r="N27" s="47" t="n">
        <f aca="false">SUM(B27:M27)</f>
        <v>28905420</v>
      </c>
      <c r="O27" s="47" t="n">
        <f aca="false">N27/12</f>
        <v>2408785</v>
      </c>
      <c r="P27" s="47" t="n">
        <f aca="false">AVERAGE(K27:M27)</f>
        <v>2560066.66666667</v>
      </c>
    </row>
    <row r="28" customFormat="false" ht="15" hidden="false" customHeight="false" outlineLevel="0" collapsed="false">
      <c r="A28" s="64" t="s">
        <v>450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customFormat="false" ht="15" hidden="false" customHeight="false" outlineLevel="0" collapsed="false">
      <c r="A29" s="41" t="s">
        <v>451</v>
      </c>
      <c r="B29" s="19" t="n">
        <f aca="false">SUMIFS(거래내역!$D$2:$D$5000,거래내역!$B$2:$B$5000,B$3,거래내역!$E$2:$E$5000,"경조사",거래내역!$H$2:$H$5000,설정!$B$5)</f>
        <v>0</v>
      </c>
      <c r="C29" s="19" t="n">
        <f aca="false">SUMIFS(거래내역!$D$2:$D$5000,거래내역!$B$2:$B$5000,C$3,거래내역!$E$2:$E$5000,"경조사",거래내역!$H$2:$H$5000,설정!$B$5)</f>
        <v>100000</v>
      </c>
      <c r="D29" s="19" t="n">
        <f aca="false">SUMIFS(거래내역!$D$2:$D$5000,거래내역!$B$2:$B$5000,D$3,거래내역!$E$2:$E$5000,"경조사",거래내역!$H$2:$H$5000,설정!$B$5)</f>
        <v>0</v>
      </c>
      <c r="E29" s="19" t="n">
        <f aca="false">SUMIFS(거래내역!$D$2:$D$5000,거래내역!$B$2:$B$5000,E$3,거래내역!$E$2:$E$5000,"경조사",거래내역!$H$2:$H$5000,설정!$B$5)</f>
        <v>0</v>
      </c>
      <c r="F29" s="19" t="n">
        <f aca="false">SUMIFS(거래내역!$D$2:$D$5000,거래내역!$B$2:$B$5000,F$3,거래내역!$E$2:$E$5000,"경조사",거래내역!$H$2:$H$5000,설정!$B$5)</f>
        <v>0</v>
      </c>
      <c r="G29" s="19" t="n">
        <f aca="false">SUMIFS(거래내역!$D$2:$D$5000,거래내역!$B$2:$B$5000,G$3,거래내역!$E$2:$E$5000,"경조사",거래내역!$H$2:$H$5000,설정!$B$5)</f>
        <v>0</v>
      </c>
      <c r="H29" s="19" t="n">
        <f aca="false">SUMIFS(거래내역!$D$2:$D$5000,거래내역!$B$2:$B$5000,H$3,거래내역!$E$2:$E$5000,"경조사",거래내역!$H$2:$H$5000,설정!$B$5)</f>
        <v>0</v>
      </c>
      <c r="I29" s="19" t="n">
        <f aca="false">SUMIFS(거래내역!$D$2:$D$5000,거래내역!$B$2:$B$5000,I$3,거래내역!$E$2:$E$5000,"경조사",거래내역!$H$2:$H$5000,설정!$B$5)</f>
        <v>100000</v>
      </c>
      <c r="J29" s="19" t="n">
        <f aca="false">SUMIFS(거래내역!$D$2:$D$5000,거래내역!$B$2:$B$5000,J$3,거래내역!$E$2:$E$5000,"경조사",거래내역!$H$2:$H$5000,설정!$B$5)</f>
        <v>0</v>
      </c>
      <c r="K29" s="19" t="n">
        <f aca="false">SUMIFS(거래내역!$D$2:$D$5000,거래내역!$B$2:$B$5000,K$3,거래내역!$E$2:$E$5000,"경조사",거래내역!$H$2:$H$5000,설정!$B$5)</f>
        <v>0</v>
      </c>
      <c r="L29" s="19" t="n">
        <f aca="false">SUMIFS(거래내역!$D$2:$D$5000,거래내역!$B$2:$B$5000,L$3,거래내역!$E$2:$E$5000,"경조사",거래내역!$H$2:$H$5000,설정!$B$5)</f>
        <v>0</v>
      </c>
      <c r="M29" s="19" t="n">
        <f aca="false">SUMIFS(거래내역!$D$2:$D$5000,거래내역!$B$2:$B$5000,M$3,거래내역!$E$2:$E$5000,"경조사",거래내역!$H$2:$H$5000,설정!$B$5)</f>
        <v>0</v>
      </c>
      <c r="N29" s="19" t="n">
        <f aca="false">SUM(B29:M29)</f>
        <v>200000</v>
      </c>
      <c r="O29" s="19" t="n">
        <f aca="false">N29/12</f>
        <v>16666.6666666667</v>
      </c>
      <c r="P29" s="19" t="n">
        <f aca="false">AVERAGE(K29:M29)</f>
        <v>0</v>
      </c>
    </row>
    <row r="30" customFormat="false" ht="15" hidden="false" customHeight="false" outlineLevel="0" collapsed="false">
      <c r="A30" s="41" t="s">
        <v>452</v>
      </c>
      <c r="B30" s="19" t="n">
        <f aca="false">SUMIFS(거래내역!$D$2:$D$5000,거래내역!$B$2:$B$5000,B$3,거래내역!$E$2:$E$5000,"여행",거래내역!$H$2:$H$5000,설정!$B$5)</f>
        <v>0</v>
      </c>
      <c r="C30" s="19" t="n">
        <f aca="false">SUMIFS(거래내역!$D$2:$D$5000,거래내역!$B$2:$B$5000,C$3,거래내역!$E$2:$E$5000,"여행",거래내역!$H$2:$H$5000,설정!$B$5)</f>
        <v>0</v>
      </c>
      <c r="D30" s="19" t="n">
        <f aca="false">SUMIFS(거래내역!$D$2:$D$5000,거래내역!$B$2:$B$5000,D$3,거래내역!$E$2:$E$5000,"여행",거래내역!$H$2:$H$5000,설정!$B$5)</f>
        <v>0</v>
      </c>
      <c r="E30" s="19" t="n">
        <f aca="false">SUMIFS(거래내역!$D$2:$D$5000,거래내역!$B$2:$B$5000,E$3,거래내역!$E$2:$E$5000,"여행",거래내역!$H$2:$H$5000,설정!$B$5)</f>
        <v>0</v>
      </c>
      <c r="F30" s="19" t="n">
        <f aca="false">SUMIFS(거래내역!$D$2:$D$5000,거래내역!$B$2:$B$5000,F$3,거래내역!$E$2:$E$5000,"여행",거래내역!$H$2:$H$5000,설정!$B$5)</f>
        <v>1250000</v>
      </c>
      <c r="G30" s="19" t="n">
        <f aca="false">SUMIFS(거래내역!$D$2:$D$5000,거래내역!$B$2:$B$5000,G$3,거래내역!$E$2:$E$5000,"여행",거래내역!$H$2:$H$5000,설정!$B$5)</f>
        <v>0</v>
      </c>
      <c r="H30" s="19" t="n">
        <f aca="false">SUMIFS(거래내역!$D$2:$D$5000,거래내역!$B$2:$B$5000,H$3,거래내역!$E$2:$E$5000,"여행",거래내역!$H$2:$H$5000,설정!$B$5)</f>
        <v>0</v>
      </c>
      <c r="I30" s="19" t="n">
        <f aca="false">SUMIFS(거래내역!$D$2:$D$5000,거래내역!$B$2:$B$5000,I$3,거래내역!$E$2:$E$5000,"여행",거래내역!$H$2:$H$5000,설정!$B$5)</f>
        <v>0</v>
      </c>
      <c r="J30" s="19" t="n">
        <f aca="false">SUMIFS(거래내역!$D$2:$D$5000,거래내역!$B$2:$B$5000,J$3,거래내역!$E$2:$E$5000,"여행",거래내역!$H$2:$H$5000,설정!$B$5)</f>
        <v>0</v>
      </c>
      <c r="K30" s="19" t="n">
        <f aca="false">SUMIFS(거래내역!$D$2:$D$5000,거래내역!$B$2:$B$5000,K$3,거래내역!$E$2:$E$5000,"여행",거래내역!$H$2:$H$5000,설정!$B$5)</f>
        <v>0</v>
      </c>
      <c r="L30" s="19" t="n">
        <f aca="false">SUMIFS(거래내역!$D$2:$D$5000,거래내역!$B$2:$B$5000,L$3,거래내역!$E$2:$E$5000,"여행",거래내역!$H$2:$H$5000,설정!$B$5)</f>
        <v>2650000</v>
      </c>
      <c r="M30" s="19" t="n">
        <f aca="false">SUMIFS(거래내역!$D$2:$D$5000,거래내역!$B$2:$B$5000,M$3,거래내역!$E$2:$E$5000,"여행",거래내역!$H$2:$H$5000,설정!$B$5)</f>
        <v>0</v>
      </c>
      <c r="N30" s="19" t="n">
        <f aca="false">SUM(B30:M30)</f>
        <v>3900000</v>
      </c>
      <c r="O30" s="19" t="n">
        <f aca="false">N30/12</f>
        <v>325000</v>
      </c>
      <c r="P30" s="19" t="n">
        <f aca="false">AVERAGE(K30:M30)</f>
        <v>883333.333333333</v>
      </c>
    </row>
    <row r="31" customFormat="false" ht="15" hidden="false" customHeight="false" outlineLevel="0" collapsed="false">
      <c r="A31" s="41" t="s">
        <v>453</v>
      </c>
      <c r="B31" s="19" t="n">
        <f aca="false">SUMIFS(거래내역!$D$2:$D$5000,거래내역!$B$2:$B$5000,B$3,거래내역!$E$2:$E$5000,"세금",거래내역!$H$2:$H$5000,설정!$B$5)</f>
        <v>0</v>
      </c>
      <c r="C31" s="19" t="n">
        <f aca="false">SUMIFS(거래내역!$D$2:$D$5000,거래내역!$B$2:$B$5000,C$3,거래내역!$E$2:$E$5000,"세금",거래내역!$H$2:$H$5000,설정!$B$5)</f>
        <v>0</v>
      </c>
      <c r="D31" s="19" t="n">
        <f aca="false">SUMIFS(거래내역!$D$2:$D$5000,거래내역!$B$2:$B$5000,D$3,거래내역!$E$2:$E$5000,"세금",거래내역!$H$2:$H$5000,설정!$B$5)</f>
        <v>262000</v>
      </c>
      <c r="E31" s="19" t="n">
        <f aca="false">SUMIFS(거래내역!$D$2:$D$5000,거래내역!$B$2:$B$5000,E$3,거래내역!$E$2:$E$5000,"세금",거래내역!$H$2:$H$5000,설정!$B$5)</f>
        <v>0</v>
      </c>
      <c r="F31" s="19" t="n">
        <f aca="false">SUMIFS(거래내역!$D$2:$D$5000,거래내역!$B$2:$B$5000,F$3,거래내역!$E$2:$E$5000,"세금",거래내역!$H$2:$H$5000,설정!$B$5)</f>
        <v>0</v>
      </c>
      <c r="G31" s="19" t="n">
        <f aca="false">SUMIFS(거래내역!$D$2:$D$5000,거래내역!$B$2:$B$5000,G$3,거래내역!$E$2:$E$5000,"세금",거래내역!$H$2:$H$5000,설정!$B$5)</f>
        <v>0</v>
      </c>
      <c r="H31" s="19" t="n">
        <f aca="false">SUMIFS(거래내역!$D$2:$D$5000,거래내역!$B$2:$B$5000,H$3,거래내역!$E$2:$E$5000,"세금",거래내역!$H$2:$H$5000,설정!$B$5)</f>
        <v>0</v>
      </c>
      <c r="I31" s="19" t="n">
        <f aca="false">SUMIFS(거래내역!$D$2:$D$5000,거래내역!$B$2:$B$5000,I$3,거래내역!$E$2:$E$5000,"세금",거래내역!$H$2:$H$5000,설정!$B$5)</f>
        <v>0</v>
      </c>
      <c r="J31" s="19" t="n">
        <f aca="false">SUMIFS(거래내역!$D$2:$D$5000,거래내역!$B$2:$B$5000,J$3,거래내역!$E$2:$E$5000,"세금",거래내역!$H$2:$H$5000,설정!$B$5)</f>
        <v>262000</v>
      </c>
      <c r="K31" s="19" t="n">
        <f aca="false">SUMIFS(거래내역!$D$2:$D$5000,거래내역!$B$2:$B$5000,K$3,거래내역!$E$2:$E$5000,"세금",거래내역!$H$2:$H$5000,설정!$B$5)</f>
        <v>410000</v>
      </c>
      <c r="L31" s="19" t="n">
        <f aca="false">SUMIFS(거래내역!$D$2:$D$5000,거래내역!$B$2:$B$5000,L$3,거래내역!$E$2:$E$5000,"세금",거래내역!$H$2:$H$5000,설정!$B$5)</f>
        <v>0</v>
      </c>
      <c r="M31" s="19" t="n">
        <f aca="false">SUMIFS(거래내역!$D$2:$D$5000,거래내역!$B$2:$B$5000,M$3,거래내역!$E$2:$E$5000,"세금",거래내역!$H$2:$H$5000,설정!$B$5)</f>
        <v>410000</v>
      </c>
      <c r="N31" s="19" t="n">
        <f aca="false">SUM(B31:M31)</f>
        <v>1344000</v>
      </c>
      <c r="O31" s="19" t="n">
        <f aca="false">N31/12</f>
        <v>112000</v>
      </c>
      <c r="P31" s="19" t="n">
        <f aca="false">AVERAGE(K31:M31)</f>
        <v>273333.333333333</v>
      </c>
    </row>
    <row r="32" customFormat="false" ht="15" hidden="false" customHeight="false" outlineLevel="0" collapsed="false">
      <c r="A32" s="41" t="s">
        <v>454</v>
      </c>
      <c r="B32" s="19" t="n">
        <f aca="false">SUMIFS(거래내역!$D$2:$D$5000,거래내역!$B$2:$B$5000,B$3,거래내역!$E$2:$E$5000,"명절",거래내역!$H$2:$H$5000,설정!$B$5)</f>
        <v>0</v>
      </c>
      <c r="C32" s="19" t="n">
        <f aca="false">SUMIFS(거래내역!$D$2:$D$5000,거래내역!$B$2:$B$5000,C$3,거래내역!$E$2:$E$5000,"명절",거래내역!$H$2:$H$5000,설정!$B$5)</f>
        <v>0</v>
      </c>
      <c r="D32" s="19" t="n">
        <f aca="false">SUMIFS(거래내역!$D$2:$D$5000,거래내역!$B$2:$B$5000,D$3,거래내역!$E$2:$E$5000,"명절",거래내역!$H$2:$H$5000,설정!$B$5)</f>
        <v>0</v>
      </c>
      <c r="E32" s="19" t="n">
        <f aca="false">SUMIFS(거래내역!$D$2:$D$5000,거래내역!$B$2:$B$5000,E$3,거래내역!$E$2:$E$5000,"명절",거래내역!$H$2:$H$5000,설정!$B$5)</f>
        <v>0</v>
      </c>
      <c r="F32" s="19" t="n">
        <f aca="false">SUMIFS(거래내역!$D$2:$D$5000,거래내역!$B$2:$B$5000,F$3,거래내역!$E$2:$E$5000,"명절",거래내역!$H$2:$H$5000,설정!$B$5)</f>
        <v>520000</v>
      </c>
      <c r="G32" s="19" t="n">
        <f aca="false">SUMIFS(거래내역!$D$2:$D$5000,거래내역!$B$2:$B$5000,G$3,거래내역!$E$2:$E$5000,"명절",거래내역!$H$2:$H$5000,설정!$B$5)</f>
        <v>0</v>
      </c>
      <c r="H32" s="19" t="n">
        <f aca="false">SUMIFS(거래내역!$D$2:$D$5000,거래내역!$B$2:$B$5000,H$3,거래내역!$E$2:$E$5000,"명절",거래내역!$H$2:$H$5000,설정!$B$5)</f>
        <v>0</v>
      </c>
      <c r="I32" s="19" t="n">
        <f aca="false">SUMIFS(거래내역!$D$2:$D$5000,거래내역!$B$2:$B$5000,I$3,거래내역!$E$2:$E$5000,"명절",거래내역!$H$2:$H$5000,설정!$B$5)</f>
        <v>0</v>
      </c>
      <c r="J32" s="19" t="n">
        <f aca="false">SUMIFS(거래내역!$D$2:$D$5000,거래내역!$B$2:$B$5000,J$3,거래내역!$E$2:$E$5000,"명절",거래내역!$H$2:$H$5000,설정!$B$5)</f>
        <v>0</v>
      </c>
      <c r="K32" s="19" t="n">
        <f aca="false">SUMIFS(거래내역!$D$2:$D$5000,거래내역!$B$2:$B$5000,K$3,거래내역!$E$2:$E$5000,"명절",거래내역!$H$2:$H$5000,설정!$B$5)</f>
        <v>0</v>
      </c>
      <c r="L32" s="19" t="n">
        <f aca="false">SUMIFS(거래내역!$D$2:$D$5000,거래내역!$B$2:$B$5000,L$3,거래내역!$E$2:$E$5000,"명절",거래내역!$H$2:$H$5000,설정!$B$5)</f>
        <v>0</v>
      </c>
      <c r="M32" s="19" t="n">
        <f aca="false">SUMIFS(거래내역!$D$2:$D$5000,거래내역!$B$2:$B$5000,M$3,거래내역!$E$2:$E$5000,"명절",거래내역!$H$2:$H$5000,설정!$B$5)</f>
        <v>680000</v>
      </c>
      <c r="N32" s="19" t="n">
        <f aca="false">SUM(B32:M32)</f>
        <v>1200000</v>
      </c>
      <c r="O32" s="19" t="n">
        <f aca="false">N32/12</f>
        <v>100000</v>
      </c>
      <c r="P32" s="19" t="n">
        <f aca="false">AVERAGE(K32:M32)</f>
        <v>226666.666666667</v>
      </c>
    </row>
    <row r="33" customFormat="false" ht="15" hidden="false" customHeight="false" outlineLevel="0" collapsed="false">
      <c r="A33" s="45" t="s">
        <v>455</v>
      </c>
      <c r="B33" s="47" t="n">
        <f aca="false">SUMIFS(거래내역!$D$2:$D$5000,거래내역!$B$2:$B$5000,B$3,거래내역!$F$2:$F$5000,"비정기비",거래내역!$H$2:$H$5000,설정!$B$5)</f>
        <v>0</v>
      </c>
      <c r="C33" s="47" t="n">
        <f aca="false">SUMIFS(거래내역!$D$2:$D$5000,거래내역!$B$2:$B$5000,C$3,거래내역!$F$2:$F$5000,"비정기비",거래내역!$H$2:$H$5000,설정!$B$5)</f>
        <v>100000</v>
      </c>
      <c r="D33" s="47" t="n">
        <f aca="false">SUMIFS(거래내역!$D$2:$D$5000,거래내역!$B$2:$B$5000,D$3,거래내역!$F$2:$F$5000,"비정기비",거래내역!$H$2:$H$5000,설정!$B$5)</f>
        <v>262000</v>
      </c>
      <c r="E33" s="47" t="n">
        <f aca="false">SUMIFS(거래내역!$D$2:$D$5000,거래내역!$B$2:$B$5000,E$3,거래내역!$F$2:$F$5000,"비정기비",거래내역!$H$2:$H$5000,설정!$B$5)</f>
        <v>0</v>
      </c>
      <c r="F33" s="47" t="n">
        <f aca="false">SUMIFS(거래내역!$D$2:$D$5000,거래내역!$B$2:$B$5000,F$3,거래내역!$F$2:$F$5000,"비정기비",거래내역!$H$2:$H$5000,설정!$B$5)</f>
        <v>1770000</v>
      </c>
      <c r="G33" s="47" t="n">
        <f aca="false">SUMIFS(거래내역!$D$2:$D$5000,거래내역!$B$2:$B$5000,G$3,거래내역!$F$2:$F$5000,"비정기비",거래내역!$H$2:$H$5000,설정!$B$5)</f>
        <v>0</v>
      </c>
      <c r="H33" s="47" t="n">
        <f aca="false">SUMIFS(거래내역!$D$2:$D$5000,거래내역!$B$2:$B$5000,H$3,거래내역!$F$2:$F$5000,"비정기비",거래내역!$H$2:$H$5000,설정!$B$5)</f>
        <v>0</v>
      </c>
      <c r="I33" s="47" t="n">
        <f aca="false">SUMIFS(거래내역!$D$2:$D$5000,거래내역!$B$2:$B$5000,I$3,거래내역!$F$2:$F$5000,"비정기비",거래내역!$H$2:$H$5000,설정!$B$5)</f>
        <v>100000</v>
      </c>
      <c r="J33" s="47" t="n">
        <f aca="false">SUMIFS(거래내역!$D$2:$D$5000,거래내역!$B$2:$B$5000,J$3,거래내역!$F$2:$F$5000,"비정기비",거래내역!$H$2:$H$5000,설정!$B$5)</f>
        <v>262000</v>
      </c>
      <c r="K33" s="47" t="n">
        <f aca="false">SUMIFS(거래내역!$D$2:$D$5000,거래내역!$B$2:$B$5000,K$3,거래내역!$F$2:$F$5000,"비정기비",거래내역!$H$2:$H$5000,설정!$B$5)</f>
        <v>410000</v>
      </c>
      <c r="L33" s="47" t="n">
        <f aca="false">SUMIFS(거래내역!$D$2:$D$5000,거래내역!$B$2:$B$5000,L$3,거래내역!$F$2:$F$5000,"비정기비",거래내역!$H$2:$H$5000,설정!$B$5)</f>
        <v>2650000</v>
      </c>
      <c r="M33" s="47" t="n">
        <f aca="false">SUMIFS(거래내역!$D$2:$D$5000,거래내역!$B$2:$B$5000,M$3,거래내역!$F$2:$F$5000,"비정기비",거래내역!$H$2:$H$5000,설정!$B$5)</f>
        <v>1090000</v>
      </c>
      <c r="N33" s="47" t="n">
        <f aca="false">SUM(B33:M33)</f>
        <v>6644000</v>
      </c>
      <c r="O33" s="47" t="n">
        <f aca="false">N33/12</f>
        <v>553666.666666667</v>
      </c>
      <c r="P33" s="47" t="n">
        <f aca="false">AVERAGE(K33:M33)</f>
        <v>1383333.33333333</v>
      </c>
    </row>
    <row r="35" customFormat="false" ht="15" hidden="false" customHeight="false" outlineLevel="0" collapsed="false">
      <c r="A35" s="45" t="s">
        <v>456</v>
      </c>
      <c r="B35" s="47" t="n">
        <f aca="false">B17+B27+B33</f>
        <v>4682180</v>
      </c>
      <c r="C35" s="47" t="n">
        <f aca="false">C17+C27+C33</f>
        <v>4982810</v>
      </c>
      <c r="D35" s="47" t="n">
        <f aca="false">D17+D27+D33</f>
        <v>5149320</v>
      </c>
      <c r="E35" s="47" t="n">
        <f aca="false">E17+E27+E33</f>
        <v>4872140</v>
      </c>
      <c r="F35" s="47" t="n">
        <f aca="false">F17+F27+F33</f>
        <v>6387780</v>
      </c>
      <c r="G35" s="47" t="n">
        <f aca="false">G17+G27+G33</f>
        <v>4954180</v>
      </c>
      <c r="H35" s="47" t="n">
        <f aca="false">H17+H27+H33</f>
        <v>4705540</v>
      </c>
      <c r="I35" s="47" t="n">
        <f aca="false">I17+I27+I33</f>
        <v>4807080</v>
      </c>
      <c r="J35" s="47" t="n">
        <f aca="false">J17+J27+J33</f>
        <v>5368470</v>
      </c>
      <c r="K35" s="47" t="n">
        <f aca="false">K17+K27+K33</f>
        <v>5159740</v>
      </c>
      <c r="L35" s="47" t="n">
        <f aca="false">L17+L27+L33</f>
        <v>7489100</v>
      </c>
      <c r="M35" s="47" t="n">
        <f aca="false">M17+M27+M33</f>
        <v>6442350</v>
      </c>
      <c r="N35" s="47" t="n">
        <f aca="false">N17+N27+N33</f>
        <v>65000690</v>
      </c>
      <c r="O35" s="47" t="n">
        <f aca="false">O17+O27+O33</f>
        <v>5416724.16666667</v>
      </c>
      <c r="P35" s="47" t="n">
        <f aca="false">P17+P27+P33</f>
        <v>6363730</v>
      </c>
    </row>
    <row r="36" customFormat="false" ht="15" hidden="false" customHeight="false" outlineLevel="0" collapsed="false">
      <c r="A36" s="45" t="s">
        <v>457</v>
      </c>
      <c r="B36" s="47" t="n">
        <f aca="false">B9-B35</f>
        <v>3801820</v>
      </c>
      <c r="C36" s="47" t="n">
        <f aca="false">C9-C35</f>
        <v>3802690</v>
      </c>
      <c r="D36" s="47" t="n">
        <f aca="false">D9-D35</f>
        <v>4939680</v>
      </c>
      <c r="E36" s="47" t="n">
        <f aca="false">E9-E35</f>
        <v>6616360</v>
      </c>
      <c r="F36" s="47" t="n">
        <f aca="false">F9-F35</f>
        <v>2402220</v>
      </c>
      <c r="G36" s="47" t="n">
        <f aca="false">G9-G35</f>
        <v>3657320</v>
      </c>
      <c r="H36" s="47" t="n">
        <f aca="false">H9-H35</f>
        <v>3787460</v>
      </c>
      <c r="I36" s="47" t="n">
        <f aca="false">I9-I35</f>
        <v>3987420</v>
      </c>
      <c r="J36" s="47" t="n">
        <f aca="false">J9-J35</f>
        <v>3265530</v>
      </c>
      <c r="K36" s="47" t="n">
        <f aca="false">K9-K35</f>
        <v>6337760</v>
      </c>
      <c r="L36" s="47" t="n">
        <f aca="false">L9-L35</f>
        <v>1309900</v>
      </c>
      <c r="M36" s="47" t="n">
        <f aca="false">M9-M35</f>
        <v>2214150</v>
      </c>
      <c r="N36" s="47" t="n">
        <f aca="false">N9-N35</f>
        <v>46122310</v>
      </c>
      <c r="O36" s="47" t="n">
        <f aca="false">O9-O35</f>
        <v>3843525.83333333</v>
      </c>
      <c r="P36" s="47" t="n">
        <f aca="false">P9-P35</f>
        <v>3287270</v>
      </c>
    </row>
    <row r="37" customFormat="false" ht="15" hidden="false" customHeight="false" outlineLevel="0" collapsed="false">
      <c r="A37" s="45" t="s">
        <v>458</v>
      </c>
      <c r="B37" s="46" t="n">
        <f aca="false">IF(B9=0,0,B36/B9)</f>
        <v>0.448116454502593</v>
      </c>
      <c r="C37" s="46" t="n">
        <f aca="false">IF(C9=0,0,C36/C9)</f>
        <v>0.43283706106653</v>
      </c>
      <c r="D37" s="46" t="n">
        <f aca="false">IF(D9=0,0,D36/D9)</f>
        <v>0.489610466845079</v>
      </c>
      <c r="E37" s="46" t="n">
        <f aca="false">IF(E9=0,0,E36/E9)</f>
        <v>0.575911563737651</v>
      </c>
      <c r="F37" s="46" t="n">
        <f aca="false">IF(F9=0,0,F36/F9)</f>
        <v>0.273290102389078</v>
      </c>
      <c r="G37" s="46" t="n">
        <f aca="false">IF(G9=0,0,G36/G9)</f>
        <v>0.424701852174418</v>
      </c>
      <c r="H37" s="46" t="n">
        <f aca="false">IF(H9=0,0,H36/H9)</f>
        <v>0.445950782997763</v>
      </c>
      <c r="I37" s="46" t="n">
        <f aca="false">IF(I9=0,0,I36/I9)</f>
        <v>0.453399283643186</v>
      </c>
      <c r="J37" s="46" t="n">
        <f aca="false">IF(J9=0,0,J36/J9)</f>
        <v>0.378217512161223</v>
      </c>
      <c r="K37" s="46" t="n">
        <f aca="false">IF(K9=0,0,K36/K9)</f>
        <v>0.551229397695151</v>
      </c>
      <c r="L37" s="46" t="n">
        <f aca="false">IF(L9=0,0,L36/L9)</f>
        <v>0.148869189680646</v>
      </c>
      <c r="M37" s="46" t="n">
        <f aca="false">IF(M9=0,0,M36/M9)</f>
        <v>0.255778894472362</v>
      </c>
      <c r="N37" s="46" t="n">
        <f aca="false">IF(N9=0,0,N36/N9)</f>
        <v>0.41505637896745</v>
      </c>
      <c r="O37" s="46" t="n">
        <f aca="false">IF(O9=0,0,O36/O9)</f>
        <v>0.41505637896745</v>
      </c>
      <c r="P37" s="46" t="n">
        <f aca="false">IF(P9=0,0,P36/P9)</f>
        <v>0.340614444099057</v>
      </c>
    </row>
    <row r="39" customFormat="false" ht="15" hidden="false" customHeight="false" outlineLevel="0" collapsed="false">
      <c r="A39" s="64" t="s">
        <v>459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customFormat="false" ht="15" hidden="false" customHeight="false" outlineLevel="0" collapsed="false">
      <c r="A40" s="41" t="s">
        <v>460</v>
      </c>
      <c r="B40" s="19" t="n">
        <f aca="false">SUMIFS(거래내역!$D$2:$D$5000,거래내역!$B$2:$B$5000,B$3,거래내역!$E$2:$E$5000,"투자이체",거래내역!$H$2:$H$5000,설정!$B$5)</f>
        <v>1700000</v>
      </c>
      <c r="C40" s="19" t="n">
        <f aca="false">SUMIFS(거래내역!$D$2:$D$5000,거래내역!$B$2:$B$5000,C$3,거래내역!$E$2:$E$5000,"투자이체",거래내역!$H$2:$H$5000,설정!$B$5)</f>
        <v>1700000</v>
      </c>
      <c r="D40" s="19" t="n">
        <f aca="false">SUMIFS(거래내역!$D$2:$D$5000,거래내역!$B$2:$B$5000,D$3,거래내역!$E$2:$E$5000,"투자이체",거래내역!$H$2:$H$5000,설정!$B$5)</f>
        <v>1700000</v>
      </c>
      <c r="E40" s="19" t="n">
        <f aca="false">SUMIFS(거래내역!$D$2:$D$5000,거래내역!$B$2:$B$5000,E$3,거래내역!$E$2:$E$5000,"투자이체",거래내역!$H$2:$H$5000,설정!$B$5)</f>
        <v>1700000</v>
      </c>
      <c r="F40" s="19" t="n">
        <f aca="false">SUMIFS(거래내역!$D$2:$D$5000,거래내역!$B$2:$B$5000,F$3,거래내역!$E$2:$E$5000,"투자이체",거래내역!$H$2:$H$5000,설정!$B$5)</f>
        <v>1700000</v>
      </c>
      <c r="G40" s="19" t="n">
        <f aca="false">SUMIFS(거래내역!$D$2:$D$5000,거래내역!$B$2:$B$5000,G$3,거래내역!$E$2:$E$5000,"투자이체",거래내역!$H$2:$H$5000,설정!$B$5)</f>
        <v>1700000</v>
      </c>
      <c r="H40" s="19" t="n">
        <f aca="false">SUMIFS(거래내역!$D$2:$D$5000,거래내역!$B$2:$B$5000,H$3,거래내역!$E$2:$E$5000,"투자이체",거래내역!$H$2:$H$5000,설정!$B$5)</f>
        <v>1700000</v>
      </c>
      <c r="I40" s="19" t="n">
        <f aca="false">SUMIFS(거래내역!$D$2:$D$5000,거래내역!$B$2:$B$5000,I$3,거래내역!$E$2:$E$5000,"투자이체",거래내역!$H$2:$H$5000,설정!$B$5)</f>
        <v>1700000</v>
      </c>
      <c r="J40" s="19" t="n">
        <f aca="false">SUMIFS(거래내역!$D$2:$D$5000,거래내역!$B$2:$B$5000,J$3,거래내역!$E$2:$E$5000,"투자이체",거래내역!$H$2:$H$5000,설정!$B$5)</f>
        <v>1700000</v>
      </c>
      <c r="K40" s="19" t="n">
        <f aca="false">SUMIFS(거래내역!$D$2:$D$5000,거래내역!$B$2:$B$5000,K$3,거래내역!$E$2:$E$5000,"투자이체",거래내역!$H$2:$H$5000,설정!$B$5)</f>
        <v>1700000</v>
      </c>
      <c r="L40" s="19" t="n">
        <f aca="false">SUMIFS(거래내역!$D$2:$D$5000,거래내역!$B$2:$B$5000,L$3,거래내역!$E$2:$E$5000,"투자이체",거래내역!$H$2:$H$5000,설정!$B$5)</f>
        <v>1700000</v>
      </c>
      <c r="M40" s="19" t="n">
        <f aca="false">SUMIFS(거래내역!$D$2:$D$5000,거래내역!$B$2:$B$5000,M$3,거래내역!$E$2:$E$5000,"투자이체",거래내역!$H$2:$H$5000,설정!$B$5)</f>
        <v>1450000</v>
      </c>
      <c r="N40" s="19" t="n">
        <f aca="false">SUM(B40:M40)</f>
        <v>20150000</v>
      </c>
      <c r="O40" s="19" t="n">
        <f aca="false">N40/12</f>
        <v>1679166.66666667</v>
      </c>
      <c r="P40" s="19" t="n">
        <f aca="false">AVERAGE(K40:M40)</f>
        <v>1616666.66666667</v>
      </c>
    </row>
    <row r="41" customFormat="false" ht="15" hidden="false" customHeight="false" outlineLevel="0" collapsed="false">
      <c r="A41" s="41" t="s">
        <v>461</v>
      </c>
      <c r="B41" s="19" t="n">
        <f aca="false">SUMIFS(거래내역!$D$2:$D$5000,거래내역!$B$2:$B$5000,B$3,거래내역!$E$2:$E$5000,"연금납입",거래내역!$H$2:$H$5000,설정!$B$5)</f>
        <v>500000</v>
      </c>
      <c r="C41" s="19" t="n">
        <f aca="false">SUMIFS(거래내역!$D$2:$D$5000,거래내역!$B$2:$B$5000,C$3,거래내역!$E$2:$E$5000,"연금납입",거래내역!$H$2:$H$5000,설정!$B$5)</f>
        <v>500000</v>
      </c>
      <c r="D41" s="19" t="n">
        <f aca="false">SUMIFS(거래내역!$D$2:$D$5000,거래내역!$B$2:$B$5000,D$3,거래내역!$E$2:$E$5000,"연금납입",거래내역!$H$2:$H$5000,설정!$B$5)</f>
        <v>500000</v>
      </c>
      <c r="E41" s="19" t="n">
        <f aca="false">SUMIFS(거래내역!$D$2:$D$5000,거래내역!$B$2:$B$5000,E$3,거래내역!$E$2:$E$5000,"연금납입",거래내역!$H$2:$H$5000,설정!$B$5)</f>
        <v>500000</v>
      </c>
      <c r="F41" s="19" t="n">
        <f aca="false">SUMIFS(거래내역!$D$2:$D$5000,거래내역!$B$2:$B$5000,F$3,거래내역!$E$2:$E$5000,"연금납입",거래내역!$H$2:$H$5000,설정!$B$5)</f>
        <v>500000</v>
      </c>
      <c r="G41" s="19" t="n">
        <f aca="false">SUMIFS(거래내역!$D$2:$D$5000,거래내역!$B$2:$B$5000,G$3,거래내역!$E$2:$E$5000,"연금납입",거래내역!$H$2:$H$5000,설정!$B$5)</f>
        <v>500000</v>
      </c>
      <c r="H41" s="19" t="n">
        <f aca="false">SUMIFS(거래내역!$D$2:$D$5000,거래내역!$B$2:$B$5000,H$3,거래내역!$E$2:$E$5000,"연금납입",거래내역!$H$2:$H$5000,설정!$B$5)</f>
        <v>500000</v>
      </c>
      <c r="I41" s="19" t="n">
        <f aca="false">SUMIFS(거래내역!$D$2:$D$5000,거래내역!$B$2:$B$5000,I$3,거래내역!$E$2:$E$5000,"연금납입",거래내역!$H$2:$H$5000,설정!$B$5)</f>
        <v>500000</v>
      </c>
      <c r="J41" s="19" t="n">
        <f aca="false">SUMIFS(거래내역!$D$2:$D$5000,거래내역!$B$2:$B$5000,J$3,거래내역!$E$2:$E$5000,"연금납입",거래내역!$H$2:$H$5000,설정!$B$5)</f>
        <v>500000</v>
      </c>
      <c r="K41" s="19" t="n">
        <f aca="false">SUMIFS(거래내역!$D$2:$D$5000,거래내역!$B$2:$B$5000,K$3,거래내역!$E$2:$E$5000,"연금납입",거래내역!$H$2:$H$5000,설정!$B$5)</f>
        <v>500000</v>
      </c>
      <c r="L41" s="19" t="n">
        <f aca="false">SUMIFS(거래내역!$D$2:$D$5000,거래내역!$B$2:$B$5000,L$3,거래내역!$E$2:$E$5000,"연금납입",거래내역!$H$2:$H$5000,설정!$B$5)</f>
        <v>500000</v>
      </c>
      <c r="M41" s="19" t="n">
        <f aca="false">SUMIFS(거래내역!$D$2:$D$5000,거래내역!$B$2:$B$5000,M$3,거래내역!$E$2:$E$5000,"연금납입",거래내역!$H$2:$H$5000,설정!$B$5)</f>
        <v>500000</v>
      </c>
      <c r="N41" s="19" t="n">
        <f aca="false">SUM(B41:M41)</f>
        <v>6000000</v>
      </c>
      <c r="O41" s="19" t="n">
        <f aca="false">N41/12</f>
        <v>500000</v>
      </c>
      <c r="P41" s="19" t="n">
        <f aca="false">AVERAGE(K41:M41)</f>
        <v>500000</v>
      </c>
    </row>
    <row r="42" customFormat="false" ht="15" hidden="false" customHeight="false" outlineLevel="0" collapsed="false">
      <c r="A42" s="41" t="s">
        <v>462</v>
      </c>
      <c r="B42" s="19" t="n">
        <f aca="false">SUMIFS(거래내역!$D$2:$D$5000,거래내역!$B$2:$B$5000,B$3,거래내역!$E$2:$E$5000,"저축이체",거래내역!$H$2:$H$5000,설정!$B$5)</f>
        <v>400000</v>
      </c>
      <c r="C42" s="19" t="n">
        <f aca="false">SUMIFS(거래내역!$D$2:$D$5000,거래내역!$B$2:$B$5000,C$3,거래내역!$E$2:$E$5000,"저축이체",거래내역!$H$2:$H$5000,설정!$B$5)</f>
        <v>400000</v>
      </c>
      <c r="D42" s="19" t="n">
        <f aca="false">SUMIFS(거래내역!$D$2:$D$5000,거래내역!$B$2:$B$5000,D$3,거래내역!$E$2:$E$5000,"저축이체",거래내역!$H$2:$H$5000,설정!$B$5)</f>
        <v>400000</v>
      </c>
      <c r="E42" s="19" t="n">
        <f aca="false">SUMIFS(거래내역!$D$2:$D$5000,거래내역!$B$2:$B$5000,E$3,거래내역!$E$2:$E$5000,"저축이체",거래내역!$H$2:$H$5000,설정!$B$5)</f>
        <v>400000</v>
      </c>
      <c r="F42" s="19" t="n">
        <f aca="false">SUMIFS(거래내역!$D$2:$D$5000,거래내역!$B$2:$B$5000,F$3,거래내역!$E$2:$E$5000,"저축이체",거래내역!$H$2:$H$5000,설정!$B$5)</f>
        <v>400000</v>
      </c>
      <c r="G42" s="19" t="n">
        <f aca="false">SUMIFS(거래내역!$D$2:$D$5000,거래내역!$B$2:$B$5000,G$3,거래내역!$E$2:$E$5000,"저축이체",거래내역!$H$2:$H$5000,설정!$B$5)</f>
        <v>400000</v>
      </c>
      <c r="H42" s="19" t="n">
        <f aca="false">SUMIFS(거래내역!$D$2:$D$5000,거래내역!$B$2:$B$5000,H$3,거래내역!$E$2:$E$5000,"저축이체",거래내역!$H$2:$H$5000,설정!$B$5)</f>
        <v>400000</v>
      </c>
      <c r="I42" s="19" t="n">
        <f aca="false">SUMIFS(거래내역!$D$2:$D$5000,거래내역!$B$2:$B$5000,I$3,거래내역!$E$2:$E$5000,"저축이체",거래내역!$H$2:$H$5000,설정!$B$5)</f>
        <v>400000</v>
      </c>
      <c r="J42" s="19" t="n">
        <f aca="false">SUMIFS(거래내역!$D$2:$D$5000,거래내역!$B$2:$B$5000,J$3,거래내역!$E$2:$E$5000,"저축이체",거래내역!$H$2:$H$5000,설정!$B$5)</f>
        <v>400000</v>
      </c>
      <c r="K42" s="19" t="n">
        <f aca="false">SUMIFS(거래내역!$D$2:$D$5000,거래내역!$B$2:$B$5000,K$3,거래내역!$E$2:$E$5000,"저축이체",거래내역!$H$2:$H$5000,설정!$B$5)</f>
        <v>400000</v>
      </c>
      <c r="L42" s="19" t="n">
        <f aca="false">SUMIFS(거래내역!$D$2:$D$5000,거래내역!$B$2:$B$5000,L$3,거래내역!$E$2:$E$5000,"저축이체",거래내역!$H$2:$H$5000,설정!$B$5)</f>
        <v>400000</v>
      </c>
      <c r="M42" s="19" t="n">
        <f aca="false">SUMIFS(거래내역!$D$2:$D$5000,거래내역!$B$2:$B$5000,M$3,거래내역!$E$2:$E$5000,"저축이체",거래내역!$H$2:$H$5000,설정!$B$5)</f>
        <v>400000</v>
      </c>
      <c r="N42" s="19" t="n">
        <f aca="false">SUM(B42:M42)</f>
        <v>4800000</v>
      </c>
      <c r="O42" s="19" t="n">
        <f aca="false">N42/12</f>
        <v>400000</v>
      </c>
      <c r="P42" s="19" t="n">
        <f aca="false">AVERAGE(K42:M42)</f>
        <v>400000</v>
      </c>
    </row>
    <row r="43" customFormat="false" ht="15" hidden="false" customHeight="false" outlineLevel="0" collapsed="false">
      <c r="A43" s="41" t="s">
        <v>463</v>
      </c>
      <c r="B43" s="19" t="n">
        <f aca="false">SUMIFS(거래내역!$D$2:$D$5000,거래내역!$B$2:$B$5000,B$3,거래내역!$E$2:$E$5000,"대출원금상환",거래내역!$H$2:$H$5000,설정!$B$5)</f>
        <v>900000</v>
      </c>
      <c r="C43" s="19" t="n">
        <f aca="false">SUMIFS(거래내역!$D$2:$D$5000,거래내역!$B$2:$B$5000,C$3,거래내역!$E$2:$E$5000,"대출원금상환",거래내역!$H$2:$H$5000,설정!$B$5)</f>
        <v>900000</v>
      </c>
      <c r="D43" s="19" t="n">
        <f aca="false">SUMIFS(거래내역!$D$2:$D$5000,거래내역!$B$2:$B$5000,D$3,거래내역!$E$2:$E$5000,"대출원금상환",거래내역!$H$2:$H$5000,설정!$B$5)</f>
        <v>900000</v>
      </c>
      <c r="E43" s="19" t="n">
        <f aca="false">SUMIFS(거래내역!$D$2:$D$5000,거래내역!$B$2:$B$5000,E$3,거래내역!$E$2:$E$5000,"대출원금상환",거래내역!$H$2:$H$5000,설정!$B$5)</f>
        <v>900000</v>
      </c>
      <c r="F43" s="19" t="n">
        <f aca="false">SUMIFS(거래내역!$D$2:$D$5000,거래내역!$B$2:$B$5000,F$3,거래내역!$E$2:$E$5000,"대출원금상환",거래내역!$H$2:$H$5000,설정!$B$5)</f>
        <v>900000</v>
      </c>
      <c r="G43" s="19" t="n">
        <f aca="false">SUMIFS(거래내역!$D$2:$D$5000,거래내역!$B$2:$B$5000,G$3,거래내역!$E$2:$E$5000,"대출원금상환",거래내역!$H$2:$H$5000,설정!$B$5)</f>
        <v>900000</v>
      </c>
      <c r="H43" s="19" t="n">
        <f aca="false">SUMIFS(거래내역!$D$2:$D$5000,거래내역!$B$2:$B$5000,H$3,거래내역!$E$2:$E$5000,"대출원금상환",거래내역!$H$2:$H$5000,설정!$B$5)</f>
        <v>900000</v>
      </c>
      <c r="I43" s="19" t="n">
        <f aca="false">SUMIFS(거래내역!$D$2:$D$5000,거래내역!$B$2:$B$5000,I$3,거래내역!$E$2:$E$5000,"대출원금상환",거래내역!$H$2:$H$5000,설정!$B$5)</f>
        <v>900000</v>
      </c>
      <c r="J43" s="19" t="n">
        <f aca="false">SUMIFS(거래내역!$D$2:$D$5000,거래내역!$B$2:$B$5000,J$3,거래내역!$E$2:$E$5000,"대출원금상환",거래내역!$H$2:$H$5000,설정!$B$5)</f>
        <v>900000</v>
      </c>
      <c r="K43" s="19" t="n">
        <f aca="false">SUMIFS(거래내역!$D$2:$D$5000,거래내역!$B$2:$B$5000,K$3,거래내역!$E$2:$E$5000,"대출원금상환",거래내역!$H$2:$H$5000,설정!$B$5)</f>
        <v>900000</v>
      </c>
      <c r="L43" s="19" t="n">
        <f aca="false">SUMIFS(거래내역!$D$2:$D$5000,거래내역!$B$2:$B$5000,L$3,거래내역!$E$2:$E$5000,"대출원금상환",거래내역!$H$2:$H$5000,설정!$B$5)</f>
        <v>900000</v>
      </c>
      <c r="M43" s="19" t="n">
        <f aca="false">SUMIFS(거래내역!$D$2:$D$5000,거래내역!$B$2:$B$5000,M$3,거래내역!$E$2:$E$5000,"대출원금상환",거래내역!$H$2:$H$5000,설정!$B$5)</f>
        <v>900000</v>
      </c>
      <c r="N43" s="19" t="n">
        <f aca="false">SUM(B43:M43)</f>
        <v>10800000</v>
      </c>
      <c r="O43" s="19" t="n">
        <f aca="false">N43/12</f>
        <v>900000</v>
      </c>
      <c r="P43" s="19" t="n">
        <f aca="false">AVERAGE(K43:M43)</f>
        <v>900000</v>
      </c>
    </row>
    <row r="44" customFormat="false" ht="15" hidden="false" customHeight="false" outlineLevel="0" collapsed="false">
      <c r="A44" s="45" t="s">
        <v>464</v>
      </c>
      <c r="B44" s="47" t="n">
        <f aca="false">SUMIFS(거래내역!$D$2:$D$5000,거래내역!$B$2:$B$5000,B$3,거래내역!$F$2:$F$5000,"자본이동",거래내역!$H$2:$H$5000,설정!$B$5)</f>
        <v>3500000</v>
      </c>
      <c r="C44" s="47" t="n">
        <f aca="false">SUMIFS(거래내역!$D$2:$D$5000,거래내역!$B$2:$B$5000,C$3,거래내역!$F$2:$F$5000,"자본이동",거래내역!$H$2:$H$5000,설정!$B$5)</f>
        <v>3500000</v>
      </c>
      <c r="D44" s="47" t="n">
        <f aca="false">SUMIFS(거래내역!$D$2:$D$5000,거래내역!$B$2:$B$5000,D$3,거래내역!$F$2:$F$5000,"자본이동",거래내역!$H$2:$H$5000,설정!$B$5)</f>
        <v>3500000</v>
      </c>
      <c r="E44" s="47" t="n">
        <f aca="false">SUMIFS(거래내역!$D$2:$D$5000,거래내역!$B$2:$B$5000,E$3,거래내역!$F$2:$F$5000,"자본이동",거래내역!$H$2:$H$5000,설정!$B$5)</f>
        <v>3500000</v>
      </c>
      <c r="F44" s="47" t="n">
        <f aca="false">SUMIFS(거래내역!$D$2:$D$5000,거래내역!$B$2:$B$5000,F$3,거래내역!$F$2:$F$5000,"자본이동",거래내역!$H$2:$H$5000,설정!$B$5)</f>
        <v>3500000</v>
      </c>
      <c r="G44" s="47" t="n">
        <f aca="false">SUMIFS(거래내역!$D$2:$D$5000,거래내역!$B$2:$B$5000,G$3,거래내역!$F$2:$F$5000,"자본이동",거래내역!$H$2:$H$5000,설정!$B$5)</f>
        <v>3500000</v>
      </c>
      <c r="H44" s="47" t="n">
        <f aca="false">SUMIFS(거래내역!$D$2:$D$5000,거래내역!$B$2:$B$5000,H$3,거래내역!$F$2:$F$5000,"자본이동",거래내역!$H$2:$H$5000,설정!$B$5)</f>
        <v>3500000</v>
      </c>
      <c r="I44" s="47" t="n">
        <f aca="false">SUMIFS(거래내역!$D$2:$D$5000,거래내역!$B$2:$B$5000,I$3,거래내역!$F$2:$F$5000,"자본이동",거래내역!$H$2:$H$5000,설정!$B$5)</f>
        <v>3500000</v>
      </c>
      <c r="J44" s="47" t="n">
        <f aca="false">SUMIFS(거래내역!$D$2:$D$5000,거래내역!$B$2:$B$5000,J$3,거래내역!$F$2:$F$5000,"자본이동",거래내역!$H$2:$H$5000,설정!$B$5)</f>
        <v>3500000</v>
      </c>
      <c r="K44" s="47" t="n">
        <f aca="false">SUMIFS(거래내역!$D$2:$D$5000,거래내역!$B$2:$B$5000,K$3,거래내역!$F$2:$F$5000,"자본이동",거래내역!$H$2:$H$5000,설정!$B$5)</f>
        <v>3500000</v>
      </c>
      <c r="L44" s="47" t="n">
        <f aca="false">SUMIFS(거래내역!$D$2:$D$5000,거래내역!$B$2:$B$5000,L$3,거래내역!$F$2:$F$5000,"자본이동",거래내역!$H$2:$H$5000,설정!$B$5)</f>
        <v>3500000</v>
      </c>
      <c r="M44" s="47" t="n">
        <f aca="false">SUMIFS(거래내역!$D$2:$D$5000,거래내역!$B$2:$B$5000,M$3,거래내역!$F$2:$F$5000,"자본이동",거래내역!$H$2:$H$5000,설정!$B$5)</f>
        <v>3250000</v>
      </c>
      <c r="N44" s="47" t="n">
        <f aca="false">SUM(B44:M44)</f>
        <v>41750000</v>
      </c>
      <c r="O44" s="47" t="n">
        <f aca="false">N44/12</f>
        <v>3479166.66666667</v>
      </c>
      <c r="P44" s="47" t="n">
        <f aca="false">AVERAGE(K44:M44)</f>
        <v>3416666.66666667</v>
      </c>
    </row>
    <row r="45" customFormat="false" ht="15" hidden="false" customHeight="false" outlineLevel="0" collapsed="false">
      <c r="A45" s="45" t="s">
        <v>465</v>
      </c>
      <c r="B45" s="47" t="n">
        <f aca="false">B40+B41</f>
        <v>2200000</v>
      </c>
      <c r="C45" s="47" t="n">
        <f aca="false">C40+C41</f>
        <v>2200000</v>
      </c>
      <c r="D45" s="47" t="n">
        <f aca="false">D40+D41</f>
        <v>2200000</v>
      </c>
      <c r="E45" s="47" t="n">
        <f aca="false">E40+E41</f>
        <v>2200000</v>
      </c>
      <c r="F45" s="47" t="n">
        <f aca="false">F40+F41</f>
        <v>2200000</v>
      </c>
      <c r="G45" s="47" t="n">
        <f aca="false">G40+G41</f>
        <v>2200000</v>
      </c>
      <c r="H45" s="47" t="n">
        <f aca="false">H40+H41</f>
        <v>2200000</v>
      </c>
      <c r="I45" s="47" t="n">
        <f aca="false">I40+I41</f>
        <v>2200000</v>
      </c>
      <c r="J45" s="47" t="n">
        <f aca="false">J40+J41</f>
        <v>2200000</v>
      </c>
      <c r="K45" s="47" t="n">
        <f aca="false">K40+K41</f>
        <v>2200000</v>
      </c>
      <c r="L45" s="47" t="n">
        <f aca="false">L40+L41</f>
        <v>2200000</v>
      </c>
      <c r="M45" s="47" t="n">
        <f aca="false">M40+M41</f>
        <v>1950000</v>
      </c>
      <c r="N45" s="47" t="n">
        <f aca="false">N40+N41</f>
        <v>26150000</v>
      </c>
      <c r="O45" s="47" t="n">
        <f aca="false">O40+O41</f>
        <v>2179166.66666667</v>
      </c>
      <c r="P45" s="47" t="n">
        <f aca="false">P40+P41</f>
        <v>2116666.66666667</v>
      </c>
    </row>
    <row r="46" customFormat="false" ht="15" hidden="false" customHeight="false" outlineLevel="0" collapsed="false">
      <c r="A46" s="45" t="s">
        <v>466</v>
      </c>
      <c r="B46" s="47" t="n">
        <f aca="false">B36-B44</f>
        <v>301820</v>
      </c>
      <c r="C46" s="47" t="n">
        <f aca="false">C36-C44</f>
        <v>302690</v>
      </c>
      <c r="D46" s="47" t="n">
        <f aca="false">D36-D44</f>
        <v>1439680</v>
      </c>
      <c r="E46" s="47" t="n">
        <f aca="false">E36-E44</f>
        <v>3116360</v>
      </c>
      <c r="F46" s="47" t="n">
        <f aca="false">F36-F44</f>
        <v>-1097780</v>
      </c>
      <c r="G46" s="47" t="n">
        <f aca="false">G36-G44</f>
        <v>157320</v>
      </c>
      <c r="H46" s="47" t="n">
        <f aca="false">H36-H44</f>
        <v>287460</v>
      </c>
      <c r="I46" s="47" t="n">
        <f aca="false">I36-I44</f>
        <v>487420</v>
      </c>
      <c r="J46" s="47" t="n">
        <f aca="false">J36-J44</f>
        <v>-234470</v>
      </c>
      <c r="K46" s="47" t="n">
        <f aca="false">K36-K44</f>
        <v>2837760</v>
      </c>
      <c r="L46" s="47" t="n">
        <f aca="false">L36-L44</f>
        <v>-2190100</v>
      </c>
      <c r="M46" s="47" t="n">
        <f aca="false">M36-M44</f>
        <v>-1035850</v>
      </c>
      <c r="N46" s="47" t="n">
        <f aca="false">N36-N44</f>
        <v>4372310</v>
      </c>
      <c r="O46" s="47" t="n">
        <f aca="false">O36-O44</f>
        <v>364359.166666667</v>
      </c>
      <c r="P46" s="47" t="n">
        <f aca="false">P36-P44</f>
        <v>-129396.666666666</v>
      </c>
    </row>
    <row r="48" customFormat="false" ht="15" hidden="false" customHeight="false" outlineLevel="0" collapsed="false">
      <c r="A48" s="64" t="s">
        <v>467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</row>
    <row r="49" customFormat="false" ht="15" hidden="false" customHeight="false" outlineLevel="0" collapsed="false">
      <c r="A49" s="41" t="s">
        <v>468</v>
      </c>
      <c r="B49" s="19" t="n">
        <f aca="false">SUMIFS(거래내역!$D$2:$D$5000,거래내역!$B$2:$B$5000,B$3,거래내역!$G$2:$G$5000,"Y",거래내역!$H$2:$H$5000,설정!$B$5)</f>
        <v>3595760</v>
      </c>
      <c r="C49" s="19" t="n">
        <f aca="false">SUMIFS(거래내역!$D$2:$D$5000,거래내역!$B$2:$B$5000,C$3,거래내역!$G$2:$G$5000,"Y",거래내역!$H$2:$H$5000,설정!$B$5)</f>
        <v>3627990</v>
      </c>
      <c r="D49" s="19" t="n">
        <f aca="false">SUMIFS(거래내역!$D$2:$D$5000,거래내역!$B$2:$B$5000,D$3,거래내역!$G$2:$G$5000,"Y",거래내역!$H$2:$H$5000,설정!$B$5)</f>
        <v>3906860</v>
      </c>
      <c r="E49" s="19" t="n">
        <f aca="false">SUMIFS(거래내역!$D$2:$D$5000,거래내역!$B$2:$B$5000,E$3,거래내역!$G$2:$G$5000,"Y",거래내역!$H$2:$H$5000,설정!$B$5)</f>
        <v>3622540</v>
      </c>
      <c r="F49" s="19" t="n">
        <f aca="false">SUMIFS(거래내역!$D$2:$D$5000,거래내역!$B$2:$B$5000,F$3,거래내역!$G$2:$G$5000,"Y",거래내역!$H$2:$H$5000,설정!$B$5)</f>
        <v>3513300</v>
      </c>
      <c r="G49" s="19" t="n">
        <f aca="false">SUMIFS(거래내역!$D$2:$D$5000,거래내역!$B$2:$B$5000,G$3,거래내역!$G$2:$G$5000,"Y",거래내역!$H$2:$H$5000,설정!$B$5)</f>
        <v>3590540</v>
      </c>
      <c r="H49" s="19" t="n">
        <f aca="false">SUMIFS(거래내역!$D$2:$D$5000,거래내역!$B$2:$B$5000,H$3,거래내역!$G$2:$G$5000,"Y",거래내역!$H$2:$H$5000,설정!$B$5)</f>
        <v>3620080</v>
      </c>
      <c r="I49" s="19" t="n">
        <f aca="false">SUMIFS(거래내역!$D$2:$D$5000,거래내역!$B$2:$B$5000,I$3,거래내역!$G$2:$G$5000,"Y",거래내역!$H$2:$H$5000,설정!$B$5)</f>
        <v>3585290</v>
      </c>
      <c r="J49" s="19" t="n">
        <f aca="false">SUMIFS(거래내역!$D$2:$D$5000,거래내역!$B$2:$B$5000,J$3,거래내역!$G$2:$G$5000,"Y",거래내역!$H$2:$H$5000,설정!$B$5)</f>
        <v>3958630</v>
      </c>
      <c r="K49" s="19" t="n">
        <f aca="false">SUMIFS(거래내역!$D$2:$D$5000,거래내역!$B$2:$B$5000,K$3,거래내역!$G$2:$G$5000,"Y",거래내역!$H$2:$H$5000,설정!$B$5)</f>
        <v>3943480</v>
      </c>
      <c r="L49" s="19" t="n">
        <f aca="false">SUMIFS(거래내역!$D$2:$D$5000,거래내역!$B$2:$B$5000,L$3,거래내역!$G$2:$G$5000,"Y",거래내역!$H$2:$H$5000,설정!$B$5)</f>
        <v>3504660</v>
      </c>
      <c r="M49" s="19" t="n">
        <f aca="false">SUMIFS(거래내역!$D$2:$D$5000,거래내역!$B$2:$B$5000,M$3,거래내역!$G$2:$G$5000,"Y",거래내역!$H$2:$H$5000,설정!$B$5)</f>
        <v>4058570</v>
      </c>
      <c r="N49" s="19" t="n">
        <f aca="false">SUM(B49:M49)</f>
        <v>44527700</v>
      </c>
      <c r="O49" s="19" t="n">
        <f aca="false">N49/12</f>
        <v>3710641.66666667</v>
      </c>
      <c r="P49" s="19" t="n">
        <f aca="false">AVERAGE(K49:M49)</f>
        <v>3835570</v>
      </c>
    </row>
    <row r="50" customFormat="false" ht="15" hidden="false" customHeight="false" outlineLevel="0" collapsed="false">
      <c r="A50" s="41" t="s">
        <v>469</v>
      </c>
      <c r="B50" s="43" t="n">
        <f aca="false">IF(B9=0,0,B17/B9)</f>
        <v>0.290634134842056</v>
      </c>
      <c r="C50" s="43" t="n">
        <f aca="false">IF(C9=0,0,C17/C9)</f>
        <v>0.279395595014513</v>
      </c>
      <c r="D50" s="43" t="n">
        <f aca="false">IF(D9=0,0,D17/D9)</f>
        <v>0.248007731192388</v>
      </c>
      <c r="E50" s="43" t="n">
        <f aca="false">IF(E9=0,0,E17/E9)</f>
        <v>0.217835226530879</v>
      </c>
      <c r="F50" s="43" t="n">
        <f aca="false">IF(F9=0,0,F17/F9)</f>
        <v>0.286251422070535</v>
      </c>
      <c r="G50" s="43" t="n">
        <f aca="false">IF(G9=0,0,G17/G9)</f>
        <v>0.283127213609708</v>
      </c>
      <c r="H50" s="43" t="n">
        <f aca="false">IF(H9=0,0,H17/H9)</f>
        <v>0.285775344401272</v>
      </c>
      <c r="I50" s="43" t="n">
        <f aca="false">IF(I9=0,0,I17/I9)</f>
        <v>0.278746944112798</v>
      </c>
      <c r="J50" s="43" t="n">
        <f aca="false">IF(J9=0,0,J17/J9)</f>
        <v>0.281715311558953</v>
      </c>
      <c r="K50" s="43" t="n">
        <f aca="false">IF(K9=0,0,K17/K9)</f>
        <v>0.211347684279191</v>
      </c>
      <c r="L50" s="43" t="n">
        <f aca="false">IF(L9=0,0,L17/L9)</f>
        <v>0.274444823275372</v>
      </c>
      <c r="M50" s="43" t="n">
        <f aca="false">IF(M9=0,0,M17/M9)</f>
        <v>0.279117426211517</v>
      </c>
      <c r="N50" s="43" t="n">
        <f aca="false">IF(N9=0,0,N17/N9)</f>
        <v>0.265033071461354</v>
      </c>
      <c r="O50" s="43" t="n">
        <f aca="false">IF(O9=0,0,O17/O9)</f>
        <v>0.265033071461354</v>
      </c>
      <c r="P50" s="43" t="n">
        <f aca="false">IF(P9=0,0,P17/P9)</f>
        <v>0.250785410838255</v>
      </c>
    </row>
    <row r="51" customFormat="false" ht="15" hidden="false" customHeight="false" outlineLevel="0" collapsed="false">
      <c r="A51" s="41" t="s">
        <v>470</v>
      </c>
      <c r="B51" s="43" t="n">
        <f aca="false">IF(B9=0,0,B45/B9)</f>
        <v>0.259311645450259</v>
      </c>
      <c r="C51" s="43" t="n">
        <f aca="false">IF(C9=0,0,C45/C9)</f>
        <v>0.250412611689716</v>
      </c>
      <c r="D51" s="43" t="n">
        <f aca="false">IF(D9=0,0,D45/D9)</f>
        <v>0.218059272474973</v>
      </c>
      <c r="E51" s="43" t="n">
        <f aca="false">IF(E9=0,0,E45/E9)</f>
        <v>0.191495843669757</v>
      </c>
      <c r="F51" s="43" t="n">
        <f aca="false">IF(F9=0,0,F45/F9)</f>
        <v>0.25028441410694</v>
      </c>
      <c r="G51" s="43" t="n">
        <f aca="false">IF(G9=0,0,G45/G9)</f>
        <v>0.255472333507519</v>
      </c>
      <c r="H51" s="43" t="n">
        <f aca="false">IF(H9=0,0,H45/H9)</f>
        <v>0.259036853879666</v>
      </c>
      <c r="I51" s="43" t="n">
        <f aca="false">IF(I9=0,0,I45/I9)</f>
        <v>0.250156347717323</v>
      </c>
      <c r="J51" s="43" t="n">
        <f aca="false">IF(J9=0,0,J45/J9)</f>
        <v>0.254806578642576</v>
      </c>
      <c r="K51" s="43" t="n">
        <f aca="false">IF(K9=0,0,K45/K9)</f>
        <v>0.191345944770602</v>
      </c>
      <c r="L51" s="43" t="n">
        <f aca="false">IF(L9=0,0,L45/L9)</f>
        <v>0.250028412319582</v>
      </c>
      <c r="M51" s="43" t="n">
        <f aca="false">IF(M9=0,0,M45/M9)</f>
        <v>0.225264252295963</v>
      </c>
      <c r="N51" s="43" t="n">
        <f aca="false">IF(N9=0,0,N45/N9)</f>
        <v>0.235324820244234</v>
      </c>
      <c r="O51" s="43" t="n">
        <f aca="false">IF(O9=0,0,O45/O9)</f>
        <v>0.235324820244234</v>
      </c>
      <c r="P51" s="43" t="n">
        <f aca="false">IF(P9=0,0,P45/P9)</f>
        <v>0.219320968466135</v>
      </c>
    </row>
    <row r="52" customFormat="false" ht="15" hidden="false" customHeight="false" outlineLevel="0" collapsed="false">
      <c r="A52" s="41" t="s">
        <v>471</v>
      </c>
      <c r="B52" s="19" t="n">
        <f aca="false">SUMIFS(거래내역!$D$2:$D$5000,거래내역!$B$2:$B$5000,B$3,거래내역!$F$2:$F$5000,"미분류",거래내역!$H$2:$H$5000,설정!$B$5)</f>
        <v>0</v>
      </c>
      <c r="C52" s="19" t="n">
        <f aca="false">SUMIFS(거래내역!$D$2:$D$5000,거래내역!$B$2:$B$5000,C$3,거래내역!$F$2:$F$5000,"미분류",거래내역!$H$2:$H$5000,설정!$B$5)</f>
        <v>0</v>
      </c>
      <c r="D52" s="19" t="n">
        <f aca="false">SUMIFS(거래내역!$D$2:$D$5000,거래내역!$B$2:$B$5000,D$3,거래내역!$F$2:$F$5000,"미분류",거래내역!$H$2:$H$5000,설정!$B$5)</f>
        <v>0</v>
      </c>
      <c r="E52" s="19" t="n">
        <f aca="false">SUMIFS(거래내역!$D$2:$D$5000,거래내역!$B$2:$B$5000,E$3,거래내역!$F$2:$F$5000,"미분류",거래내역!$H$2:$H$5000,설정!$B$5)</f>
        <v>0</v>
      </c>
      <c r="F52" s="19" t="n">
        <f aca="false">SUMIFS(거래내역!$D$2:$D$5000,거래내역!$B$2:$B$5000,F$3,거래내역!$F$2:$F$5000,"미분류",거래내역!$H$2:$H$5000,설정!$B$5)</f>
        <v>0</v>
      </c>
      <c r="G52" s="19" t="n">
        <f aca="false">SUMIFS(거래내역!$D$2:$D$5000,거래내역!$B$2:$B$5000,G$3,거래내역!$F$2:$F$5000,"미분류",거래내역!$H$2:$H$5000,설정!$B$5)</f>
        <v>0</v>
      </c>
      <c r="H52" s="19" t="n">
        <f aca="false">SUMIFS(거래내역!$D$2:$D$5000,거래내역!$B$2:$B$5000,H$3,거래내역!$F$2:$F$5000,"미분류",거래내역!$H$2:$H$5000,설정!$B$5)</f>
        <v>0</v>
      </c>
      <c r="I52" s="19" t="n">
        <f aca="false">SUMIFS(거래내역!$D$2:$D$5000,거래내역!$B$2:$B$5000,I$3,거래내역!$F$2:$F$5000,"미분류",거래내역!$H$2:$H$5000,설정!$B$5)</f>
        <v>0</v>
      </c>
      <c r="J52" s="19" t="n">
        <f aca="false">SUMIFS(거래내역!$D$2:$D$5000,거래내역!$B$2:$B$5000,J$3,거래내역!$F$2:$F$5000,"미분류",거래내역!$H$2:$H$5000,설정!$B$5)</f>
        <v>0</v>
      </c>
      <c r="K52" s="19" t="n">
        <f aca="false">SUMIFS(거래내역!$D$2:$D$5000,거래내역!$B$2:$B$5000,K$3,거래내역!$F$2:$F$5000,"미분류",거래내역!$H$2:$H$5000,설정!$B$5)</f>
        <v>0</v>
      </c>
      <c r="L52" s="19" t="n">
        <f aca="false">SUMIFS(거래내역!$D$2:$D$5000,거래내역!$B$2:$B$5000,L$3,거래내역!$F$2:$F$5000,"미분류",거래내역!$H$2:$H$5000,설정!$B$5)</f>
        <v>0</v>
      </c>
      <c r="M52" s="19" t="n">
        <f aca="false">SUMIFS(거래내역!$D$2:$D$5000,거래내역!$B$2:$B$5000,M$3,거래내역!$F$2:$F$5000,"미분류",거래내역!$H$2:$H$5000,설정!$B$5)</f>
        <v>0</v>
      </c>
      <c r="N52" s="19" t="n">
        <f aca="false">SUM(B52:M52)</f>
        <v>0</v>
      </c>
      <c r="O52" s="19" t="n">
        <f aca="false">N52/12</f>
        <v>0</v>
      </c>
      <c r="P52" s="19" t="n">
        <f aca="false">AVERAGE(K52:M52)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5" min="4" style="0" width="16"/>
    <col collapsed="false" customWidth="true" hidden="false" outlineLevel="0" max="7" min="6" style="0" width="14"/>
  </cols>
  <sheetData>
    <row r="1" customFormat="false" ht="19.7" hidden="false" customHeight="false" outlineLevel="0" collapsed="false">
      <c r="A1" s="39" t="s">
        <v>472</v>
      </c>
    </row>
    <row r="2" customFormat="false" ht="15" hidden="false" customHeight="false" outlineLevel="0" collapsed="false">
      <c r="A2" s="31" t="s">
        <v>473</v>
      </c>
    </row>
    <row r="3" customFormat="false" ht="15" hidden="false" customHeight="false" outlineLevel="0" collapsed="false">
      <c r="A3" s="30" t="s">
        <v>394</v>
      </c>
      <c r="B3" s="30" t="str">
        <f aca="false">설정!$B$3</f>
        <v>2026-09</v>
      </c>
      <c r="C3" s="30" t="str">
        <f aca="false">설정!$B$6</f>
        <v>2026-08</v>
      </c>
      <c r="D3" s="30" t="s">
        <v>474</v>
      </c>
      <c r="E3" s="30" t="s">
        <v>475</v>
      </c>
      <c r="F3" s="30" t="s">
        <v>476</v>
      </c>
    </row>
    <row r="4" customFormat="false" ht="15" hidden="false" customHeight="false" outlineLevel="0" collapsed="false">
      <c r="A4" s="41" t="s">
        <v>477</v>
      </c>
      <c r="B4" s="19" t="n">
        <f aca="false">SUMIFS(스냅샷!$C$2:$C$3000,스냅샷!$A$2:$A$3000,B$3,스냅샷!$E$2:$E$3000,"현금성",스냅샷!$F$2:$F$3000,설정!$B$5)</f>
        <v>42013000</v>
      </c>
      <c r="C4" s="19" t="n">
        <f aca="false">SUMIFS(스냅샷!$C$2:$C$3000,스냅샷!$A$2:$A$3000,C$3,스냅샷!$E$2:$E$3000,"현금성",스냅샷!$F$2:$F$3000,설정!$B$5)</f>
        <v>40640000</v>
      </c>
      <c r="D4" s="19" t="n">
        <f aca="false">B4-C4</f>
        <v>1373000</v>
      </c>
      <c r="E4" s="43" t="n">
        <f aca="false">IF(C4=0,0,D4/ABS(C4))</f>
        <v>0.0337844488188976</v>
      </c>
      <c r="F4" s="43" t="n">
        <f aca="false">IF($B$9=0,0,B4/$B$9)</f>
        <v>0.0404837272048373</v>
      </c>
    </row>
    <row r="5" customFormat="false" ht="15" hidden="false" customHeight="false" outlineLevel="0" collapsed="false">
      <c r="A5" s="41" t="s">
        <v>478</v>
      </c>
      <c r="B5" s="19" t="n">
        <f aca="false">SUMIFS(스냅샷!$C$2:$C$3000,스냅샷!$A$2:$A$3000,B$3,스냅샷!$E$2:$E$3000,"투자",스냅샷!$F$2:$F$3000,설정!$B$5)</f>
        <v>87949000</v>
      </c>
      <c r="C5" s="19" t="n">
        <f aca="false">SUMIFS(스냅샷!$C$2:$C$3000,스냅샷!$A$2:$A$3000,C$3,스냅샷!$E$2:$E$3000,"투자",스냅샷!$F$2:$F$3000,설정!$B$5)</f>
        <v>85252000</v>
      </c>
      <c r="D5" s="19" t="n">
        <f aca="false">B5-C5</f>
        <v>2697000</v>
      </c>
      <c r="E5" s="43" t="n">
        <f aca="false">IF(C5=0,0,D5/ABS(C5))</f>
        <v>0.0316356214516962</v>
      </c>
      <c r="F5" s="43" t="n">
        <f aca="false">IF($B$9=0,0,B5/$B$9)</f>
        <v>0.0847476572474766</v>
      </c>
    </row>
    <row r="6" customFormat="false" ht="15" hidden="false" customHeight="false" outlineLevel="0" collapsed="false">
      <c r="A6" s="41" t="s">
        <v>479</v>
      </c>
      <c r="B6" s="19" t="n">
        <f aca="false">SUMIFS(스냅샷!$C$2:$C$3000,스냅샷!$A$2:$A$3000,B$3,스냅샷!$E$2:$E$3000,"연금",스냅샷!$F$2:$F$3000,설정!$B$5)</f>
        <v>84563000</v>
      </c>
      <c r="C6" s="19" t="n">
        <f aca="false">SUMIFS(스냅샷!$C$2:$C$3000,스냅샷!$A$2:$A$3000,C$3,스냅샷!$E$2:$E$3000,"연금",스냅샷!$F$2:$F$3000,설정!$B$5)</f>
        <v>82993000</v>
      </c>
      <c r="D6" s="19" t="n">
        <f aca="false">B6-C6</f>
        <v>1570000</v>
      </c>
      <c r="E6" s="43" t="n">
        <f aca="false">IF(C6=0,0,D6/ABS(C6))</f>
        <v>0.0189172580820069</v>
      </c>
      <c r="F6" s="43" t="n">
        <f aca="false">IF($B$9=0,0,B6/$B$9)</f>
        <v>0.0814849076148491</v>
      </c>
    </row>
    <row r="7" customFormat="false" ht="15" hidden="false" customHeight="false" outlineLevel="0" collapsed="false">
      <c r="A7" s="41" t="s">
        <v>480</v>
      </c>
      <c r="B7" s="19" t="n">
        <f aca="false">SUMIFS(스냅샷!$C$2:$C$3000,스냅샷!$A$2:$A$3000,B$3,스냅샷!$E$2:$E$3000,"부동산",스냅샷!$F$2:$F$3000,설정!$B$5)</f>
        <v>802000000</v>
      </c>
      <c r="C7" s="19" t="n">
        <f aca="false">SUMIFS(스냅샷!$C$2:$C$3000,스냅샷!$A$2:$A$3000,C$3,스냅샷!$E$2:$E$3000,"부동산",스냅샷!$F$2:$F$3000,설정!$B$5)</f>
        <v>800000000</v>
      </c>
      <c r="D7" s="19" t="n">
        <f aca="false">B7-C7</f>
        <v>2000000</v>
      </c>
      <c r="E7" s="43" t="n">
        <f aca="false">IF(C7=0,0,D7/ABS(C7))</f>
        <v>0.0025</v>
      </c>
      <c r="F7" s="43" t="n">
        <f aca="false">IF($B$9=0,0,B7/$B$9)</f>
        <v>0.772807207728072</v>
      </c>
    </row>
    <row r="8" customFormat="false" ht="15" hidden="false" customHeight="false" outlineLevel="0" collapsed="false">
      <c r="A8" s="41" t="s">
        <v>481</v>
      </c>
      <c r="B8" s="19" t="n">
        <f aca="false">SUMIFS(스냅샷!$C$2:$C$3000,스냅샷!$A$2:$A$3000,B$3,스냅샷!$E$2:$E$3000,"기타자산",스냅샷!$F$2:$F$3000,설정!$B$5)</f>
        <v>21250000</v>
      </c>
      <c r="C8" s="19" t="n">
        <f aca="false">SUMIFS(스냅샷!$C$2:$C$3000,스냅샷!$A$2:$A$3000,C$3,스냅샷!$E$2:$E$3000,"기타자산",스냅샷!$F$2:$F$3000,설정!$B$5)</f>
        <v>21500000</v>
      </c>
      <c r="D8" s="19" t="n">
        <f aca="false">B8-C8</f>
        <v>-250000</v>
      </c>
      <c r="E8" s="43" t="n">
        <f aca="false">IF(C8=0,0,D8/ABS(C8))</f>
        <v>-0.0116279069767442</v>
      </c>
      <c r="F8" s="43" t="n">
        <f aca="false">IF($B$9=0,0,B8/$B$9)</f>
        <v>0.020476500204765</v>
      </c>
    </row>
    <row r="9" customFormat="false" ht="15" hidden="false" customHeight="false" outlineLevel="0" collapsed="false">
      <c r="A9" s="45" t="s">
        <v>482</v>
      </c>
      <c r="B9" s="47" t="n">
        <f aca="false">SUM(B4:B8)</f>
        <v>1037775000</v>
      </c>
      <c r="C9" s="47" t="n">
        <f aca="false">SUM(C4:C8)</f>
        <v>1030385000</v>
      </c>
      <c r="D9" s="47" t="n">
        <f aca="false">B9-C9</f>
        <v>7390000</v>
      </c>
      <c r="E9" s="46" t="n">
        <f aca="false">IF(C9=0,0,D9/ABS(C9))</f>
        <v>0.00717207645685836</v>
      </c>
      <c r="F9" s="46" t="n">
        <f aca="false">IF($B$9=0,0,B9/$B$9)</f>
        <v>1</v>
      </c>
    </row>
    <row r="10" customFormat="false" ht="15" hidden="false" customHeight="false" outlineLevel="0" collapsed="false">
      <c r="A10" s="45" t="s">
        <v>483</v>
      </c>
      <c r="B10" s="47" t="n">
        <f aca="false">SUMIFS(스냅샷!$C$2:$C$3000,스냅샷!$A$2:$A$3000,B$3,스냅샷!$E$2:$E$3000,"부채",스냅샷!$F$2:$F$3000,설정!$B$5)</f>
        <v>303182000</v>
      </c>
      <c r="C10" s="47" t="n">
        <f aca="false">SUMIFS(스냅샷!$C$2:$C$3000,스냅샷!$A$2:$A$3000,C$3,스냅샷!$E$2:$E$3000,"부채",스냅샷!$F$2:$F$3000,설정!$B$5)</f>
        <v>304717000</v>
      </c>
      <c r="D10" s="47" t="n">
        <f aca="false">B10-C10</f>
        <v>-1535000</v>
      </c>
      <c r="E10" s="46" t="n">
        <f aca="false">IF(C10=0,0,D10/ABS(C10))</f>
        <v>-0.00503746098839251</v>
      </c>
      <c r="F10" s="46" t="n">
        <f aca="false">IF($B$9=0,0,B10/$B$9)</f>
        <v>0.292146178121462</v>
      </c>
    </row>
    <row r="11" customFormat="false" ht="15" hidden="false" customHeight="false" outlineLevel="0" collapsed="false">
      <c r="A11" s="45" t="s">
        <v>484</v>
      </c>
      <c r="B11" s="47" t="n">
        <f aca="false">B9-B10</f>
        <v>734593000</v>
      </c>
      <c r="C11" s="47" t="n">
        <f aca="false">C9-C10</f>
        <v>725668000</v>
      </c>
      <c r="D11" s="47" t="n">
        <f aca="false">B11-C11</f>
        <v>8925000</v>
      </c>
      <c r="E11" s="46" t="n">
        <f aca="false">IF(C11=0,0,D11/ABS(C11))</f>
        <v>0.0122990127716807</v>
      </c>
      <c r="F11" s="46" t="n">
        <f aca="false">IF($B$9=0,0,B11/$B$9)</f>
        <v>0.707853821878538</v>
      </c>
    </row>
    <row r="12" customFormat="false" ht="15" hidden="false" customHeight="false" outlineLevel="0" collapsed="false">
      <c r="A12" s="41" t="s">
        <v>485</v>
      </c>
      <c r="B12" s="19" t="n">
        <f aca="false">B11-B7</f>
        <v>-67407000</v>
      </c>
      <c r="C12" s="19" t="n">
        <f aca="false">C11-C7</f>
        <v>-74332000</v>
      </c>
      <c r="D12" s="19" t="n">
        <f aca="false">B12-C12</f>
        <v>6925000</v>
      </c>
      <c r="E12" s="43" t="n">
        <f aca="false">IF(C12=0,0,D12/ABS(C12))</f>
        <v>0.0931631060646828</v>
      </c>
      <c r="F12" s="43" t="n">
        <f aca="false">IF($B$9=0,0,B12/$B$9)</f>
        <v>-0.0649533858495339</v>
      </c>
    </row>
    <row r="13" customFormat="false" ht="15" hidden="false" customHeight="false" outlineLevel="0" collapsed="false">
      <c r="A13" s="45" t="s">
        <v>486</v>
      </c>
      <c r="B13" s="47" t="n">
        <f aca="false">B5+B6</f>
        <v>172512000</v>
      </c>
      <c r="C13" s="47" t="n">
        <f aca="false">C5+C6</f>
        <v>168245000</v>
      </c>
      <c r="D13" s="47" t="n">
        <f aca="false">B13-C13</f>
        <v>4267000</v>
      </c>
      <c r="E13" s="46" t="n">
        <f aca="false">IF(C13=0,0,D13/ABS(C13))</f>
        <v>0.0253618235311599</v>
      </c>
      <c r="F13" s="46" t="n">
        <f aca="false">IF($B$9=0,0,B13/$B$9)</f>
        <v>0.166232564862326</v>
      </c>
    </row>
    <row r="14" customFormat="false" ht="15" hidden="false" customHeight="false" outlineLevel="0" collapsed="false">
      <c r="A14" s="41" t="s">
        <v>487</v>
      </c>
      <c r="B14" s="43" t="n">
        <f aca="false">IF(B9=0,0,B10/B9)</f>
        <v>0.292146178121462</v>
      </c>
      <c r="C14" s="43" t="n">
        <f aca="false">IF(C9=0,0,C10/C9)</f>
        <v>0.295731207267187</v>
      </c>
      <c r="D14" s="43" t="n">
        <f aca="false">B14-C14</f>
        <v>-0.00358502914572478</v>
      </c>
      <c r="E14" s="43"/>
      <c r="F14" s="43"/>
    </row>
    <row r="15" customFormat="false" ht="15" hidden="false" customHeight="false" outlineLevel="0" collapsed="false">
      <c r="A15" s="41" t="s">
        <v>488</v>
      </c>
      <c r="B15" s="19" t="n">
        <f aca="false">SUMIFS(스냅샷!$C$2:$C$3000,스냅샷!$A$2:$A$3000,B$3,스냅샷!$E$2:$E$3000,"현금성",스냅샷!$G$2:$G$3000,"즉시",스냅샷!$F$2:$F$3000,설정!$B$5)</f>
        <v>21713000</v>
      </c>
      <c r="C15" s="19" t="n">
        <f aca="false">SUMIFS(스냅샷!$C$2:$C$3000,스냅샷!$A$2:$A$3000,C$3,스냅샷!$E$2:$E$3000,"현금성",스냅샷!$G$2:$G$3000,"즉시",스냅샷!$F$2:$F$3000,설정!$B$5)</f>
        <v>20740000</v>
      </c>
      <c r="D15" s="19" t="n">
        <f aca="false">B15-C15</f>
        <v>973000</v>
      </c>
      <c r="E15" s="43" t="n">
        <f aca="false">IF(C15=0,0,D15/ABS(C15))</f>
        <v>0.0469141755062681</v>
      </c>
      <c r="F15" s="43" t="n">
        <f aca="false">IF($B$9=0,0,B15/$B$9)</f>
        <v>0.0209226470092265</v>
      </c>
    </row>
    <row r="16" customFormat="false" ht="15" hidden="false" customHeight="false" outlineLevel="0" collapsed="false">
      <c r="A16" s="41" t="s">
        <v>489</v>
      </c>
      <c r="B16" s="19" t="n">
        <f aca="false">B15-SUMIFS(스냅샷!$C$2:$C$3000,스냅샷!$A$2:$A$3000,B$3,스냅샷!$E$2:$E$3000,"부채",스냅샷!$G$2:$G$3000,"즉시",스냅샷!$F$2:$F$3000,설정!$B$5)</f>
        <v>18631000</v>
      </c>
      <c r="C16" s="19" t="n">
        <f aca="false">C15-SUMIFS(스냅샷!$C$2:$C$3000,스냅샷!$A$2:$A$3000,C$3,스냅샷!$E$2:$E$3000,"부채",스냅샷!$G$2:$G$3000,"즉시",스냅샷!$F$2:$F$3000,설정!$B$5)</f>
        <v>17023000</v>
      </c>
      <c r="D16" s="19" t="n">
        <f aca="false">B16-C16</f>
        <v>1608000</v>
      </c>
      <c r="E16" s="43" t="n">
        <f aca="false">IF(C16=0,0,D16/ABS(C16))</f>
        <v>0.0944604358808671</v>
      </c>
      <c r="F16" s="43" t="n">
        <f aca="false">IF($B$9=0,0,B16/$B$9)</f>
        <v>0.0179528317795283</v>
      </c>
    </row>
    <row r="18" customFormat="false" ht="15" hidden="false" customHeight="false" outlineLevel="0" collapsed="false">
      <c r="A18" s="48" t="s">
        <v>490</v>
      </c>
      <c r="B18" s="49"/>
      <c r="C18" s="49"/>
      <c r="D18" s="49"/>
      <c r="E18" s="49"/>
      <c r="F18" s="49"/>
    </row>
    <row r="19" customFormat="false" ht="15" hidden="false" customHeight="false" outlineLevel="0" collapsed="false">
      <c r="A19" s="41" t="s">
        <v>491</v>
      </c>
      <c r="B19" s="19" t="n">
        <f aca="false">SUMIFS(스냅샷!$C$2:$C$3000,스냅샷!$A$2:$A$3000,$B$3,스냅샷!$G$2:$G$3000,"즉시",스냅샷!$E$2:$E$3000,"&lt;&gt;부채",스냅샷!$F$2:$F$3000,설정!$B$5)</f>
        <v>82965000</v>
      </c>
      <c r="F19" s="43" t="n">
        <f aca="false">IF($B$9=0,0,B19/$B$9)</f>
        <v>0.0799450747994508</v>
      </c>
    </row>
    <row r="20" customFormat="false" ht="15" hidden="false" customHeight="false" outlineLevel="0" collapsed="false">
      <c r="A20" s="33" t="s">
        <v>492</v>
      </c>
      <c r="B20" s="19" t="n">
        <f aca="false">SUMIFS(스냅샷!$C$2:$C$3000,스냅샷!$A$2:$A$3000,$B$3,스냅샷!$G$2:$G$3000,"1년내",스냅샷!$E$2:$E$3000,"&lt;&gt;부채",스냅샷!$F$2:$F$3000,설정!$B$5)</f>
        <v>6300000</v>
      </c>
      <c r="F20" s="43" t="n">
        <f aca="false">IF($B$9=0,0,B20/$B$9)</f>
        <v>0.0060706800607068</v>
      </c>
    </row>
    <row r="21" customFormat="false" ht="15" hidden="false" customHeight="false" outlineLevel="0" collapsed="false">
      <c r="A21" s="41" t="s">
        <v>493</v>
      </c>
      <c r="B21" s="19" t="n">
        <f aca="false">SUMIFS(스냅샷!$C$2:$C$3000,스냅샷!$A$2:$A$3000,$B$3,스냅샷!$G$2:$G$3000,"장기",스냅샷!$E$2:$E$3000,"&lt;&gt;부채",스냅샷!$F$2:$F$3000,설정!$B$5)</f>
        <v>948510000</v>
      </c>
      <c r="F21" s="43" t="n">
        <f aca="false">IF($B$9=0,0,B21/$B$9)</f>
        <v>0.913984245139842</v>
      </c>
    </row>
    <row r="22" customFormat="false" ht="15" hidden="false" customHeight="false" outlineLevel="0" collapsed="false">
      <c r="A22" s="48" t="s">
        <v>494</v>
      </c>
      <c r="B22" s="49"/>
      <c r="C22" s="49"/>
      <c r="D22" s="49"/>
      <c r="E22" s="49"/>
      <c r="F22" s="49"/>
    </row>
    <row r="23" customFormat="false" ht="15" hidden="false" customHeight="false" outlineLevel="0" collapsed="false">
      <c r="A23" s="30" t="s">
        <v>19</v>
      </c>
      <c r="B23" s="30" t="s">
        <v>20</v>
      </c>
      <c r="C23" s="30" t="s">
        <v>21</v>
      </c>
      <c r="D23" s="30" t="s">
        <v>7</v>
      </c>
      <c r="E23" s="30" t="s">
        <v>495</v>
      </c>
      <c r="F23" s="30" t="s">
        <v>208</v>
      </c>
    </row>
    <row r="24" customFormat="false" ht="15" hidden="false" customHeight="false" outlineLevel="0" collapsed="false">
      <c r="A24" s="41" t="s">
        <v>78</v>
      </c>
      <c r="B24" s="19" t="n">
        <f aca="false">SUMIFS(스냅샷!$C$2:$C$3000,스냅샷!$A$2:$A$3000,설정!$B$3,스냅샷!$F$2:$F$3000,"본인",스냅샷!$E$2:$E$3000,"&lt;&gt;부채")</f>
        <v>130440000</v>
      </c>
      <c r="C24" s="19" t="n">
        <f aca="false">SUMIFS(스냅샷!$C$2:$C$3000,스냅샷!$A$2:$A$3000,설정!$B$3,스냅샷!$F$2:$F$3000,"본인",스냅샷!$E$2:$E$3000,"부채")</f>
        <v>14700000</v>
      </c>
      <c r="D24" s="19" t="n">
        <f aca="false">B24-C24</f>
        <v>115740000</v>
      </c>
      <c r="E24" s="19" t="n">
        <f aca="false">SUMIFS(스냅샷!$C$2:$C$3000,스냅샷!$A$2:$A$3000,설정!$B$3,스냅샷!$F$2:$F$3000,"본인",스냅샷!$E$2:$E$3000,"투자")+SUMIFS(스냅샷!$C$2:$C$3000,스냅샷!$A$2:$A$3000,설정!$B$3,스냅샷!$F$2:$F$3000,"본인",스냅샷!$E$2:$E$3000,"연금")</f>
        <v>113929000</v>
      </c>
      <c r="F24" s="19" t="n">
        <f aca="false">SUMIFS(스냅샷!$C$2:$C$3000,스냅샷!$A$2:$A$3000,설정!$B$3,스냅샷!$F$2:$F$3000,"본인",스냅샷!$E$2:$E$3000,"현금성")</f>
        <v>16511000</v>
      </c>
    </row>
    <row r="25" customFormat="false" ht="15" hidden="false" customHeight="false" outlineLevel="0" collapsed="false">
      <c r="A25" s="41" t="s">
        <v>73</v>
      </c>
      <c r="B25" s="19" t="n">
        <f aca="false">SUMIFS(스냅샷!$C$2:$C$3000,스냅샷!$A$2:$A$3000,설정!$B$3,스냅샷!$F$2:$F$3000,"배우자",스냅샷!$E$2:$E$3000,"&lt;&gt;부채")</f>
        <v>43308000</v>
      </c>
      <c r="C25" s="19" t="n">
        <f aca="false">SUMIFS(스냅샷!$C$2:$C$3000,스냅샷!$A$2:$A$3000,설정!$B$3,스냅샷!$F$2:$F$3000,"배우자",스냅샷!$E$2:$E$3000,"부채")</f>
        <v>0</v>
      </c>
      <c r="D25" s="19" t="n">
        <f aca="false">B25-C25</f>
        <v>43308000</v>
      </c>
      <c r="E25" s="19" t="n">
        <f aca="false">SUMIFS(스냅샷!$C$2:$C$3000,스냅샷!$A$2:$A$3000,설정!$B$3,스냅샷!$F$2:$F$3000,"배우자",스냅샷!$E$2:$E$3000,"투자")+SUMIFS(스냅샷!$C$2:$C$3000,스냅샷!$A$2:$A$3000,설정!$B$3,스냅샷!$F$2:$F$3000,"배우자",스냅샷!$E$2:$E$3000,"연금")</f>
        <v>41363000</v>
      </c>
      <c r="F25" s="19" t="n">
        <f aca="false">SUMIFS(스냅샷!$C$2:$C$3000,스냅샷!$A$2:$A$3000,설정!$B$3,스냅샷!$F$2:$F$3000,"배우자",스냅샷!$E$2:$E$3000,"현금성")</f>
        <v>1945000</v>
      </c>
    </row>
    <row r="26" customFormat="false" ht="15" hidden="false" customHeight="false" outlineLevel="0" collapsed="false">
      <c r="A26" s="41" t="s">
        <v>81</v>
      </c>
      <c r="B26" s="19" t="n">
        <f aca="false">SUMIFS(스냅샷!$C$2:$C$3000,스냅샷!$A$2:$A$3000,설정!$B$3,스냅샷!$F$2:$F$3000,"공동",스냅샷!$E$2:$E$3000,"&lt;&gt;부채")</f>
        <v>864027000</v>
      </c>
      <c r="C26" s="19" t="n">
        <f aca="false">SUMIFS(스냅샷!$C$2:$C$3000,스냅샷!$A$2:$A$3000,설정!$B$3,스냅샷!$F$2:$F$3000,"공동",스냅샷!$E$2:$E$3000,"부채")</f>
        <v>288482000</v>
      </c>
      <c r="D26" s="19" t="n">
        <f aca="false">B26-C26</f>
        <v>575545000</v>
      </c>
      <c r="E26" s="19" t="n">
        <f aca="false">SUMIFS(스냅샷!$C$2:$C$3000,스냅샷!$A$2:$A$3000,설정!$B$3,스냅샷!$F$2:$F$3000,"공동",스냅샷!$E$2:$E$3000,"투자")+SUMIFS(스냅샷!$C$2:$C$3000,스냅샷!$A$2:$A$3000,설정!$B$3,스냅샷!$F$2:$F$3000,"공동",스냅샷!$E$2:$E$3000,"연금")</f>
        <v>17220000</v>
      </c>
      <c r="F26" s="19" t="n">
        <f aca="false">SUMIFS(스냅샷!$C$2:$C$3000,스냅샷!$A$2:$A$3000,설정!$B$3,스냅샷!$F$2:$F$3000,"공동",스냅샷!$E$2:$E$3000,"현금성")</f>
        <v>23557000</v>
      </c>
    </row>
    <row r="27" customFormat="false" ht="15" hidden="false" customHeight="false" outlineLevel="0" collapsed="false">
      <c r="A27" s="45" t="s">
        <v>266</v>
      </c>
      <c r="B27" s="47" t="n">
        <f aca="false">SUM(B24:B26)</f>
        <v>1037775000</v>
      </c>
      <c r="C27" s="47" t="n">
        <f aca="false">SUM(C24:C26)</f>
        <v>303182000</v>
      </c>
      <c r="D27" s="47" t="n">
        <f aca="false">SUM(D24:D26)</f>
        <v>734593000</v>
      </c>
      <c r="E27" s="47" t="n">
        <f aca="false">SUM(E24:E26)</f>
        <v>172512000</v>
      </c>
      <c r="F27" s="47" t="n">
        <f aca="false">SUM(F24:F26)</f>
        <v>42013000</v>
      </c>
    </row>
    <row r="29" customFormat="false" ht="15" hidden="false" customHeight="false" outlineLevel="0" collapsed="false">
      <c r="A29" s="48" t="s">
        <v>496</v>
      </c>
      <c r="B29" s="49"/>
      <c r="C29" s="49"/>
      <c r="D29" s="49"/>
      <c r="E29" s="49"/>
      <c r="F29" s="49"/>
    </row>
    <row r="30" customFormat="false" ht="15" hidden="false" customHeight="false" outlineLevel="0" collapsed="false">
      <c r="A30" s="30" t="s">
        <v>60</v>
      </c>
      <c r="B30" s="30" t="s">
        <v>497</v>
      </c>
      <c r="C30" s="30" t="s">
        <v>498</v>
      </c>
      <c r="D30" s="30" t="s">
        <v>7</v>
      </c>
      <c r="E30" s="30" t="s">
        <v>495</v>
      </c>
      <c r="F30" s="30" t="s">
        <v>208</v>
      </c>
    </row>
    <row r="31" customFormat="false" ht="15" hidden="false" customHeight="false" outlineLevel="0" collapsed="false">
      <c r="A31" s="18" t="str">
        <f aca="false">TEXT(EDATE(DATEVALUE(설정!$B$3&amp;"-01"),-11),"yyyy-mm")</f>
        <v>2025-10</v>
      </c>
      <c r="B31" s="19" t="n">
        <f aca="false">SUMIFS(스냅샷!$C$2:$C$3000,스냅샷!$A$2:$A$3000,$A31,스냅샷!$F$2:$F$3000,설정!$B$5,스냅샷!$E$2:$E$3000,"&lt;&gt;부채")</f>
        <v>969158000</v>
      </c>
      <c r="C31" s="19" t="n">
        <f aca="false">SUMIFS(스냅샷!$C$2:$C$3000,스냅샷!$A$2:$A$3000,$A31,스냅샷!$F$2:$F$3000,설정!$B$5,스냅샷!$E$2:$E$3000,"부채")</f>
        <v>313452000</v>
      </c>
      <c r="D31" s="19" t="n">
        <f aca="false">B31-C31</f>
        <v>655706000</v>
      </c>
      <c r="E31" s="19" t="n">
        <f aca="false">SUMIFS(스냅샷!$C$2:$C$3000,스냅샷!$A$2:$A$3000,$A31,스냅샷!$F$2:$F$3000,설정!$B$5,스냅샷!$E$2:$E$3000,"투자")+SUMIFS(스냅샷!$C$2:$C$3000,스냅샷!$A$2:$A$3000,$A31,스냅샷!$F$2:$F$3000,설정!$B$5,스냅샷!$E$2:$E$3000,"연금")</f>
        <v>134733000</v>
      </c>
      <c r="F31" s="19" t="n">
        <f aca="false">SUMIFS(스냅샷!$C$2:$C$3000,스냅샷!$A$2:$A$3000,$A31,스냅샷!$F$2:$F$3000,설정!$B$5,스냅샷!$E$2:$E$3000,"현금성")</f>
        <v>30425000</v>
      </c>
    </row>
    <row r="32" customFormat="false" ht="15" hidden="false" customHeight="false" outlineLevel="0" collapsed="false">
      <c r="A32" s="18" t="str">
        <f aca="false">TEXT(EDATE(DATEVALUE(설정!$B$3&amp;"-01"),-10),"yyyy-mm")</f>
        <v>2025-11</v>
      </c>
      <c r="B32" s="19" t="n">
        <f aca="false">SUMIFS(스냅샷!$C$2:$C$3000,스냅샷!$A$2:$A$3000,$A32,스냅샷!$F$2:$F$3000,설정!$B$5,스냅샷!$E$2:$E$3000,"&lt;&gt;부채")</f>
        <v>977955000</v>
      </c>
      <c r="C32" s="19" t="n">
        <f aca="false">SUMIFS(스냅샷!$C$2:$C$3000,스냅샷!$A$2:$A$3000,$A32,스냅샷!$F$2:$F$3000,설정!$B$5,스냅샷!$E$2:$E$3000,"부채")</f>
        <v>312598000</v>
      </c>
      <c r="D32" s="19" t="n">
        <f aca="false">B32-C32</f>
        <v>665357000</v>
      </c>
      <c r="E32" s="19" t="n">
        <f aca="false">SUMIFS(스냅샷!$C$2:$C$3000,스냅샷!$A$2:$A$3000,$A32,스냅샷!$F$2:$F$3000,설정!$B$5,스냅샷!$E$2:$E$3000,"투자")+SUMIFS(스냅샷!$C$2:$C$3000,스냅샷!$A$2:$A$3000,$A32,스냅샷!$F$2:$F$3000,설정!$B$5,스냅샷!$E$2:$E$3000,"연금")</f>
        <v>138643000</v>
      </c>
      <c r="F32" s="19" t="n">
        <f aca="false">SUMIFS(스냅샷!$C$2:$C$3000,스냅샷!$A$2:$A$3000,$A32,스냅샷!$F$2:$F$3000,설정!$B$5,스냅샷!$E$2:$E$3000,"현금성")</f>
        <v>33562000</v>
      </c>
    </row>
    <row r="33" customFormat="false" ht="15" hidden="false" customHeight="false" outlineLevel="0" collapsed="false">
      <c r="A33" s="18" t="str">
        <f aca="false">TEXT(EDATE(DATEVALUE(설정!$B$3&amp;"-01"),-9),"yyyy-mm")</f>
        <v>2025-12</v>
      </c>
      <c r="B33" s="19" t="n">
        <f aca="false">SUMIFS(스냅샷!$C$2:$C$3000,스냅샷!$A$2:$A$3000,$A33,스냅샷!$F$2:$F$3000,설정!$B$5,스냅샷!$E$2:$E$3000,"&lt;&gt;부채")</f>
        <v>982405000</v>
      </c>
      <c r="C33" s="19" t="n">
        <f aca="false">SUMIFS(스냅샷!$C$2:$C$3000,스냅샷!$A$2:$A$3000,$A33,스냅샷!$F$2:$F$3000,설정!$B$5,스냅샷!$E$2:$E$3000,"부채")</f>
        <v>311384000</v>
      </c>
      <c r="D33" s="19" t="n">
        <f aca="false">B33-C33</f>
        <v>671021000</v>
      </c>
      <c r="E33" s="19" t="n">
        <f aca="false">SUMIFS(스냅샷!$C$2:$C$3000,스냅샷!$A$2:$A$3000,$A33,스냅샷!$F$2:$F$3000,설정!$B$5,스냅샷!$E$2:$E$3000,"투자")+SUMIFS(스냅샷!$C$2:$C$3000,스냅샷!$A$2:$A$3000,$A33,스냅샷!$F$2:$F$3000,설정!$B$5,스냅샷!$E$2:$E$3000,"연금")</f>
        <v>142462000</v>
      </c>
      <c r="F33" s="19" t="n">
        <f aca="false">SUMIFS(스냅샷!$C$2:$C$3000,스냅샷!$A$2:$A$3000,$A33,스냅샷!$F$2:$F$3000,설정!$B$5,스냅샷!$E$2:$E$3000,"현금성")</f>
        <v>32443000</v>
      </c>
    </row>
    <row r="34" customFormat="false" ht="15" hidden="false" customHeight="false" outlineLevel="0" collapsed="false">
      <c r="A34" s="18" t="str">
        <f aca="false">TEXT(EDATE(DATEVALUE(설정!$B$3&amp;"-01"),-8),"yyyy-mm")</f>
        <v>2026-01</v>
      </c>
      <c r="B34" s="19" t="n">
        <f aca="false">SUMIFS(스냅샷!$C$2:$C$3000,스냅샷!$A$2:$A$3000,$A34,스냅샷!$F$2:$F$3000,설정!$B$5,스냅샷!$E$2:$E$3000,"&lt;&gt;부채")</f>
        <v>988782000</v>
      </c>
      <c r="C34" s="19" t="n">
        <f aca="false">SUMIFS(스냅샷!$C$2:$C$3000,스냅샷!$A$2:$A$3000,$A34,스냅샷!$F$2:$F$3000,설정!$B$5,스냅샷!$E$2:$E$3000,"부채")</f>
        <v>310317000</v>
      </c>
      <c r="D34" s="19" t="n">
        <f aca="false">B34-C34</f>
        <v>678465000</v>
      </c>
      <c r="E34" s="19" t="n">
        <f aca="false">SUMIFS(스냅샷!$C$2:$C$3000,스냅샷!$A$2:$A$3000,$A34,스냅샷!$F$2:$F$3000,설정!$B$5,스냅샷!$E$2:$E$3000,"투자")+SUMIFS(스냅샷!$C$2:$C$3000,스냅샷!$A$2:$A$3000,$A34,스냅샷!$F$2:$F$3000,설정!$B$5,스냅샷!$E$2:$E$3000,"연금")</f>
        <v>145861000</v>
      </c>
      <c r="F34" s="19" t="n">
        <f aca="false">SUMIFS(스냅샷!$C$2:$C$3000,스냅샷!$A$2:$A$3000,$A34,스냅샷!$F$2:$F$3000,설정!$B$5,스냅샷!$E$2:$E$3000,"현금성")</f>
        <v>33671000</v>
      </c>
    </row>
    <row r="35" customFormat="false" ht="15" hidden="false" customHeight="false" outlineLevel="0" collapsed="false">
      <c r="A35" s="18" t="str">
        <f aca="false">TEXT(EDATE(DATEVALUE(설정!$B$3&amp;"-01"),-7),"yyyy-mm")</f>
        <v>2026-02</v>
      </c>
      <c r="B35" s="19" t="n">
        <f aca="false">SUMIFS(스냅샷!$C$2:$C$3000,스냅샷!$A$2:$A$3000,$A35,스냅샷!$F$2:$F$3000,설정!$B$5,스냅샷!$E$2:$E$3000,"&lt;&gt;부채")</f>
        <v>995771000</v>
      </c>
      <c r="C35" s="19" t="n">
        <f aca="false">SUMIFS(스냅샷!$C$2:$C$3000,스냅샷!$A$2:$A$3000,$A35,스냅샷!$F$2:$F$3000,설정!$B$5,스냅샷!$E$2:$E$3000,"부채")</f>
        <v>309274000</v>
      </c>
      <c r="D35" s="19" t="n">
        <f aca="false">B35-C35</f>
        <v>686497000</v>
      </c>
      <c r="E35" s="19" t="n">
        <f aca="false">SUMIFS(스냅샷!$C$2:$C$3000,스냅샷!$A$2:$A$3000,$A35,스냅샷!$F$2:$F$3000,설정!$B$5,스냅샷!$E$2:$E$3000,"투자")+SUMIFS(스냅샷!$C$2:$C$3000,스냅샷!$A$2:$A$3000,$A35,스냅샷!$F$2:$F$3000,설정!$B$5,스냅샷!$E$2:$E$3000,"연금")</f>
        <v>150168000</v>
      </c>
      <c r="F35" s="19" t="n">
        <f aca="false">SUMIFS(스냅샷!$C$2:$C$3000,스냅샷!$A$2:$A$3000,$A35,스냅샷!$F$2:$F$3000,설정!$B$5,스냅샷!$E$2:$E$3000,"현금성")</f>
        <v>34603000</v>
      </c>
    </row>
    <row r="36" customFormat="false" ht="15" hidden="false" customHeight="false" outlineLevel="0" collapsed="false">
      <c r="A36" s="18" t="str">
        <f aca="false">TEXT(EDATE(DATEVALUE(설정!$B$3&amp;"-01"),-6),"yyyy-mm")</f>
        <v>2026-03</v>
      </c>
      <c r="B36" s="19" t="n">
        <f aca="false">SUMIFS(스냅샷!$C$2:$C$3000,스냅샷!$A$2:$A$3000,$A36,스냅샷!$F$2:$F$3000,설정!$B$5,스냅샷!$E$2:$E$3000,"&lt;&gt;부채")</f>
        <v>1001445000</v>
      </c>
      <c r="C36" s="19" t="n">
        <f aca="false">SUMIFS(스냅샷!$C$2:$C$3000,스냅샷!$A$2:$A$3000,$A36,스냅샷!$F$2:$F$3000,설정!$B$5,스냅샷!$E$2:$E$3000,"부채")</f>
        <v>308570000</v>
      </c>
      <c r="D36" s="19" t="n">
        <f aca="false">B36-C36</f>
        <v>692875000</v>
      </c>
      <c r="E36" s="19" t="n">
        <f aca="false">SUMIFS(스냅샷!$C$2:$C$3000,스냅샷!$A$2:$A$3000,$A36,스냅샷!$F$2:$F$3000,설정!$B$5,스냅샷!$E$2:$E$3000,"투자")+SUMIFS(스냅샷!$C$2:$C$3000,스냅샷!$A$2:$A$3000,$A36,스냅샷!$F$2:$F$3000,설정!$B$5,스냅샷!$E$2:$E$3000,"연금")</f>
        <v>152707000</v>
      </c>
      <c r="F36" s="19" t="n">
        <f aca="false">SUMIFS(스냅샷!$C$2:$C$3000,스냅샷!$A$2:$A$3000,$A36,스냅샷!$F$2:$F$3000,설정!$B$5,스냅샷!$E$2:$E$3000,"현금성")</f>
        <v>35988000</v>
      </c>
    </row>
    <row r="37" customFormat="false" ht="15" hidden="false" customHeight="false" outlineLevel="0" collapsed="false">
      <c r="A37" s="18" t="str">
        <f aca="false">TEXT(EDATE(DATEVALUE(설정!$B$3&amp;"-01"),-5),"yyyy-mm")</f>
        <v>2026-04</v>
      </c>
      <c r="B37" s="19" t="n">
        <f aca="false">SUMIFS(스냅샷!$C$2:$C$3000,스냅샷!$A$2:$A$3000,$A37,스냅샷!$F$2:$F$3000,설정!$B$5,스냅샷!$E$2:$E$3000,"&lt;&gt;부채")</f>
        <v>1006392000</v>
      </c>
      <c r="C37" s="19" t="n">
        <f aca="false">SUMIFS(스냅샷!$C$2:$C$3000,스냅샷!$A$2:$A$3000,$A37,스냅샷!$F$2:$F$3000,설정!$B$5,스냅샷!$E$2:$E$3000,"부채")</f>
        <v>307617000</v>
      </c>
      <c r="D37" s="19" t="n">
        <f aca="false">B37-C37</f>
        <v>698775000</v>
      </c>
      <c r="E37" s="19" t="n">
        <f aca="false">SUMIFS(스냅샷!$C$2:$C$3000,스냅샷!$A$2:$A$3000,$A37,스냅샷!$F$2:$F$3000,설정!$B$5,스냅샷!$E$2:$E$3000,"투자")+SUMIFS(스냅샷!$C$2:$C$3000,스냅샷!$A$2:$A$3000,$A37,스냅샷!$F$2:$F$3000,설정!$B$5,스냅샷!$E$2:$E$3000,"연금")</f>
        <v>155674000</v>
      </c>
      <c r="F37" s="19" t="n">
        <f aca="false">SUMIFS(스냅샷!$C$2:$C$3000,스냅샷!$A$2:$A$3000,$A37,스냅샷!$F$2:$F$3000,설정!$B$5,스냅샷!$E$2:$E$3000,"현금성")</f>
        <v>36218000</v>
      </c>
    </row>
    <row r="38" customFormat="false" ht="15" hidden="false" customHeight="false" outlineLevel="0" collapsed="false">
      <c r="A38" s="18" t="str">
        <f aca="false">TEXT(EDATE(DATEVALUE(설정!$B$3&amp;"-01"),-4),"yyyy-mm")</f>
        <v>2026-05</v>
      </c>
      <c r="B38" s="19" t="n">
        <f aca="false">SUMIFS(스냅샷!$C$2:$C$3000,스냅샷!$A$2:$A$3000,$A38,스냅샷!$F$2:$F$3000,설정!$B$5,스냅샷!$E$2:$E$3000,"&lt;&gt;부채")</f>
        <v>1012671000</v>
      </c>
      <c r="C38" s="19" t="n">
        <f aca="false">SUMIFS(스냅샷!$C$2:$C$3000,스냅샷!$A$2:$A$3000,$A38,스냅샷!$F$2:$F$3000,설정!$B$5,스냅샷!$E$2:$E$3000,"부채")</f>
        <v>306886000</v>
      </c>
      <c r="D38" s="19" t="n">
        <f aca="false">B38-C38</f>
        <v>705785000</v>
      </c>
      <c r="E38" s="19" t="n">
        <f aca="false">SUMIFS(스냅샷!$C$2:$C$3000,스냅샷!$A$2:$A$3000,$A38,스냅샷!$F$2:$F$3000,설정!$B$5,스냅샷!$E$2:$E$3000,"투자")+SUMIFS(스냅샷!$C$2:$C$3000,스냅샷!$A$2:$A$3000,$A38,스냅샷!$F$2:$F$3000,설정!$B$5,스냅샷!$E$2:$E$3000,"연금")</f>
        <v>158473000</v>
      </c>
      <c r="F38" s="19" t="n">
        <f aca="false">SUMIFS(스냅샷!$C$2:$C$3000,스냅샷!$A$2:$A$3000,$A38,스냅샷!$F$2:$F$3000,설정!$B$5,스냅샷!$E$2:$E$3000,"현금성")</f>
        <v>37948000</v>
      </c>
    </row>
    <row r="39" customFormat="false" ht="15" hidden="false" customHeight="false" outlineLevel="0" collapsed="false">
      <c r="A39" s="18" t="str">
        <f aca="false">TEXT(EDATE(DATEVALUE(설정!$B$3&amp;"-01"),-3),"yyyy-mm")</f>
        <v>2026-06</v>
      </c>
      <c r="B39" s="19" t="n">
        <f aca="false">SUMIFS(스냅샷!$C$2:$C$3000,스냅샷!$A$2:$A$3000,$A39,스냅샷!$F$2:$F$3000,설정!$B$5,스냅샷!$E$2:$E$3000,"&lt;&gt;부채")</f>
        <v>1017492000</v>
      </c>
      <c r="C39" s="19" t="n">
        <f aca="false">SUMIFS(스냅샷!$C$2:$C$3000,스냅샷!$A$2:$A$3000,$A39,스냅샷!$F$2:$F$3000,설정!$B$5,스냅샷!$E$2:$E$3000,"부채")</f>
        <v>305989000</v>
      </c>
      <c r="D39" s="19" t="n">
        <f aca="false">B39-C39</f>
        <v>711503000</v>
      </c>
      <c r="E39" s="19" t="n">
        <f aca="false">SUMIFS(스냅샷!$C$2:$C$3000,스냅샷!$A$2:$A$3000,$A39,스냅샷!$F$2:$F$3000,설정!$B$5,스냅샷!$E$2:$E$3000,"투자")+SUMIFS(스냅샷!$C$2:$C$3000,스냅샷!$A$2:$A$3000,$A39,스냅샷!$F$2:$F$3000,설정!$B$5,스냅샷!$E$2:$E$3000,"연금")</f>
        <v>161080000</v>
      </c>
      <c r="F39" s="19" t="n">
        <f aca="false">SUMIFS(스냅샷!$C$2:$C$3000,스냅샷!$A$2:$A$3000,$A39,스냅샷!$F$2:$F$3000,설정!$B$5,스냅샷!$E$2:$E$3000,"현금성")</f>
        <v>38412000</v>
      </c>
    </row>
    <row r="40" customFormat="false" ht="15" hidden="false" customHeight="false" outlineLevel="0" collapsed="false">
      <c r="A40" s="18" t="str">
        <f aca="false">TEXT(EDATE(DATEVALUE(설정!$B$3&amp;"-01"),-2),"yyyy-mm")</f>
        <v>2026-07</v>
      </c>
      <c r="B40" s="19" t="n">
        <f aca="false">SUMIFS(스냅샷!$C$2:$C$3000,스냅샷!$A$2:$A$3000,$A40,스냅샷!$F$2:$F$3000,설정!$B$5,스냅샷!$E$2:$E$3000,"&lt;&gt;부채")</f>
        <v>1024894000</v>
      </c>
      <c r="C40" s="19" t="n">
        <f aca="false">SUMIFS(스냅샷!$C$2:$C$3000,스냅샷!$A$2:$A$3000,$A40,스냅샷!$F$2:$F$3000,설정!$B$5,스냅샷!$E$2:$E$3000,"부채")</f>
        <v>304625000</v>
      </c>
      <c r="D40" s="19" t="n">
        <f aca="false">B40-C40</f>
        <v>720269000</v>
      </c>
      <c r="E40" s="19" t="n">
        <f aca="false">SUMIFS(스냅샷!$C$2:$C$3000,스냅샷!$A$2:$A$3000,$A40,스냅샷!$F$2:$F$3000,설정!$B$5,스냅샷!$E$2:$E$3000,"투자")+SUMIFS(스냅샷!$C$2:$C$3000,스냅샷!$A$2:$A$3000,$A40,스냅샷!$F$2:$F$3000,설정!$B$5,스냅샷!$E$2:$E$3000,"연금")</f>
        <v>165333000</v>
      </c>
      <c r="F40" s="19" t="n">
        <f aca="false">SUMIFS(스냅샷!$C$2:$C$3000,스냅샷!$A$2:$A$3000,$A40,스냅샷!$F$2:$F$3000,설정!$B$5,스냅샷!$E$2:$E$3000,"현금성")</f>
        <v>39811000</v>
      </c>
    </row>
    <row r="41" customFormat="false" ht="15" hidden="false" customHeight="false" outlineLevel="0" collapsed="false">
      <c r="A41" s="18" t="str">
        <f aca="false">TEXT(EDATE(DATEVALUE(설정!$B$3&amp;"-01"),-1),"yyyy-mm")</f>
        <v>2026-08</v>
      </c>
      <c r="B41" s="19" t="n">
        <f aca="false">SUMIFS(스냅샷!$C$2:$C$3000,스냅샷!$A$2:$A$3000,$A41,스냅샷!$F$2:$F$3000,설정!$B$5,스냅샷!$E$2:$E$3000,"&lt;&gt;부채")</f>
        <v>1030385000</v>
      </c>
      <c r="C41" s="19" t="n">
        <f aca="false">SUMIFS(스냅샷!$C$2:$C$3000,스냅샷!$A$2:$A$3000,$A41,스냅샷!$F$2:$F$3000,설정!$B$5,스냅샷!$E$2:$E$3000,"부채")</f>
        <v>304717000</v>
      </c>
      <c r="D41" s="19" t="n">
        <f aca="false">B41-C41</f>
        <v>725668000</v>
      </c>
      <c r="E41" s="19" t="n">
        <f aca="false">SUMIFS(스냅샷!$C$2:$C$3000,스냅샷!$A$2:$A$3000,$A41,스냅샷!$F$2:$F$3000,설정!$B$5,스냅샷!$E$2:$E$3000,"투자")+SUMIFS(스냅샷!$C$2:$C$3000,스냅샷!$A$2:$A$3000,$A41,스냅샷!$F$2:$F$3000,설정!$B$5,스냅샷!$E$2:$E$3000,"연금")</f>
        <v>168245000</v>
      </c>
      <c r="F41" s="19" t="n">
        <f aca="false">SUMIFS(스냅샷!$C$2:$C$3000,스냅샷!$A$2:$A$3000,$A41,스냅샷!$F$2:$F$3000,설정!$B$5,스냅샷!$E$2:$E$3000,"현금성")</f>
        <v>40640000</v>
      </c>
    </row>
    <row r="42" customFormat="false" ht="15" hidden="false" customHeight="false" outlineLevel="0" collapsed="false">
      <c r="A42" s="18" t="str">
        <f aca="false">TEXT(EDATE(DATEVALUE(설정!$B$3&amp;"-01"),0),"yyyy-mm")</f>
        <v>2026-09</v>
      </c>
      <c r="B42" s="19" t="n">
        <f aca="false">SUMIFS(스냅샷!$C$2:$C$3000,스냅샷!$A$2:$A$3000,$A42,스냅샷!$F$2:$F$3000,설정!$B$5,스냅샷!$E$2:$E$3000,"&lt;&gt;부채")</f>
        <v>1037775000</v>
      </c>
      <c r="C42" s="19" t="n">
        <f aca="false">SUMIFS(스냅샷!$C$2:$C$3000,스냅샷!$A$2:$A$3000,$A42,스냅샷!$F$2:$F$3000,설정!$B$5,스냅샷!$E$2:$E$3000,"부채")</f>
        <v>303182000</v>
      </c>
      <c r="D42" s="19" t="n">
        <f aca="false">B42-C42</f>
        <v>734593000</v>
      </c>
      <c r="E42" s="19" t="n">
        <f aca="false">SUMIFS(스냅샷!$C$2:$C$3000,스냅샷!$A$2:$A$3000,$A42,스냅샷!$F$2:$F$3000,설정!$B$5,스냅샷!$E$2:$E$3000,"투자")+SUMIFS(스냅샷!$C$2:$C$3000,스냅샷!$A$2:$A$3000,$A42,스냅샷!$F$2:$F$3000,설정!$B$5,스냅샷!$E$2:$E$3000,"연금")</f>
        <v>172512000</v>
      </c>
      <c r="F42" s="19" t="n">
        <f aca="false">SUMIFS(스냅샷!$C$2:$C$3000,스냅샷!$A$2:$A$3000,$A42,스냅샷!$F$2:$F$3000,설정!$B$5,스냅샷!$E$2:$E$3000,"현금성")</f>
        <v>42013000</v>
      </c>
    </row>
    <row r="44" customFormat="false" ht="15" hidden="false" customHeight="false" outlineLevel="0" collapsed="false">
      <c r="A44" s="48" t="s">
        <v>499</v>
      </c>
      <c r="B44" s="49"/>
      <c r="C44" s="49"/>
      <c r="D44" s="49"/>
      <c r="E44" s="49"/>
      <c r="F44" s="49"/>
      <c r="G44" s="49"/>
    </row>
    <row r="45" customFormat="false" ht="15" hidden="false" customHeight="false" outlineLevel="0" collapsed="false">
      <c r="A45" s="30" t="s">
        <v>170</v>
      </c>
      <c r="B45" s="30" t="s">
        <v>171</v>
      </c>
      <c r="C45" s="30" t="s">
        <v>172</v>
      </c>
      <c r="D45" s="30" t="s">
        <v>173</v>
      </c>
      <c r="E45" s="30" t="s">
        <v>500</v>
      </c>
      <c r="F45" s="30" t="s">
        <v>501</v>
      </c>
      <c r="G45" s="30" t="s">
        <v>474</v>
      </c>
    </row>
    <row r="46" customFormat="false" ht="15" hidden="false" customHeight="false" outlineLevel="0" collapsed="false">
      <c r="A46" s="33" t="str">
        <f aca="false">IF(계좌!$A2="","",계좌!A2)</f>
        <v>A01</v>
      </c>
      <c r="B46" s="33" t="str">
        <f aca="false">IF(계좌!$A2="","",계좌!B2)</f>
        <v>급여통장(본인)</v>
      </c>
      <c r="C46" s="33" t="str">
        <f aca="false">IF(계좌!$A2="","",계좌!D2)</f>
        <v>현금성</v>
      </c>
      <c r="D46" s="33" t="str">
        <f aca="false">IF(계좌!$A2="","",계좌!E2)</f>
        <v>본인</v>
      </c>
      <c r="E46" s="19" t="n">
        <f aca="false">IF(A46="","",SUMIFS(스냅샷!$C$2:$C$3000,스냅샷!$A$2:$A$3000,설정!$B$3,스냅샷!$B$2:$B$3000,A46))</f>
        <v>2511000</v>
      </c>
      <c r="F46" s="19" t="n">
        <f aca="false">IF(A46="","",SUMIFS(스냅샷!$C$2:$C$3000,스냅샷!$A$2:$A$3000,설정!$B$6,스냅샷!$B$2:$B$3000,A46))</f>
        <v>2283000</v>
      </c>
      <c r="G46" s="19" t="n">
        <f aca="false">IF(A46="","",E46-F46)</f>
        <v>228000</v>
      </c>
    </row>
    <row r="47" customFormat="false" ht="15" hidden="false" customHeight="false" outlineLevel="0" collapsed="false">
      <c r="A47" s="33" t="str">
        <f aca="false">IF(계좌!$A3="","",계좌!A3)</f>
        <v>A02</v>
      </c>
      <c r="B47" s="33" t="str">
        <f aca="false">IF(계좌!$A3="","",계좌!B3)</f>
        <v>급여통장(배우자)</v>
      </c>
      <c r="C47" s="33" t="str">
        <f aca="false">IF(계좌!$A3="","",계좌!D3)</f>
        <v>현금성</v>
      </c>
      <c r="D47" s="33" t="str">
        <f aca="false">IF(계좌!$A3="","",계좌!E3)</f>
        <v>배우자</v>
      </c>
      <c r="E47" s="19" t="n">
        <f aca="false">IF(A47="","",SUMIFS(스냅샷!$C$2:$C$3000,스냅샷!$A$2:$A$3000,설정!$B$3,스냅샷!$B$2:$B$3000,A47))</f>
        <v>1945000</v>
      </c>
      <c r="F47" s="19" t="n">
        <f aca="false">IF(A47="","",SUMIFS(스냅샷!$C$2:$C$3000,스냅샷!$A$2:$A$3000,설정!$B$6,스냅샷!$B$2:$B$3000,A47))</f>
        <v>2078000</v>
      </c>
      <c r="G47" s="19" t="n">
        <f aca="false">IF(A47="","",E47-F47)</f>
        <v>-133000</v>
      </c>
    </row>
    <row r="48" customFormat="false" ht="15" hidden="false" customHeight="false" outlineLevel="0" collapsed="false">
      <c r="A48" s="33" t="str">
        <f aca="false">IF(계좌!$A4="","",계좌!A4)</f>
        <v>A03</v>
      </c>
      <c r="B48" s="33" t="str">
        <f aca="false">IF(계좌!$A4="","",계좌!B4)</f>
        <v>생활비통장</v>
      </c>
      <c r="C48" s="33" t="str">
        <f aca="false">IF(계좌!$A4="","",계좌!D4)</f>
        <v>현금성</v>
      </c>
      <c r="D48" s="33" t="str">
        <f aca="false">IF(계좌!$A4="","",계좌!E4)</f>
        <v>공동</v>
      </c>
      <c r="E48" s="19" t="n">
        <f aca="false">IF(A48="","",SUMIFS(스냅샷!$C$2:$C$3000,스냅샷!$A$2:$A$3000,설정!$B$3,스냅샷!$B$2:$B$3000,A48))</f>
        <v>2207000</v>
      </c>
      <c r="F48" s="19" t="n">
        <f aca="false">IF(A48="","",SUMIFS(스냅샷!$C$2:$C$3000,스냅샷!$A$2:$A$3000,설정!$B$6,스냅샷!$B$2:$B$3000,A48))</f>
        <v>1879000</v>
      </c>
      <c r="G48" s="19" t="n">
        <f aca="false">IF(A48="","",E48-F48)</f>
        <v>328000</v>
      </c>
    </row>
    <row r="49" customFormat="false" ht="15" hidden="false" customHeight="false" outlineLevel="0" collapsed="false">
      <c r="A49" s="33" t="str">
        <f aca="false">IF(계좌!$A5="","",계좌!A5)</f>
        <v>A04</v>
      </c>
      <c r="B49" s="33" t="str">
        <f aca="false">IF(계좌!$A5="","",계좌!B5)</f>
        <v>비상금 파킹통장</v>
      </c>
      <c r="C49" s="33" t="str">
        <f aca="false">IF(계좌!$A5="","",계좌!D5)</f>
        <v>현금성</v>
      </c>
      <c r="D49" s="33" t="str">
        <f aca="false">IF(계좌!$A5="","",계좌!E5)</f>
        <v>공동</v>
      </c>
      <c r="E49" s="19" t="n">
        <f aca="false">IF(A49="","",SUMIFS(스냅샷!$C$2:$C$3000,스냅샷!$A$2:$A$3000,설정!$B$3,스냅샷!$B$2:$B$3000,A49))</f>
        <v>15050000</v>
      </c>
      <c r="F49" s="19" t="n">
        <f aca="false">IF(A49="","",SUMIFS(스냅샷!$C$2:$C$3000,스냅샷!$A$2:$A$3000,설정!$B$6,스냅샷!$B$2:$B$3000,A49))</f>
        <v>14500000</v>
      </c>
      <c r="G49" s="19" t="n">
        <f aca="false">IF(A49="","",E49-F49)</f>
        <v>550000</v>
      </c>
    </row>
    <row r="50" customFormat="false" ht="15" hidden="false" customHeight="false" outlineLevel="0" collapsed="false">
      <c r="A50" s="33" t="str">
        <f aca="false">IF(계좌!$A6="","",계좌!A6)</f>
        <v>A05</v>
      </c>
      <c r="B50" s="33" t="str">
        <f aca="false">IF(계좌!$A6="","",계좌!B6)</f>
        <v>주택청약종합저축</v>
      </c>
      <c r="C50" s="33" t="str">
        <f aca="false">IF(계좌!$A6="","",계좌!D6)</f>
        <v>현금성</v>
      </c>
      <c r="D50" s="33" t="str">
        <f aca="false">IF(계좌!$A6="","",계좌!E6)</f>
        <v>본인</v>
      </c>
      <c r="E50" s="19" t="n">
        <f aca="false">IF(A50="","",SUMIFS(스냅샷!$C$2:$C$3000,스냅샷!$A$2:$A$3000,설정!$B$3,스냅샷!$B$2:$B$3000,A50))</f>
        <v>14000000</v>
      </c>
      <c r="F50" s="19" t="n">
        <f aca="false">IF(A50="","",SUMIFS(스냅샷!$C$2:$C$3000,스냅샷!$A$2:$A$3000,설정!$B$6,스냅샷!$B$2:$B$3000,A50))</f>
        <v>13900000</v>
      </c>
      <c r="G50" s="19" t="n">
        <f aca="false">IF(A50="","",E50-F50)</f>
        <v>100000</v>
      </c>
    </row>
    <row r="51" customFormat="false" ht="15" hidden="false" customHeight="false" outlineLevel="0" collapsed="false">
      <c r="A51" s="33" t="str">
        <f aca="false">IF(계좌!$A7="","",계좌!A7)</f>
        <v>A06</v>
      </c>
      <c r="B51" s="33" t="str">
        <f aca="false">IF(계좌!$A7="","",계좌!B7)</f>
        <v>정기적금</v>
      </c>
      <c r="C51" s="33" t="str">
        <f aca="false">IF(계좌!$A7="","",계좌!D7)</f>
        <v>현금성</v>
      </c>
      <c r="D51" s="33" t="str">
        <f aca="false">IF(계좌!$A7="","",계좌!E7)</f>
        <v>공동</v>
      </c>
      <c r="E51" s="19" t="n">
        <f aca="false">IF(A51="","",SUMIFS(스냅샷!$C$2:$C$3000,스냅샷!$A$2:$A$3000,설정!$B$3,스냅샷!$B$2:$B$3000,A51))</f>
        <v>6300000</v>
      </c>
      <c r="F51" s="19" t="n">
        <f aca="false">IF(A51="","",SUMIFS(스냅샷!$C$2:$C$3000,스냅샷!$A$2:$A$3000,설정!$B$6,스냅샷!$B$2:$B$3000,A51))</f>
        <v>6000000</v>
      </c>
      <c r="G51" s="19" t="n">
        <f aca="false">IF(A51="","",E51-F51)</f>
        <v>300000</v>
      </c>
    </row>
    <row r="52" customFormat="false" ht="15" hidden="false" customHeight="false" outlineLevel="0" collapsed="false">
      <c r="A52" s="33" t="str">
        <f aca="false">IF(계좌!$A8="","",계좌!A8)</f>
        <v>I01</v>
      </c>
      <c r="B52" s="33" t="str">
        <f aca="false">IF(계좌!$A8="","",계좌!B8)</f>
        <v>주식계좌</v>
      </c>
      <c r="C52" s="33" t="str">
        <f aca="false">IF(계좌!$A8="","",계좌!D8)</f>
        <v>투자</v>
      </c>
      <c r="D52" s="33" t="str">
        <f aca="false">IF(계좌!$A8="","",계좌!E8)</f>
        <v>본인</v>
      </c>
      <c r="E52" s="19" t="n">
        <f aca="false">IF(A52="","",SUMIFS(스냅샷!$C$2:$C$3000,스냅샷!$A$2:$A$3000,설정!$B$3,스냅샷!$B$2:$B$3000,A52))</f>
        <v>44032000</v>
      </c>
      <c r="F52" s="19" t="n">
        <f aca="false">IF(A52="","",SUMIFS(스냅샷!$C$2:$C$3000,스냅샷!$A$2:$A$3000,설정!$B$6,스냅샷!$B$2:$B$3000,A52))</f>
        <v>42587000</v>
      </c>
      <c r="G52" s="19" t="n">
        <f aca="false">IF(A52="","",E52-F52)</f>
        <v>1445000</v>
      </c>
    </row>
    <row r="53" customFormat="false" ht="15" hidden="false" customHeight="false" outlineLevel="0" collapsed="false">
      <c r="A53" s="33" t="str">
        <f aca="false">IF(계좌!$A9="","",계좌!A9)</f>
        <v>I02</v>
      </c>
      <c r="B53" s="33" t="str">
        <f aca="false">IF(계좌!$A9="","",계좌!B9)</f>
        <v>ISA(중개형)</v>
      </c>
      <c r="C53" s="33" t="str">
        <f aca="false">IF(계좌!$A9="","",계좌!D9)</f>
        <v>투자</v>
      </c>
      <c r="D53" s="33" t="str">
        <f aca="false">IF(계좌!$A9="","",계좌!E9)</f>
        <v>배우자</v>
      </c>
      <c r="E53" s="19" t="n">
        <f aca="false">IF(A53="","",SUMIFS(스냅샷!$C$2:$C$3000,스냅샷!$A$2:$A$3000,설정!$B$3,스냅샷!$B$2:$B$3000,A53))</f>
        <v>26697000</v>
      </c>
      <c r="F53" s="19" t="n">
        <f aca="false">IF(A53="","",SUMIFS(스냅샷!$C$2:$C$3000,스냅샷!$A$2:$A$3000,설정!$B$6,스냅샷!$B$2:$B$3000,A53))</f>
        <v>25871000</v>
      </c>
      <c r="G53" s="19" t="n">
        <f aca="false">IF(A53="","",E53-F53)</f>
        <v>826000</v>
      </c>
    </row>
    <row r="54" customFormat="false" ht="15" hidden="false" customHeight="false" outlineLevel="0" collapsed="false">
      <c r="A54" s="33" t="str">
        <f aca="false">IF(계좌!$A10="","",계좌!A10)</f>
        <v>I03</v>
      </c>
      <c r="B54" s="33" t="str">
        <f aca="false">IF(계좌!$A10="","",계좌!B10)</f>
        <v>해외주식계좌</v>
      </c>
      <c r="C54" s="33" t="str">
        <f aca="false">IF(계좌!$A10="","",계좌!D10)</f>
        <v>투자</v>
      </c>
      <c r="D54" s="33" t="str">
        <f aca="false">IF(계좌!$A10="","",계좌!E10)</f>
        <v>공동</v>
      </c>
      <c r="E54" s="19" t="n">
        <f aca="false">IF(A54="","",SUMIFS(스냅샷!$C$2:$C$3000,스냅샷!$A$2:$A$3000,설정!$B$3,스냅샷!$B$2:$B$3000,A54))</f>
        <v>17220000</v>
      </c>
      <c r="F54" s="19" t="n">
        <f aca="false">IF(A54="","",SUMIFS(스냅샷!$C$2:$C$3000,스냅샷!$A$2:$A$3000,설정!$B$6,스냅샷!$B$2:$B$3000,A54))</f>
        <v>16794000</v>
      </c>
      <c r="G54" s="19" t="n">
        <f aca="false">IF(A54="","",E54-F54)</f>
        <v>426000</v>
      </c>
    </row>
    <row r="55" customFormat="false" ht="15" hidden="false" customHeight="false" outlineLevel="0" collapsed="false">
      <c r="A55" s="33" t="str">
        <f aca="false">IF(계좌!$A11="","",계좌!A11)</f>
        <v>P01</v>
      </c>
      <c r="B55" s="33" t="str">
        <f aca="false">IF(계좌!$A11="","",계좌!B11)</f>
        <v>연금저축펀드</v>
      </c>
      <c r="C55" s="33" t="str">
        <f aca="false">IF(계좌!$A11="","",계좌!D11)</f>
        <v>연금</v>
      </c>
      <c r="D55" s="33" t="str">
        <f aca="false">IF(계좌!$A11="","",계좌!E11)</f>
        <v>본인</v>
      </c>
      <c r="E55" s="19" t="n">
        <f aca="false">IF(A55="","",SUMIFS(스냅샷!$C$2:$C$3000,스냅샷!$A$2:$A$3000,설정!$B$3,스냅샷!$B$2:$B$3000,A55))</f>
        <v>25892000</v>
      </c>
      <c r="F55" s="19" t="n">
        <f aca="false">IF(A55="","",SUMIFS(스냅샷!$C$2:$C$3000,스냅샷!$A$2:$A$3000,설정!$B$6,스냅샷!$B$2:$B$3000,A55))</f>
        <v>25265000</v>
      </c>
      <c r="G55" s="19" t="n">
        <f aca="false">IF(A55="","",E55-F55)</f>
        <v>627000</v>
      </c>
    </row>
    <row r="56" customFormat="false" ht="15" hidden="false" customHeight="false" outlineLevel="0" collapsed="false">
      <c r="A56" s="33" t="str">
        <f aca="false">IF(계좌!$A12="","",계좌!A12)</f>
        <v>P02</v>
      </c>
      <c r="B56" s="33" t="str">
        <f aca="false">IF(계좌!$A12="","",계좌!B12)</f>
        <v>IRP</v>
      </c>
      <c r="C56" s="33" t="str">
        <f aca="false">IF(계좌!$A12="","",계좌!D12)</f>
        <v>연금</v>
      </c>
      <c r="D56" s="33" t="str">
        <f aca="false">IF(계좌!$A12="","",계좌!E12)</f>
        <v>배우자</v>
      </c>
      <c r="E56" s="19" t="n">
        <f aca="false">IF(A56="","",SUMIFS(스냅샷!$C$2:$C$3000,스냅샷!$A$2:$A$3000,설정!$B$3,스냅샷!$B$2:$B$3000,A56))</f>
        <v>14666000</v>
      </c>
      <c r="F56" s="19" t="n">
        <f aca="false">IF(A56="","",SUMIFS(스냅샷!$C$2:$C$3000,스냅샷!$A$2:$A$3000,설정!$B$6,스냅샷!$B$2:$B$3000,A56))</f>
        <v>14489000</v>
      </c>
      <c r="G56" s="19" t="n">
        <f aca="false">IF(A56="","",E56-F56)</f>
        <v>177000</v>
      </c>
    </row>
    <row r="57" customFormat="false" ht="15" hidden="false" customHeight="false" outlineLevel="0" collapsed="false">
      <c r="A57" s="33" t="str">
        <f aca="false">IF(계좌!$A13="","",계좌!A13)</f>
        <v>P03</v>
      </c>
      <c r="B57" s="33" t="str">
        <f aca="false">IF(계좌!$A13="","",계좌!B13)</f>
        <v>퇴직연금(DC)</v>
      </c>
      <c r="C57" s="33" t="str">
        <f aca="false">IF(계좌!$A13="","",계좌!D13)</f>
        <v>연금</v>
      </c>
      <c r="D57" s="33" t="str">
        <f aca="false">IF(계좌!$A13="","",계좌!E13)</f>
        <v>본인</v>
      </c>
      <c r="E57" s="19" t="n">
        <f aca="false">IF(A57="","",SUMIFS(스냅샷!$C$2:$C$3000,스냅샷!$A$2:$A$3000,설정!$B$3,스냅샷!$B$2:$B$3000,A57))</f>
        <v>44005000</v>
      </c>
      <c r="F57" s="19" t="n">
        <f aca="false">IF(A57="","",SUMIFS(스냅샷!$C$2:$C$3000,스냅샷!$A$2:$A$3000,설정!$B$6,스냅샷!$B$2:$B$3000,A57))</f>
        <v>43239000</v>
      </c>
      <c r="G57" s="19" t="n">
        <f aca="false">IF(A57="","",E57-F57)</f>
        <v>766000</v>
      </c>
    </row>
    <row r="58" customFormat="false" ht="15" hidden="false" customHeight="false" outlineLevel="0" collapsed="false">
      <c r="A58" s="33" t="str">
        <f aca="false">IF(계좌!$A14="","",계좌!A14)</f>
        <v>R01</v>
      </c>
      <c r="B58" s="33" t="str">
        <f aca="false">IF(계좌!$A14="","",계좌!B14)</f>
        <v>아파트(실거주)</v>
      </c>
      <c r="C58" s="33" t="str">
        <f aca="false">IF(계좌!$A14="","",계좌!D14)</f>
        <v>부동산</v>
      </c>
      <c r="D58" s="33" t="str">
        <f aca="false">IF(계좌!$A14="","",계좌!E14)</f>
        <v>공동</v>
      </c>
      <c r="E58" s="19" t="n">
        <f aca="false">IF(A58="","",SUMIFS(스냅샷!$C$2:$C$3000,스냅샷!$A$2:$A$3000,설정!$B$3,스냅샷!$B$2:$B$3000,A58))</f>
        <v>802000000</v>
      </c>
      <c r="F58" s="19" t="n">
        <f aca="false">IF(A58="","",SUMIFS(스냅샷!$C$2:$C$3000,스냅샷!$A$2:$A$3000,설정!$B$6,스냅샷!$B$2:$B$3000,A58))</f>
        <v>800000000</v>
      </c>
      <c r="G58" s="19" t="n">
        <f aca="false">IF(A58="","",E58-F58)</f>
        <v>2000000</v>
      </c>
    </row>
    <row r="59" customFormat="false" ht="15" hidden="false" customHeight="false" outlineLevel="0" collapsed="false">
      <c r="A59" s="33" t="str">
        <f aca="false">IF(계좌!$A15="","",계좌!A15)</f>
        <v>E01</v>
      </c>
      <c r="B59" s="33" t="str">
        <f aca="false">IF(계좌!$A15="","",계좌!B15)</f>
        <v>자동차</v>
      </c>
      <c r="C59" s="33" t="str">
        <f aca="false">IF(계좌!$A15="","",계좌!D15)</f>
        <v>기타자산</v>
      </c>
      <c r="D59" s="33" t="str">
        <f aca="false">IF(계좌!$A15="","",계좌!E15)</f>
        <v>공동</v>
      </c>
      <c r="E59" s="19" t="n">
        <f aca="false">IF(A59="","",SUMIFS(스냅샷!$C$2:$C$3000,스냅샷!$A$2:$A$3000,설정!$B$3,스냅샷!$B$2:$B$3000,A59))</f>
        <v>21250000</v>
      </c>
      <c r="F59" s="19" t="n">
        <f aca="false">IF(A59="","",SUMIFS(스냅샷!$C$2:$C$3000,스냅샷!$A$2:$A$3000,설정!$B$6,스냅샷!$B$2:$B$3000,A59))</f>
        <v>21500000</v>
      </c>
      <c r="G59" s="19" t="n">
        <f aca="false">IF(A59="","",E59-F59)</f>
        <v>-250000</v>
      </c>
    </row>
    <row r="60" customFormat="false" ht="15" hidden="false" customHeight="false" outlineLevel="0" collapsed="false">
      <c r="A60" s="33" t="str">
        <f aca="false">IF(계좌!$A16="","",계좌!A16)</f>
        <v>L01</v>
      </c>
      <c r="B60" s="33" t="str">
        <f aca="false">IF(계좌!$A16="","",계좌!B16)</f>
        <v>주택담보대출</v>
      </c>
      <c r="C60" s="33" t="str">
        <f aca="false">IF(계좌!$A16="","",계좌!D16)</f>
        <v>부채</v>
      </c>
      <c r="D60" s="33" t="str">
        <f aca="false">IF(계좌!$A16="","",계좌!E16)</f>
        <v>공동</v>
      </c>
      <c r="E60" s="19" t="n">
        <f aca="false">IF(A60="","",SUMIFS(스냅샷!$C$2:$C$3000,스냅샷!$A$2:$A$3000,설정!$B$3,스냅샷!$B$2:$B$3000,A60))</f>
        <v>285400000</v>
      </c>
      <c r="F60" s="19" t="n">
        <f aca="false">IF(A60="","",SUMIFS(스냅샷!$C$2:$C$3000,스냅샷!$A$2:$A$3000,설정!$B$6,스냅샷!$B$2:$B$3000,A60))</f>
        <v>286000000</v>
      </c>
      <c r="G60" s="19" t="n">
        <f aca="false">IF(A60="","",E60-F60)</f>
        <v>-600000</v>
      </c>
    </row>
    <row r="61" customFormat="false" ht="15" hidden="false" customHeight="false" outlineLevel="0" collapsed="false">
      <c r="A61" s="33" t="str">
        <f aca="false">IF(계좌!$A17="","",계좌!A17)</f>
        <v>L02</v>
      </c>
      <c r="B61" s="33" t="str">
        <f aca="false">IF(계좌!$A17="","",계좌!B17)</f>
        <v>신용대출</v>
      </c>
      <c r="C61" s="33" t="str">
        <f aca="false">IF(계좌!$A17="","",계좌!D17)</f>
        <v>부채</v>
      </c>
      <c r="D61" s="33" t="str">
        <f aca="false">IF(계좌!$A17="","",계좌!E17)</f>
        <v>본인</v>
      </c>
      <c r="E61" s="19" t="n">
        <f aca="false">IF(A61="","",SUMIFS(스냅샷!$C$2:$C$3000,스냅샷!$A$2:$A$3000,설정!$B$3,스냅샷!$B$2:$B$3000,A61))</f>
        <v>14700000</v>
      </c>
      <c r="F61" s="19" t="n">
        <f aca="false">IF(A61="","",SUMIFS(스냅샷!$C$2:$C$3000,스냅샷!$A$2:$A$3000,설정!$B$6,스냅샷!$B$2:$B$3000,A61))</f>
        <v>15000000</v>
      </c>
      <c r="G61" s="19" t="n">
        <f aca="false">IF(A61="","",E61-F61)</f>
        <v>-300000</v>
      </c>
    </row>
    <row r="62" customFormat="false" ht="15" hidden="false" customHeight="false" outlineLevel="0" collapsed="false">
      <c r="A62" s="33" t="str">
        <f aca="false">IF(계좌!$A18="","",계좌!A18)</f>
        <v>L03</v>
      </c>
      <c r="B62" s="33" t="str">
        <f aca="false">IF(계좌!$A18="","",계좌!B18)</f>
        <v>카드 결제예정액</v>
      </c>
      <c r="C62" s="33" t="str">
        <f aca="false">IF(계좌!$A18="","",계좌!D18)</f>
        <v>부채</v>
      </c>
      <c r="D62" s="33" t="str">
        <f aca="false">IF(계좌!$A18="","",계좌!E18)</f>
        <v>공동</v>
      </c>
      <c r="E62" s="19" t="n">
        <f aca="false">IF(A62="","",SUMIFS(스냅샷!$C$2:$C$3000,스냅샷!$A$2:$A$3000,설정!$B$3,스냅샷!$B$2:$B$3000,A62))</f>
        <v>3082000</v>
      </c>
      <c r="F62" s="19" t="n">
        <f aca="false">IF(A62="","",SUMIFS(스냅샷!$C$2:$C$3000,스냅샷!$A$2:$A$3000,설정!$B$6,스냅샷!$B$2:$B$3000,A62))</f>
        <v>3717000</v>
      </c>
      <c r="G62" s="19" t="n">
        <f aca="false">IF(A62="","",E62-F62)</f>
        <v>-635000</v>
      </c>
    </row>
    <row r="63" customFormat="false" ht="15" hidden="false" customHeight="false" outlineLevel="0" collapsed="false">
      <c r="A63" s="33" t="str">
        <f aca="false">IF(계좌!$A19="","",계좌!A19)</f>
        <v/>
      </c>
      <c r="B63" s="33" t="str">
        <f aca="false">IF(계좌!$A19="","",계좌!B19)</f>
        <v/>
      </c>
      <c r="C63" s="33" t="str">
        <f aca="false">IF(계좌!$A19="","",계좌!D19)</f>
        <v/>
      </c>
      <c r="D63" s="33" t="str">
        <f aca="false">IF(계좌!$A19="","",계좌!E19)</f>
        <v/>
      </c>
      <c r="E63" s="19" t="str">
        <f aca="false">IF(A63="","",SUMIFS(스냅샷!$C$2:$C$3000,스냅샷!$A$2:$A$3000,설정!$B$3,스냅샷!$B$2:$B$3000,A63))</f>
        <v/>
      </c>
      <c r="F63" s="19" t="str">
        <f aca="false">IF(A63="","",SUMIFS(스냅샷!$C$2:$C$3000,스냅샷!$A$2:$A$3000,설정!$B$6,스냅샷!$B$2:$B$3000,A63))</f>
        <v/>
      </c>
      <c r="G63" s="19" t="str">
        <f aca="false">IF(A63="","",E63-F63)</f>
        <v/>
      </c>
    </row>
    <row r="64" customFormat="false" ht="15" hidden="false" customHeight="false" outlineLevel="0" collapsed="false">
      <c r="A64" s="33" t="str">
        <f aca="false">IF(계좌!$A20="","",계좌!A20)</f>
        <v/>
      </c>
      <c r="B64" s="33" t="str">
        <f aca="false">IF(계좌!$A20="","",계좌!B20)</f>
        <v/>
      </c>
      <c r="C64" s="33" t="str">
        <f aca="false">IF(계좌!$A20="","",계좌!D20)</f>
        <v/>
      </c>
      <c r="D64" s="33" t="str">
        <f aca="false">IF(계좌!$A20="","",계좌!E20)</f>
        <v/>
      </c>
      <c r="E64" s="19" t="str">
        <f aca="false">IF(A64="","",SUMIFS(스냅샷!$C$2:$C$3000,스냅샷!$A$2:$A$3000,설정!$B$3,스냅샷!$B$2:$B$3000,A64))</f>
        <v/>
      </c>
      <c r="F64" s="19" t="str">
        <f aca="false">IF(A64="","",SUMIFS(스냅샷!$C$2:$C$3000,스냅샷!$A$2:$A$3000,설정!$B$6,스냅샷!$B$2:$B$3000,A64))</f>
        <v/>
      </c>
      <c r="G64" s="19" t="str">
        <f aca="false">IF(A64="","",E64-F64)</f>
        <v/>
      </c>
    </row>
    <row r="65" customFormat="false" ht="15" hidden="false" customHeight="false" outlineLevel="0" collapsed="false">
      <c r="A65" s="33" t="str">
        <f aca="false">IF(계좌!$A21="","",계좌!A21)</f>
        <v/>
      </c>
      <c r="B65" s="33" t="str">
        <f aca="false">IF(계좌!$A21="","",계좌!B21)</f>
        <v/>
      </c>
      <c r="C65" s="33" t="str">
        <f aca="false">IF(계좌!$A21="","",계좌!D21)</f>
        <v/>
      </c>
      <c r="D65" s="33" t="str">
        <f aca="false">IF(계좌!$A21="","",계좌!E21)</f>
        <v/>
      </c>
      <c r="E65" s="19" t="str">
        <f aca="false">IF(A65="","",SUMIFS(스냅샷!$C$2:$C$3000,스냅샷!$A$2:$A$3000,설정!$B$3,스냅샷!$B$2:$B$3000,A65))</f>
        <v/>
      </c>
      <c r="F65" s="19" t="str">
        <f aca="false">IF(A65="","",SUMIFS(스냅샷!$C$2:$C$3000,스냅샷!$A$2:$A$3000,설정!$B$6,스냅샷!$B$2:$B$3000,A65))</f>
        <v/>
      </c>
      <c r="G65" s="19" t="str">
        <f aca="false">IF(A65="","",E65-F65)</f>
        <v/>
      </c>
    </row>
    <row r="66" customFormat="false" ht="15" hidden="false" customHeight="false" outlineLevel="0" collapsed="false">
      <c r="A66" s="33" t="str">
        <f aca="false">IF(계좌!$A22="","",계좌!A22)</f>
        <v/>
      </c>
      <c r="B66" s="33" t="str">
        <f aca="false">IF(계좌!$A22="","",계좌!B22)</f>
        <v/>
      </c>
      <c r="C66" s="33" t="str">
        <f aca="false">IF(계좌!$A22="","",계좌!D22)</f>
        <v/>
      </c>
      <c r="D66" s="33" t="str">
        <f aca="false">IF(계좌!$A22="","",계좌!E22)</f>
        <v/>
      </c>
      <c r="E66" s="19" t="str">
        <f aca="false">IF(A66="","",SUMIFS(스냅샷!$C$2:$C$3000,스냅샷!$A$2:$A$3000,설정!$B$3,스냅샷!$B$2:$B$3000,A66))</f>
        <v/>
      </c>
      <c r="F66" s="19" t="str">
        <f aca="false">IF(A66="","",SUMIFS(스냅샷!$C$2:$C$3000,스냅샷!$A$2:$A$3000,설정!$B$6,스냅샷!$B$2:$B$3000,A66))</f>
        <v/>
      </c>
      <c r="G66" s="19" t="str">
        <f aca="false">IF(A66="","",E66-F66)</f>
        <v/>
      </c>
    </row>
    <row r="67" customFormat="false" ht="15" hidden="false" customHeight="false" outlineLevel="0" collapsed="false">
      <c r="A67" s="33" t="str">
        <f aca="false">IF(계좌!$A23="","",계좌!A23)</f>
        <v/>
      </c>
      <c r="B67" s="33" t="str">
        <f aca="false">IF(계좌!$A23="","",계좌!B23)</f>
        <v/>
      </c>
      <c r="C67" s="33" t="str">
        <f aca="false">IF(계좌!$A23="","",계좌!D23)</f>
        <v/>
      </c>
      <c r="D67" s="33" t="str">
        <f aca="false">IF(계좌!$A23="","",계좌!E23)</f>
        <v/>
      </c>
      <c r="E67" s="19" t="str">
        <f aca="false">IF(A67="","",SUMIFS(스냅샷!$C$2:$C$3000,스냅샷!$A$2:$A$3000,설정!$B$3,스냅샷!$B$2:$B$3000,A67))</f>
        <v/>
      </c>
      <c r="F67" s="19" t="str">
        <f aca="false">IF(A67="","",SUMIFS(스냅샷!$C$2:$C$3000,스냅샷!$A$2:$A$3000,설정!$B$6,스냅샷!$B$2:$B$3000,A67))</f>
        <v/>
      </c>
      <c r="G67" s="19" t="str">
        <f aca="false">IF(A67="","",E67-F67)</f>
        <v/>
      </c>
    </row>
    <row r="68" customFormat="false" ht="15" hidden="false" customHeight="false" outlineLevel="0" collapsed="false">
      <c r="A68" s="33" t="str">
        <f aca="false">IF(계좌!$A24="","",계좌!A24)</f>
        <v/>
      </c>
      <c r="B68" s="33" t="str">
        <f aca="false">IF(계좌!$A24="","",계좌!B24)</f>
        <v/>
      </c>
      <c r="C68" s="33" t="str">
        <f aca="false">IF(계좌!$A24="","",계좌!D24)</f>
        <v/>
      </c>
      <c r="D68" s="33" t="str">
        <f aca="false">IF(계좌!$A24="","",계좌!E24)</f>
        <v/>
      </c>
      <c r="E68" s="19" t="str">
        <f aca="false">IF(A68="","",SUMIFS(스냅샷!$C$2:$C$3000,스냅샷!$A$2:$A$3000,설정!$B$3,스냅샷!$B$2:$B$3000,A68))</f>
        <v/>
      </c>
      <c r="F68" s="19" t="str">
        <f aca="false">IF(A68="","",SUMIFS(스냅샷!$C$2:$C$3000,스냅샷!$A$2:$A$3000,설정!$B$6,스냅샷!$B$2:$B$3000,A68))</f>
        <v/>
      </c>
      <c r="G68" s="19" t="str">
        <f aca="false">IF(A68="","",E68-F68)</f>
        <v/>
      </c>
    </row>
    <row r="69" customFormat="false" ht="15" hidden="false" customHeight="false" outlineLevel="0" collapsed="false">
      <c r="A69" s="33" t="str">
        <f aca="false">IF(계좌!$A25="","",계좌!A25)</f>
        <v/>
      </c>
      <c r="B69" s="33" t="str">
        <f aca="false">IF(계좌!$A25="","",계좌!B25)</f>
        <v/>
      </c>
      <c r="C69" s="33" t="str">
        <f aca="false">IF(계좌!$A25="","",계좌!D25)</f>
        <v/>
      </c>
      <c r="D69" s="33" t="str">
        <f aca="false">IF(계좌!$A25="","",계좌!E25)</f>
        <v/>
      </c>
      <c r="E69" s="19" t="str">
        <f aca="false">IF(A69="","",SUMIFS(스냅샷!$C$2:$C$3000,스냅샷!$A$2:$A$3000,설정!$B$3,스냅샷!$B$2:$B$3000,A69))</f>
        <v/>
      </c>
      <c r="F69" s="19" t="str">
        <f aca="false">IF(A69="","",SUMIFS(스냅샷!$C$2:$C$3000,스냅샷!$A$2:$A$3000,설정!$B$6,스냅샷!$B$2:$B$3000,A69))</f>
        <v/>
      </c>
      <c r="G69" s="19" t="str">
        <f aca="false">IF(A69="","",E69-F69)</f>
        <v/>
      </c>
    </row>
    <row r="70" customFormat="false" ht="15" hidden="false" customHeight="false" outlineLevel="0" collapsed="false">
      <c r="A70" s="33" t="str">
        <f aca="false">IF(계좌!$A26="","",계좌!A26)</f>
        <v/>
      </c>
      <c r="B70" s="33" t="str">
        <f aca="false">IF(계좌!$A26="","",계좌!B26)</f>
        <v/>
      </c>
      <c r="C70" s="33" t="str">
        <f aca="false">IF(계좌!$A26="","",계좌!D26)</f>
        <v/>
      </c>
      <c r="D70" s="33" t="str">
        <f aca="false">IF(계좌!$A26="","",계좌!E26)</f>
        <v/>
      </c>
      <c r="E70" s="19" t="str">
        <f aca="false">IF(A70="","",SUMIFS(스냅샷!$C$2:$C$3000,스냅샷!$A$2:$A$3000,설정!$B$3,스냅샷!$B$2:$B$3000,A70))</f>
        <v/>
      </c>
      <c r="F70" s="19" t="str">
        <f aca="false">IF(A70="","",SUMIFS(스냅샷!$C$2:$C$3000,스냅샷!$A$2:$A$3000,설정!$B$6,스냅샷!$B$2:$B$3000,A70))</f>
        <v/>
      </c>
      <c r="G70" s="19" t="str">
        <f aca="false">IF(A70="","",E70-F70)</f>
        <v/>
      </c>
    </row>
    <row r="71" customFormat="false" ht="15" hidden="false" customHeight="false" outlineLevel="0" collapsed="false">
      <c r="A71" s="33" t="str">
        <f aca="false">IF(계좌!$A27="","",계좌!A27)</f>
        <v/>
      </c>
      <c r="B71" s="33" t="str">
        <f aca="false">IF(계좌!$A27="","",계좌!B27)</f>
        <v/>
      </c>
      <c r="C71" s="33" t="str">
        <f aca="false">IF(계좌!$A27="","",계좌!D27)</f>
        <v/>
      </c>
      <c r="D71" s="33" t="str">
        <f aca="false">IF(계좌!$A27="","",계좌!E27)</f>
        <v/>
      </c>
      <c r="E71" s="19" t="str">
        <f aca="false">IF(A71="","",SUMIFS(스냅샷!$C$2:$C$3000,스냅샷!$A$2:$A$3000,설정!$B$3,스냅샷!$B$2:$B$3000,A71))</f>
        <v/>
      </c>
      <c r="F71" s="19" t="str">
        <f aca="false">IF(A71="","",SUMIFS(스냅샷!$C$2:$C$3000,스냅샷!$A$2:$A$3000,설정!$B$6,스냅샷!$B$2:$B$3000,A71))</f>
        <v/>
      </c>
      <c r="G71" s="19" t="str">
        <f aca="false">IF(A71="","",E71-F71)</f>
        <v/>
      </c>
    </row>
    <row r="72" customFormat="false" ht="15" hidden="false" customHeight="false" outlineLevel="0" collapsed="false">
      <c r="A72" s="33" t="str">
        <f aca="false">IF(계좌!$A28="","",계좌!A28)</f>
        <v/>
      </c>
      <c r="B72" s="33" t="str">
        <f aca="false">IF(계좌!$A28="","",계좌!B28)</f>
        <v/>
      </c>
      <c r="C72" s="33" t="str">
        <f aca="false">IF(계좌!$A28="","",계좌!D28)</f>
        <v/>
      </c>
      <c r="D72" s="33" t="str">
        <f aca="false">IF(계좌!$A28="","",계좌!E28)</f>
        <v/>
      </c>
      <c r="E72" s="19" t="str">
        <f aca="false">IF(A72="","",SUMIFS(스냅샷!$C$2:$C$3000,스냅샷!$A$2:$A$3000,설정!$B$3,스냅샷!$B$2:$B$3000,A72))</f>
        <v/>
      </c>
      <c r="F72" s="19" t="str">
        <f aca="false">IF(A72="","",SUMIFS(스냅샷!$C$2:$C$3000,스냅샷!$A$2:$A$3000,설정!$B$6,스냅샷!$B$2:$B$3000,A72))</f>
        <v/>
      </c>
      <c r="G72" s="19" t="str">
        <f aca="false">IF(A72="","",E72-F72)</f>
        <v/>
      </c>
    </row>
    <row r="73" customFormat="false" ht="15" hidden="false" customHeight="false" outlineLevel="0" collapsed="false">
      <c r="A73" s="33" t="str">
        <f aca="false">IF(계좌!$A29="","",계좌!A29)</f>
        <v/>
      </c>
      <c r="B73" s="33" t="str">
        <f aca="false">IF(계좌!$A29="","",계좌!B29)</f>
        <v/>
      </c>
      <c r="C73" s="33" t="str">
        <f aca="false">IF(계좌!$A29="","",계좌!D29)</f>
        <v/>
      </c>
      <c r="D73" s="33" t="str">
        <f aca="false">IF(계좌!$A29="","",계좌!E29)</f>
        <v/>
      </c>
      <c r="E73" s="19" t="str">
        <f aca="false">IF(A73="","",SUMIFS(스냅샷!$C$2:$C$3000,스냅샷!$A$2:$A$3000,설정!$B$3,스냅샷!$B$2:$B$3000,A73))</f>
        <v/>
      </c>
      <c r="F73" s="19" t="str">
        <f aca="false">IF(A73="","",SUMIFS(스냅샷!$C$2:$C$3000,스냅샷!$A$2:$A$3000,설정!$B$6,스냅샷!$B$2:$B$3000,A73))</f>
        <v/>
      </c>
      <c r="G73" s="19" t="str">
        <f aca="false">IF(A73="","",E73-F73)</f>
        <v/>
      </c>
    </row>
    <row r="74" customFormat="false" ht="15" hidden="false" customHeight="false" outlineLevel="0" collapsed="false">
      <c r="A74" s="33" t="str">
        <f aca="false">IF(계좌!$A30="","",계좌!A30)</f>
        <v/>
      </c>
      <c r="B74" s="33" t="str">
        <f aca="false">IF(계좌!$A30="","",계좌!B30)</f>
        <v/>
      </c>
      <c r="C74" s="33" t="str">
        <f aca="false">IF(계좌!$A30="","",계좌!D30)</f>
        <v/>
      </c>
      <c r="D74" s="33" t="str">
        <f aca="false">IF(계좌!$A30="","",계좌!E30)</f>
        <v/>
      </c>
      <c r="E74" s="19" t="str">
        <f aca="false">IF(A74="","",SUMIFS(스냅샷!$C$2:$C$3000,스냅샷!$A$2:$A$3000,설정!$B$3,스냅샷!$B$2:$B$3000,A74))</f>
        <v/>
      </c>
      <c r="F74" s="19" t="str">
        <f aca="false">IF(A74="","",SUMIFS(스냅샷!$C$2:$C$3000,스냅샷!$A$2:$A$3000,설정!$B$6,스냅샷!$B$2:$B$3000,A74))</f>
        <v/>
      </c>
      <c r="G74" s="19" t="str">
        <f aca="false">IF(A74="","",E74-F74)</f>
        <v/>
      </c>
    </row>
    <row r="75" customFormat="false" ht="15" hidden="false" customHeight="false" outlineLevel="0" collapsed="false">
      <c r="A75" s="33" t="str">
        <f aca="false">IF(계좌!$A31="","",계좌!A31)</f>
        <v/>
      </c>
      <c r="B75" s="33" t="str">
        <f aca="false">IF(계좌!$A31="","",계좌!B31)</f>
        <v/>
      </c>
      <c r="C75" s="33" t="str">
        <f aca="false">IF(계좌!$A31="","",계좌!D31)</f>
        <v/>
      </c>
      <c r="D75" s="33" t="str">
        <f aca="false">IF(계좌!$A31="","",계좌!E31)</f>
        <v/>
      </c>
      <c r="E75" s="19" t="str">
        <f aca="false">IF(A75="","",SUMIFS(스냅샷!$C$2:$C$3000,스냅샷!$A$2:$A$3000,설정!$B$3,스냅샷!$B$2:$B$3000,A75))</f>
        <v/>
      </c>
      <c r="F75" s="19" t="str">
        <f aca="false">IF(A75="","",SUMIFS(스냅샷!$C$2:$C$3000,스냅샷!$A$2:$A$3000,설정!$B$6,스냅샷!$B$2:$B$3000,A75))</f>
        <v/>
      </c>
      <c r="G75" s="19" t="str">
        <f aca="false">IF(A75="","",E75-F75)</f>
        <v/>
      </c>
    </row>
    <row r="76" customFormat="false" ht="15" hidden="false" customHeight="false" outlineLevel="0" collapsed="false">
      <c r="A76" s="33" t="str">
        <f aca="false">IF(계좌!$A32="","",계좌!A32)</f>
        <v/>
      </c>
      <c r="B76" s="33" t="str">
        <f aca="false">IF(계좌!$A32="","",계좌!B32)</f>
        <v/>
      </c>
      <c r="C76" s="33" t="str">
        <f aca="false">IF(계좌!$A32="","",계좌!D32)</f>
        <v/>
      </c>
      <c r="D76" s="33" t="str">
        <f aca="false">IF(계좌!$A32="","",계좌!E32)</f>
        <v/>
      </c>
      <c r="E76" s="19" t="str">
        <f aca="false">IF(A76="","",SUMIFS(스냅샷!$C$2:$C$3000,스냅샷!$A$2:$A$3000,설정!$B$3,스냅샷!$B$2:$B$3000,A76))</f>
        <v/>
      </c>
      <c r="F76" s="19" t="str">
        <f aca="false">IF(A76="","",SUMIFS(스냅샷!$C$2:$C$3000,스냅샷!$A$2:$A$3000,설정!$B$6,스냅샷!$B$2:$B$3000,A76))</f>
        <v/>
      </c>
      <c r="G76" s="19" t="str">
        <f aca="false">IF(A76="","",E76-F76)</f>
        <v/>
      </c>
    </row>
    <row r="77" customFormat="false" ht="15" hidden="false" customHeight="false" outlineLevel="0" collapsed="false">
      <c r="A77" s="33" t="str">
        <f aca="false">IF(계좌!$A33="","",계좌!A33)</f>
        <v/>
      </c>
      <c r="B77" s="33" t="str">
        <f aca="false">IF(계좌!$A33="","",계좌!B33)</f>
        <v/>
      </c>
      <c r="C77" s="33" t="str">
        <f aca="false">IF(계좌!$A33="","",계좌!D33)</f>
        <v/>
      </c>
      <c r="D77" s="33" t="str">
        <f aca="false">IF(계좌!$A33="","",계좌!E33)</f>
        <v/>
      </c>
      <c r="E77" s="19" t="str">
        <f aca="false">IF(A77="","",SUMIFS(스냅샷!$C$2:$C$3000,스냅샷!$A$2:$A$3000,설정!$B$3,스냅샷!$B$2:$B$3000,A77))</f>
        <v/>
      </c>
      <c r="F77" s="19" t="str">
        <f aca="false">IF(A77="","",SUMIFS(스냅샷!$C$2:$C$3000,스냅샷!$A$2:$A$3000,설정!$B$6,스냅샷!$B$2:$B$3000,A77))</f>
        <v/>
      </c>
      <c r="G77" s="19" t="str">
        <f aca="false">IF(A77="","",E77-F77)</f>
        <v/>
      </c>
    </row>
    <row r="78" customFormat="false" ht="15" hidden="false" customHeight="false" outlineLevel="0" collapsed="false">
      <c r="A78" s="33" t="str">
        <f aca="false">IF(계좌!$A34="","",계좌!A34)</f>
        <v/>
      </c>
      <c r="B78" s="33" t="str">
        <f aca="false">IF(계좌!$A34="","",계좌!B34)</f>
        <v/>
      </c>
      <c r="C78" s="33" t="str">
        <f aca="false">IF(계좌!$A34="","",계좌!D34)</f>
        <v/>
      </c>
      <c r="D78" s="33" t="str">
        <f aca="false">IF(계좌!$A34="","",계좌!E34)</f>
        <v/>
      </c>
      <c r="E78" s="19" t="str">
        <f aca="false">IF(A78="","",SUMIFS(스냅샷!$C$2:$C$3000,스냅샷!$A$2:$A$3000,설정!$B$3,스냅샷!$B$2:$B$3000,A78))</f>
        <v/>
      </c>
      <c r="F78" s="19" t="str">
        <f aca="false">IF(A78="","",SUMIFS(스냅샷!$C$2:$C$3000,스냅샷!$A$2:$A$3000,설정!$B$6,스냅샷!$B$2:$B$3000,A78))</f>
        <v/>
      </c>
      <c r="G78" s="19" t="str">
        <f aca="false">IF(A78="","",E78-F78)</f>
        <v/>
      </c>
    </row>
    <row r="79" customFormat="false" ht="15" hidden="false" customHeight="false" outlineLevel="0" collapsed="false">
      <c r="A79" s="33" t="str">
        <f aca="false">IF(계좌!$A35="","",계좌!A35)</f>
        <v/>
      </c>
      <c r="B79" s="33" t="str">
        <f aca="false">IF(계좌!$A35="","",계좌!B35)</f>
        <v/>
      </c>
      <c r="C79" s="33" t="str">
        <f aca="false">IF(계좌!$A35="","",계좌!D35)</f>
        <v/>
      </c>
      <c r="D79" s="33" t="str">
        <f aca="false">IF(계좌!$A35="","",계좌!E35)</f>
        <v/>
      </c>
      <c r="E79" s="19" t="str">
        <f aca="false">IF(A79="","",SUMIFS(스냅샷!$C$2:$C$3000,스냅샷!$A$2:$A$3000,설정!$B$3,스냅샷!$B$2:$B$3000,A79))</f>
        <v/>
      </c>
      <c r="F79" s="19" t="str">
        <f aca="false">IF(A79="","",SUMIFS(스냅샷!$C$2:$C$3000,스냅샷!$A$2:$A$3000,설정!$B$6,스냅샷!$B$2:$B$3000,A79))</f>
        <v/>
      </c>
      <c r="G79" s="19" t="str">
        <f aca="false">IF(A79="","",E79-F79)</f>
        <v/>
      </c>
    </row>
    <row r="80" customFormat="false" ht="15" hidden="false" customHeight="false" outlineLevel="0" collapsed="false">
      <c r="A80" s="33" t="str">
        <f aca="false">IF(계좌!$A36="","",계좌!A36)</f>
        <v/>
      </c>
      <c r="B80" s="33" t="str">
        <f aca="false">IF(계좌!$A36="","",계좌!B36)</f>
        <v/>
      </c>
      <c r="C80" s="33" t="str">
        <f aca="false">IF(계좌!$A36="","",계좌!D36)</f>
        <v/>
      </c>
      <c r="D80" s="33" t="str">
        <f aca="false">IF(계좌!$A36="","",계좌!E36)</f>
        <v/>
      </c>
      <c r="E80" s="19" t="str">
        <f aca="false">IF(A80="","",SUMIFS(스냅샷!$C$2:$C$3000,스냅샷!$A$2:$A$3000,설정!$B$3,스냅샷!$B$2:$B$3000,A80))</f>
        <v/>
      </c>
      <c r="F80" s="19" t="str">
        <f aca="false">IF(A80="","",SUMIFS(스냅샷!$C$2:$C$3000,스냅샷!$A$2:$A$3000,설정!$B$6,스냅샷!$B$2:$B$3000,A80))</f>
        <v/>
      </c>
      <c r="G80" s="19" t="str">
        <f aca="false">IF(A80="","",E80-F80)</f>
        <v/>
      </c>
    </row>
    <row r="81" customFormat="false" ht="15" hidden="false" customHeight="false" outlineLevel="0" collapsed="false">
      <c r="A81" s="33" t="str">
        <f aca="false">IF(계좌!$A37="","",계좌!A37)</f>
        <v/>
      </c>
      <c r="B81" s="33" t="str">
        <f aca="false">IF(계좌!$A37="","",계좌!B37)</f>
        <v/>
      </c>
      <c r="C81" s="33" t="str">
        <f aca="false">IF(계좌!$A37="","",계좌!D37)</f>
        <v/>
      </c>
      <c r="D81" s="33" t="str">
        <f aca="false">IF(계좌!$A37="","",계좌!E37)</f>
        <v/>
      </c>
      <c r="E81" s="19" t="str">
        <f aca="false">IF(A81="","",SUMIFS(스냅샷!$C$2:$C$3000,스냅샷!$A$2:$A$3000,설정!$B$3,스냅샷!$B$2:$B$3000,A81))</f>
        <v/>
      </c>
      <c r="F81" s="19" t="str">
        <f aca="false">IF(A81="","",SUMIFS(스냅샷!$C$2:$C$3000,스냅샷!$A$2:$A$3000,설정!$B$6,스냅샷!$B$2:$B$3000,A81))</f>
        <v/>
      </c>
      <c r="G81" s="19" t="str">
        <f aca="false">IF(A81="","",E81-F81)</f>
        <v/>
      </c>
    </row>
    <row r="82" customFormat="false" ht="15" hidden="false" customHeight="false" outlineLevel="0" collapsed="false">
      <c r="A82" s="33" t="str">
        <f aca="false">IF(계좌!$A38="","",계좌!A38)</f>
        <v/>
      </c>
      <c r="B82" s="33" t="str">
        <f aca="false">IF(계좌!$A38="","",계좌!B38)</f>
        <v/>
      </c>
      <c r="C82" s="33" t="str">
        <f aca="false">IF(계좌!$A38="","",계좌!D38)</f>
        <v/>
      </c>
      <c r="D82" s="33" t="str">
        <f aca="false">IF(계좌!$A38="","",계좌!E38)</f>
        <v/>
      </c>
      <c r="E82" s="19" t="str">
        <f aca="false">IF(A82="","",SUMIFS(스냅샷!$C$2:$C$3000,스냅샷!$A$2:$A$3000,설정!$B$3,스냅샷!$B$2:$B$3000,A82))</f>
        <v/>
      </c>
      <c r="F82" s="19" t="str">
        <f aca="false">IF(A82="","",SUMIFS(스냅샷!$C$2:$C$3000,스냅샷!$A$2:$A$3000,설정!$B$6,스냅샷!$B$2:$B$3000,A82))</f>
        <v/>
      </c>
      <c r="G82" s="19" t="str">
        <f aca="false">IF(A82="","",E82-F82)</f>
        <v/>
      </c>
    </row>
    <row r="83" customFormat="false" ht="15" hidden="false" customHeight="false" outlineLevel="0" collapsed="false">
      <c r="A83" s="33" t="str">
        <f aca="false">IF(계좌!$A39="","",계좌!A39)</f>
        <v/>
      </c>
      <c r="B83" s="33" t="str">
        <f aca="false">IF(계좌!$A39="","",계좌!B39)</f>
        <v/>
      </c>
      <c r="C83" s="33" t="str">
        <f aca="false">IF(계좌!$A39="","",계좌!D39)</f>
        <v/>
      </c>
      <c r="D83" s="33" t="str">
        <f aca="false">IF(계좌!$A39="","",계좌!E39)</f>
        <v/>
      </c>
      <c r="E83" s="19" t="str">
        <f aca="false">IF(A83="","",SUMIFS(스냅샷!$C$2:$C$3000,스냅샷!$A$2:$A$3000,설정!$B$3,스냅샷!$B$2:$B$3000,A83))</f>
        <v/>
      </c>
      <c r="F83" s="19" t="str">
        <f aca="false">IF(A83="","",SUMIFS(스냅샷!$C$2:$C$3000,스냅샷!$A$2:$A$3000,설정!$B$6,스냅샷!$B$2:$B$3000,A83))</f>
        <v/>
      </c>
      <c r="G83" s="19" t="str">
        <f aca="false">IF(A83="","",E83-F83)</f>
        <v/>
      </c>
    </row>
    <row r="84" customFormat="false" ht="15" hidden="false" customHeight="false" outlineLevel="0" collapsed="false">
      <c r="A84" s="33" t="str">
        <f aca="false">IF(계좌!$A40="","",계좌!A40)</f>
        <v/>
      </c>
      <c r="B84" s="33" t="str">
        <f aca="false">IF(계좌!$A40="","",계좌!B40)</f>
        <v/>
      </c>
      <c r="C84" s="33" t="str">
        <f aca="false">IF(계좌!$A40="","",계좌!D40)</f>
        <v/>
      </c>
      <c r="D84" s="33" t="str">
        <f aca="false">IF(계좌!$A40="","",계좌!E40)</f>
        <v/>
      </c>
      <c r="E84" s="19" t="str">
        <f aca="false">IF(A84="","",SUMIFS(스냅샷!$C$2:$C$3000,스냅샷!$A$2:$A$3000,설정!$B$3,스냅샷!$B$2:$B$3000,A84))</f>
        <v/>
      </c>
      <c r="F84" s="19" t="str">
        <f aca="false">IF(A84="","",SUMIFS(스냅샷!$C$2:$C$3000,스냅샷!$A$2:$A$3000,설정!$B$6,스냅샷!$B$2:$B$3000,A84))</f>
        <v/>
      </c>
      <c r="G84" s="19" t="str">
        <f aca="false">IF(A84="","",E84-F84)</f>
        <v/>
      </c>
    </row>
    <row r="85" customFormat="false" ht="15" hidden="false" customHeight="false" outlineLevel="0" collapsed="false">
      <c r="A85" s="33" t="str">
        <f aca="false">IF(계좌!$A41="","",계좌!A41)</f>
        <v/>
      </c>
      <c r="B85" s="33" t="str">
        <f aca="false">IF(계좌!$A41="","",계좌!B41)</f>
        <v/>
      </c>
      <c r="C85" s="33" t="str">
        <f aca="false">IF(계좌!$A41="","",계좌!D41)</f>
        <v/>
      </c>
      <c r="D85" s="33" t="str">
        <f aca="false">IF(계좌!$A41="","",계좌!E41)</f>
        <v/>
      </c>
      <c r="E85" s="19" t="str">
        <f aca="false">IF(A85="","",SUMIFS(스냅샷!$C$2:$C$3000,스냅샷!$A$2:$A$3000,설정!$B$3,스냅샷!$B$2:$B$3000,A85))</f>
        <v/>
      </c>
      <c r="F85" s="19" t="str">
        <f aca="false">IF(A85="","",SUMIFS(스냅샷!$C$2:$C$3000,스냅샷!$A$2:$A$3000,설정!$B$6,스냅샷!$B$2:$B$3000,A85))</f>
        <v/>
      </c>
      <c r="G85" s="19" t="str">
        <f aca="false">IF(A85="","",E85-F85)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0"/>
    <col collapsed="false" customWidth="true" hidden="false" outlineLevel="0" max="10" min="10" style="0" width="22"/>
  </cols>
  <sheetData>
    <row r="1" customFormat="false" ht="20.85" hidden="false" customHeight="false" outlineLevel="0" collapsed="false">
      <c r="A1" s="39" t="s">
        <v>502</v>
      </c>
    </row>
    <row r="2" customFormat="false" ht="15" hidden="false" customHeight="false" outlineLevel="0" collapsed="false">
      <c r="A2" s="31" t="s">
        <v>503</v>
      </c>
    </row>
    <row r="3" customFormat="false" ht="15" hidden="false" customHeight="false" outlineLevel="0" collapsed="false">
      <c r="A3" s="48" t="s">
        <v>504</v>
      </c>
      <c r="B3" s="49"/>
    </row>
    <row r="4" customFormat="false" ht="15" hidden="false" customHeight="false" outlineLevel="0" collapsed="false">
      <c r="A4" s="41" t="s">
        <v>505</v>
      </c>
      <c r="B4" s="19" t="n">
        <f aca="false">재무상태표!B16</f>
        <v>18631000</v>
      </c>
    </row>
    <row r="5" customFormat="false" ht="15" hidden="false" customHeight="false" outlineLevel="0" collapsed="false">
      <c r="A5" s="41" t="s">
        <v>506</v>
      </c>
      <c r="B5" s="19" t="n">
        <f aca="false">(손익!N5+손익!N7+손익!N8)/12</f>
        <v>8635250</v>
      </c>
    </row>
    <row r="6" customFormat="false" ht="15" hidden="false" customHeight="false" outlineLevel="0" collapsed="false">
      <c r="A6" s="41" t="s">
        <v>507</v>
      </c>
      <c r="B6" s="19" t="n">
        <f aca="false">(손익!N17+손익!N27)/12</f>
        <v>4863057.5</v>
      </c>
    </row>
    <row r="7" customFormat="false" ht="15" hidden="false" customHeight="false" outlineLevel="0" collapsed="false">
      <c r="A7" s="41" t="s">
        <v>508</v>
      </c>
      <c r="B7" s="19" t="n">
        <f aca="false">손익!P44</f>
        <v>3416666.66666667</v>
      </c>
    </row>
    <row r="8" customFormat="false" ht="15" hidden="false" customHeight="false" outlineLevel="0" collapsed="false">
      <c r="A8" s="41" t="s">
        <v>509</v>
      </c>
      <c r="B8" s="19" t="n">
        <f aca="false">설정!$B$18</f>
        <v>3000000</v>
      </c>
    </row>
    <row r="10" customFormat="false" ht="15" hidden="false" customHeight="false" outlineLevel="0" collapsed="false">
      <c r="A10" s="30" t="s">
        <v>60</v>
      </c>
      <c r="B10" s="30" t="s">
        <v>510</v>
      </c>
      <c r="C10" s="30" t="s">
        <v>511</v>
      </c>
      <c r="D10" s="30" t="s">
        <v>512</v>
      </c>
      <c r="E10" s="30" t="s">
        <v>513</v>
      </c>
      <c r="F10" s="30" t="s">
        <v>514</v>
      </c>
      <c r="G10" s="30" t="s">
        <v>515</v>
      </c>
      <c r="H10" s="30" t="s">
        <v>516</v>
      </c>
      <c r="I10" s="30" t="s">
        <v>25</v>
      </c>
      <c r="J10" s="40" t="s">
        <v>260</v>
      </c>
    </row>
    <row r="11" customFormat="false" ht="15" hidden="false" customHeight="false" outlineLevel="0" collapsed="false">
      <c r="A11" s="18" t="str">
        <f aca="false">TEXT(EDATE(DATEVALUE(설정!$B$3&amp;"-01"),1),"yyyy-mm")</f>
        <v>2026-10</v>
      </c>
      <c r="B11" s="19" t="n">
        <f aca="false">$B$5</f>
        <v>8635250</v>
      </c>
      <c r="C11" s="19" t="n">
        <f aca="false">SUMIFS(일정!$D$4:$D$63,일정!$F$4:$F$63,A11,일정!$C$4:$C$63,"유입",일정!$E$4:$E$63,설정!$B$5)</f>
        <v>0</v>
      </c>
      <c r="D11" s="19" t="n">
        <f aca="false">$B$6</f>
        <v>4863057.5</v>
      </c>
      <c r="E11" s="19" t="n">
        <f aca="false">$B$7</f>
        <v>3416666.66666667</v>
      </c>
      <c r="F11" s="19" t="n">
        <f aca="false">SUMIFS(일정!$D$4:$D$63,일정!$F$4:$F$63,A11,일정!$C$4:$C$63,"유출",일정!$E$4:$E$63,설정!$B$5)</f>
        <v>850000</v>
      </c>
      <c r="G11" s="19" t="n">
        <f aca="false">B11+C11-D11-E11-F11</f>
        <v>-494474.166666667</v>
      </c>
      <c r="H11" s="20" t="n">
        <f aca="false">$B$4+G11</f>
        <v>18136525.8333333</v>
      </c>
      <c r="I11" s="61" t="str">
        <f aca="false">IF(H11&lt;$B$8,"🔴 부족","✅ 정상")</f>
        <v>✅ 정상</v>
      </c>
      <c r="J11" s="44" t="str">
        <f aca="false">IF(H11&lt;$B$8,A11&amp;" "&amp;TEXT(H11,"#,##0")&amp;"원","")</f>
        <v/>
      </c>
    </row>
    <row r="12" customFormat="false" ht="15" hidden="false" customHeight="false" outlineLevel="0" collapsed="false">
      <c r="A12" s="18" t="str">
        <f aca="false">TEXT(EDATE(DATEVALUE(설정!$B$3&amp;"-01"),2),"yyyy-mm")</f>
        <v>2026-11</v>
      </c>
      <c r="B12" s="19" t="n">
        <f aca="false">$B$5</f>
        <v>8635250</v>
      </c>
      <c r="C12" s="19" t="n">
        <f aca="false">SUMIFS(일정!$D$4:$D$63,일정!$F$4:$F$63,A12,일정!$C$4:$C$63,"유입",일정!$E$4:$E$63,설정!$B$5)</f>
        <v>0</v>
      </c>
      <c r="D12" s="19" t="n">
        <f aca="false">$B$6</f>
        <v>4863057.5</v>
      </c>
      <c r="E12" s="19" t="n">
        <f aca="false">$B$7</f>
        <v>3416666.66666667</v>
      </c>
      <c r="F12" s="19" t="n">
        <f aca="false">SUMIFS(일정!$D$4:$D$63,일정!$F$4:$F$63,A12,일정!$C$4:$C$63,"유출",일정!$E$4:$E$63,설정!$B$5)</f>
        <v>600000</v>
      </c>
      <c r="G12" s="19" t="n">
        <f aca="false">B12+C12-D12-E12-F12</f>
        <v>-244474.166666667</v>
      </c>
      <c r="H12" s="20" t="n">
        <f aca="false">H11+G12</f>
        <v>17892051.6666667</v>
      </c>
      <c r="I12" s="61" t="str">
        <f aca="false">IF(H12&lt;$B$8,"🔴 부족","✅ 정상")</f>
        <v>✅ 정상</v>
      </c>
      <c r="J12" s="44" t="str">
        <f aca="false">IF(H12&lt;$B$8,A12&amp;" "&amp;TEXT(H12,"#,##0")&amp;"원","")</f>
        <v/>
      </c>
    </row>
    <row r="13" customFormat="false" ht="15" hidden="false" customHeight="false" outlineLevel="0" collapsed="false">
      <c r="A13" s="18" t="str">
        <f aca="false">TEXT(EDATE(DATEVALUE(설정!$B$3&amp;"-01"),3),"yyyy-mm")</f>
        <v>2026-12</v>
      </c>
      <c r="B13" s="19" t="n">
        <f aca="false">$B$5</f>
        <v>8635250</v>
      </c>
      <c r="C13" s="19" t="n">
        <f aca="false">SUMIFS(일정!$D$4:$D$63,일정!$F$4:$F$63,A13,일정!$C$4:$C$63,"유입",일정!$E$4:$E$63,설정!$B$5)</f>
        <v>0</v>
      </c>
      <c r="D13" s="19" t="n">
        <f aca="false">$B$6</f>
        <v>4863057.5</v>
      </c>
      <c r="E13" s="19" t="n">
        <f aca="false">$B$7</f>
        <v>3416666.66666667</v>
      </c>
      <c r="F13" s="19" t="n">
        <f aca="false">SUMIFS(일정!$D$4:$D$63,일정!$F$4:$F$63,A13,일정!$C$4:$C$63,"유출",일정!$E$4:$E$63,설정!$B$5)</f>
        <v>762000</v>
      </c>
      <c r="G13" s="19" t="n">
        <f aca="false">B13+C13-D13-E13-F13</f>
        <v>-406474.166666667</v>
      </c>
      <c r="H13" s="20" t="n">
        <f aca="false">H12+G13</f>
        <v>17485577.5</v>
      </c>
      <c r="I13" s="61" t="str">
        <f aca="false">IF(H13&lt;$B$8,"🔴 부족","✅ 정상")</f>
        <v>✅ 정상</v>
      </c>
      <c r="J13" s="44" t="str">
        <f aca="false">IF(H13&lt;$B$8,A13&amp;" "&amp;TEXT(H13,"#,##0")&amp;"원","")</f>
        <v/>
      </c>
    </row>
    <row r="14" customFormat="false" ht="15" hidden="false" customHeight="false" outlineLevel="0" collapsed="false">
      <c r="A14" s="18" t="str">
        <f aca="false">TEXT(EDATE(DATEVALUE(설정!$B$3&amp;"-01"),4),"yyyy-mm")</f>
        <v>2027-01</v>
      </c>
      <c r="B14" s="19" t="n">
        <f aca="false">$B$5</f>
        <v>8635250</v>
      </c>
      <c r="C14" s="19" t="n">
        <f aca="false">SUMIFS(일정!$D$4:$D$63,일정!$F$4:$F$63,A14,일정!$C$4:$C$63,"유입",일정!$E$4:$E$63,설정!$B$5)</f>
        <v>3000000</v>
      </c>
      <c r="D14" s="19" t="n">
        <f aca="false">$B$6</f>
        <v>4863057.5</v>
      </c>
      <c r="E14" s="19" t="n">
        <f aca="false">$B$7</f>
        <v>3416666.66666667</v>
      </c>
      <c r="F14" s="19" t="n">
        <f aca="false">SUMIFS(일정!$D$4:$D$63,일정!$F$4:$F$63,A14,일정!$C$4:$C$63,"유출",일정!$E$4:$E$63,설정!$B$5)</f>
        <v>0</v>
      </c>
      <c r="G14" s="19" t="n">
        <f aca="false">B14+C14-D14-E14-F14</f>
        <v>3355525.83333333</v>
      </c>
      <c r="H14" s="20" t="n">
        <f aca="false">H13+G14</f>
        <v>20841103.3333333</v>
      </c>
      <c r="I14" s="61" t="str">
        <f aca="false">IF(H14&lt;$B$8,"🔴 부족","✅ 정상")</f>
        <v>✅ 정상</v>
      </c>
      <c r="J14" s="44" t="str">
        <f aca="false">IF(H14&lt;$B$8,A14&amp;" "&amp;TEXT(H14,"#,##0")&amp;"원","")</f>
        <v/>
      </c>
    </row>
    <row r="15" customFormat="false" ht="15" hidden="false" customHeight="false" outlineLevel="0" collapsed="false">
      <c r="A15" s="18" t="str">
        <f aca="false">TEXT(EDATE(DATEVALUE(설정!$B$3&amp;"-01"),5),"yyyy-mm")</f>
        <v>2027-02</v>
      </c>
      <c r="B15" s="19" t="n">
        <f aca="false">$B$5</f>
        <v>8635250</v>
      </c>
      <c r="C15" s="19" t="n">
        <f aca="false">SUMIFS(일정!$D$4:$D$63,일정!$F$4:$F$63,A15,일정!$C$4:$C$63,"유입",일정!$E$4:$E$63,설정!$B$5)</f>
        <v>700000</v>
      </c>
      <c r="D15" s="19" t="n">
        <f aca="false">$B$6</f>
        <v>4863057.5</v>
      </c>
      <c r="E15" s="19" t="n">
        <f aca="false">$B$7</f>
        <v>3416666.66666667</v>
      </c>
      <c r="F15" s="19" t="n">
        <f aca="false">SUMIFS(일정!$D$4:$D$63,일정!$F$4:$F$63,A15,일정!$C$4:$C$63,"유출",일정!$E$4:$E$63,설정!$B$5)</f>
        <v>550000</v>
      </c>
      <c r="G15" s="19" t="n">
        <f aca="false">B15+C15-D15-E15-F15</f>
        <v>505525.833333334</v>
      </c>
      <c r="H15" s="20" t="n">
        <f aca="false">H14+G15</f>
        <v>21346629.1666667</v>
      </c>
      <c r="I15" s="61" t="str">
        <f aca="false">IF(H15&lt;$B$8,"🔴 부족","✅ 정상")</f>
        <v>✅ 정상</v>
      </c>
      <c r="J15" s="44" t="str">
        <f aca="false">IF(H15&lt;$B$8,A15&amp;" "&amp;TEXT(H15,"#,##0")&amp;"원","")</f>
        <v/>
      </c>
    </row>
    <row r="16" customFormat="false" ht="15" hidden="false" customHeight="false" outlineLevel="0" collapsed="false">
      <c r="A16" s="18" t="str">
        <f aca="false">TEXT(EDATE(DATEVALUE(설정!$B$3&amp;"-01"),6),"yyyy-mm")</f>
        <v>2027-03</v>
      </c>
      <c r="B16" s="19" t="n">
        <f aca="false">$B$5</f>
        <v>8635250</v>
      </c>
      <c r="C16" s="19" t="n">
        <f aca="false">SUMIFS(일정!$D$4:$D$63,일정!$F$4:$F$63,A16,일정!$C$4:$C$63,"유입",일정!$E$4:$E$63,설정!$B$5)</f>
        <v>0</v>
      </c>
      <c r="D16" s="19" t="n">
        <f aca="false">$B$6</f>
        <v>4863057.5</v>
      </c>
      <c r="E16" s="19" t="n">
        <f aca="false">$B$7</f>
        <v>3416666.66666667</v>
      </c>
      <c r="F16" s="19" t="n">
        <f aca="false">SUMIFS(일정!$D$4:$D$63,일정!$F$4:$F$63,A16,일정!$C$4:$C$63,"유출",일정!$E$4:$E$63,설정!$B$5)</f>
        <v>0</v>
      </c>
      <c r="G16" s="19" t="n">
        <f aca="false">B16+C16-D16-E16-F16</f>
        <v>355525.833333334</v>
      </c>
      <c r="H16" s="20" t="n">
        <f aca="false">H15+G16</f>
        <v>21702155</v>
      </c>
      <c r="I16" s="61" t="str">
        <f aca="false">IF(H16&lt;$B$8,"🔴 부족","✅ 정상")</f>
        <v>✅ 정상</v>
      </c>
      <c r="J16" s="44" t="str">
        <f aca="false">IF(H16&lt;$B$8,A16&amp;" "&amp;TEXT(H16,"#,##0")&amp;"원","")</f>
        <v/>
      </c>
    </row>
  </sheetData>
  <conditionalFormatting sqref="I11:I16">
    <cfRule type="expression" priority="2" aboveAverage="0" equalAverage="0" bottom="0" percent="0" rank="0" text="" dxfId="0">
      <formula>OR(ISNUMBER(SEARCH("초과",I11)),ISNUMBER(SEARCH("부족",I11)),ISNUMBER(SEARCH("공백",I11)))</formula>
    </cfRule>
    <cfRule type="expression" priority="3" aboveAverage="0" equalAverage="0" bottom="0" percent="0" rank="0" text="" dxfId="1">
      <formula>OR(ISNUMBER(SEARCH("주의",I11)),ISNUMBER(SEARCH("미달",I11)),ISNUMBER(SEARCH("지연",I11)),ISNUMBER(SEARCH("리밸런싱",I11)),ISNUMBER(SEARCH("감소",I11)))</formula>
    </cfRule>
    <cfRule type="expression" priority="4" aboveAverage="0" equalAverage="0" bottom="0" percent="0" rank="0" text="" dxfId="2">
      <formula>OR(ISNUMBER(SEARCH("양호",I11)),ISNUMBER(SEARCH("달성",I11)),ISNUMBER(SEARCH("순항",I11)),ISNUMBER(SEARCH("정상",I11)),ISNUMBER(SEARCH("증가",I11)),ISNUMBER(SEARCH("보장",I11)),ISNUMBER(SEARCH("적정",I11)))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3"/>
    <col collapsed="false" customWidth="true" hidden="false" outlineLevel="0" max="12" min="5" style="0" width="11"/>
  </cols>
  <sheetData>
    <row r="1" customFormat="false" ht="19.7" hidden="false" customHeight="false" outlineLevel="0" collapsed="false">
      <c r="A1" s="39" t="s">
        <v>517</v>
      </c>
    </row>
    <row r="2" customFormat="false" ht="15" hidden="false" customHeight="false" outlineLevel="0" collapsed="false">
      <c r="A2" s="30" t="s">
        <v>278</v>
      </c>
      <c r="B2" s="30" t="s">
        <v>518</v>
      </c>
      <c r="C2" s="30" t="s">
        <v>519</v>
      </c>
      <c r="E2" s="30" t="s">
        <v>19</v>
      </c>
      <c r="F2" s="30" t="s">
        <v>3</v>
      </c>
      <c r="G2" s="30" t="s">
        <v>520</v>
      </c>
      <c r="H2" s="30" t="s">
        <v>174</v>
      </c>
      <c r="I2" s="30" t="s">
        <v>254</v>
      </c>
      <c r="J2" s="30" t="s">
        <v>521</v>
      </c>
      <c r="K2" s="30" t="s">
        <v>522</v>
      </c>
      <c r="L2" s="30" t="s">
        <v>523</v>
      </c>
    </row>
    <row r="3" customFormat="false" ht="15" hidden="false" customHeight="false" outlineLevel="0" collapsed="false">
      <c r="A3" s="41" t="s">
        <v>500</v>
      </c>
      <c r="B3" s="33" t="str">
        <f aca="false">IF(ISNUMBER(대시보드!$C$4),TEXT(대시보드!$C$4,"yyyy-mm"),TRIM(대시보드!$C$4))</f>
        <v>2026-09</v>
      </c>
      <c r="C3" s="44" t="s">
        <v>524</v>
      </c>
      <c r="E3" s="41" t="s">
        <v>78</v>
      </c>
      <c r="F3" s="41" t="s">
        <v>4</v>
      </c>
      <c r="G3" s="41" t="s">
        <v>208</v>
      </c>
      <c r="H3" s="41" t="s">
        <v>209</v>
      </c>
      <c r="I3" s="41" t="s">
        <v>262</v>
      </c>
      <c r="J3" s="41" t="s">
        <v>60</v>
      </c>
      <c r="K3" s="41" t="s">
        <v>404</v>
      </c>
      <c r="L3" s="41" t="s">
        <v>78</v>
      </c>
    </row>
    <row r="4" customFormat="false" ht="15" hidden="false" customHeight="false" outlineLevel="0" collapsed="false">
      <c r="A4" s="41" t="s">
        <v>525</v>
      </c>
      <c r="B4" s="33" t="str">
        <f aca="false">대시보드!$E$4</f>
        <v>전체</v>
      </c>
      <c r="C4" s="44" t="s">
        <v>526</v>
      </c>
      <c r="E4" s="41" t="s">
        <v>73</v>
      </c>
      <c r="F4" s="41" t="s">
        <v>78</v>
      </c>
      <c r="G4" s="41" t="s">
        <v>227</v>
      </c>
      <c r="H4" s="33" t="s">
        <v>527</v>
      </c>
      <c r="I4" s="41" t="s">
        <v>263</v>
      </c>
      <c r="J4" s="41" t="s">
        <v>418</v>
      </c>
      <c r="K4" s="41" t="s">
        <v>399</v>
      </c>
      <c r="L4" s="41" t="s">
        <v>73</v>
      </c>
    </row>
    <row r="5" customFormat="false" ht="15" hidden="false" customHeight="false" outlineLevel="0" collapsed="false">
      <c r="A5" s="41" t="s">
        <v>528</v>
      </c>
      <c r="B5" s="33" t="str">
        <f aca="false">IF(B4="전체","*",B4)</f>
        <v>*</v>
      </c>
      <c r="C5" s="44" t="s">
        <v>529</v>
      </c>
      <c r="E5" s="41" t="s">
        <v>81</v>
      </c>
      <c r="F5" s="41" t="s">
        <v>73</v>
      </c>
      <c r="G5" s="41" t="s">
        <v>235</v>
      </c>
      <c r="H5" s="41" t="s">
        <v>219</v>
      </c>
      <c r="I5" s="41" t="s">
        <v>264</v>
      </c>
      <c r="K5" s="41" t="s">
        <v>396</v>
      </c>
      <c r="L5" s="41" t="s">
        <v>81</v>
      </c>
    </row>
    <row r="6" customFormat="false" ht="15" hidden="false" customHeight="false" outlineLevel="0" collapsed="false">
      <c r="A6" s="41" t="s">
        <v>501</v>
      </c>
      <c r="B6" s="33" t="str">
        <f aca="false">TEXT(EDATE(DATEVALUE(B3&amp;"-01"),-1),"yyyy-mm")</f>
        <v>2026-08</v>
      </c>
      <c r="C6" s="44" t="s">
        <v>530</v>
      </c>
      <c r="E6" s="41" t="s">
        <v>384</v>
      </c>
      <c r="F6" s="41" t="s">
        <v>81</v>
      </c>
      <c r="G6" s="41" t="s">
        <v>242</v>
      </c>
      <c r="I6" s="41" t="s">
        <v>208</v>
      </c>
    </row>
    <row r="7" customFormat="false" ht="15" hidden="false" customHeight="false" outlineLevel="0" collapsed="false">
      <c r="A7" s="41" t="s">
        <v>531</v>
      </c>
      <c r="B7" s="36" t="n">
        <f aca="false">VALUE(SUBSTITUTE(B3,"-",""))</f>
        <v>202609</v>
      </c>
      <c r="C7" s="44" t="s">
        <v>532</v>
      </c>
      <c r="G7" s="41" t="s">
        <v>245</v>
      </c>
      <c r="I7" s="41" t="s">
        <v>265</v>
      </c>
    </row>
    <row r="8" customFormat="false" ht="15" hidden="false" customHeight="false" outlineLevel="0" collapsed="false">
      <c r="A8" s="41" t="s">
        <v>533</v>
      </c>
      <c r="B8" s="36" t="n">
        <f aca="false">INT(B7/100)*100+1</f>
        <v>202601</v>
      </c>
      <c r="C8" s="44" t="s">
        <v>534</v>
      </c>
      <c r="G8" s="41" t="s">
        <v>21</v>
      </c>
    </row>
    <row r="9" customFormat="false" ht="15" hidden="false" customHeight="false" outlineLevel="0" collapsed="false">
      <c r="A9" s="41" t="s">
        <v>535</v>
      </c>
      <c r="B9" s="36" t="n">
        <f aca="false">MOD(B7,100)</f>
        <v>9</v>
      </c>
      <c r="C9" s="44" t="s">
        <v>536</v>
      </c>
    </row>
    <row r="10" customFormat="false" ht="15" hidden="false" customHeight="false" outlineLevel="0" collapsed="false">
      <c r="A10" s="41" t="s">
        <v>5</v>
      </c>
      <c r="B10" s="65" t="n">
        <f aca="true">TODAY()</f>
        <v>46307</v>
      </c>
      <c r="C10" s="44" t="s">
        <v>537</v>
      </c>
    </row>
    <row r="11" customFormat="false" ht="15" hidden="false" customHeight="false" outlineLevel="0" collapsed="false">
      <c r="A11" s="48" t="s">
        <v>538</v>
      </c>
      <c r="B11" s="49"/>
      <c r="C11" s="49"/>
    </row>
    <row r="12" customFormat="false" ht="15" hidden="false" customHeight="false" outlineLevel="0" collapsed="false">
      <c r="A12" s="41" t="s">
        <v>539</v>
      </c>
      <c r="B12" s="42" t="n">
        <v>0.3</v>
      </c>
      <c r="C12" s="66" t="s">
        <v>540</v>
      </c>
    </row>
    <row r="13" customFormat="false" ht="15" hidden="false" customHeight="false" outlineLevel="0" collapsed="false">
      <c r="A13" s="41" t="s">
        <v>541</v>
      </c>
      <c r="B13" s="67" t="n">
        <v>6</v>
      </c>
      <c r="C13" s="44" t="s">
        <v>542</v>
      </c>
    </row>
    <row r="14" customFormat="false" ht="15" hidden="false" customHeight="false" outlineLevel="0" collapsed="false">
      <c r="A14" s="41" t="s">
        <v>543</v>
      </c>
      <c r="B14" s="42" t="n">
        <v>0.4</v>
      </c>
      <c r="C14" s="44" t="s">
        <v>544</v>
      </c>
    </row>
    <row r="15" customFormat="false" ht="15" hidden="false" customHeight="false" outlineLevel="0" collapsed="false">
      <c r="A15" s="33" t="s">
        <v>545</v>
      </c>
      <c r="B15" s="42" t="n">
        <v>0.3</v>
      </c>
      <c r="C15" s="44" t="s">
        <v>546</v>
      </c>
    </row>
    <row r="16" customFormat="false" ht="15" hidden="false" customHeight="false" outlineLevel="0" collapsed="false">
      <c r="A16" s="41" t="s">
        <v>547</v>
      </c>
      <c r="B16" s="42" t="n">
        <v>0.05</v>
      </c>
      <c r="C16" s="44" t="s">
        <v>548</v>
      </c>
    </row>
    <row r="17" customFormat="false" ht="15" hidden="false" customHeight="false" outlineLevel="0" collapsed="false">
      <c r="A17" s="41" t="s">
        <v>549</v>
      </c>
      <c r="B17" s="19" t="n">
        <f aca="false">SUM(B26:B28)</f>
        <v>2200000</v>
      </c>
      <c r="C17" s="44" t="s">
        <v>550</v>
      </c>
    </row>
    <row r="18" customFormat="false" ht="15" hidden="false" customHeight="false" outlineLevel="0" collapsed="false">
      <c r="A18" s="41" t="s">
        <v>551</v>
      </c>
      <c r="B18" s="68" t="n">
        <v>3000000</v>
      </c>
      <c r="C18" s="44" t="s">
        <v>552</v>
      </c>
    </row>
    <row r="19" customFormat="false" ht="15" hidden="false" customHeight="false" outlineLevel="0" collapsed="false">
      <c r="A19" s="41" t="s">
        <v>553</v>
      </c>
      <c r="B19" s="69" t="n">
        <v>30</v>
      </c>
      <c r="C19" s="44" t="s">
        <v>554</v>
      </c>
    </row>
    <row r="20" customFormat="false" ht="15" hidden="false" customHeight="false" outlineLevel="0" collapsed="false">
      <c r="A20" s="41" t="s">
        <v>555</v>
      </c>
      <c r="B20" s="42" t="n">
        <v>0.05</v>
      </c>
      <c r="C20" s="44" t="s">
        <v>556</v>
      </c>
    </row>
    <row r="21" customFormat="false" ht="15" hidden="false" customHeight="false" outlineLevel="0" collapsed="false">
      <c r="A21" s="48" t="s">
        <v>557</v>
      </c>
      <c r="B21" s="49"/>
      <c r="C21" s="49"/>
    </row>
    <row r="22" customFormat="false" ht="15" hidden="false" customHeight="false" outlineLevel="0" collapsed="false">
      <c r="A22" s="41" t="s">
        <v>558</v>
      </c>
      <c r="B22" s="68" t="n">
        <v>9000000</v>
      </c>
      <c r="C22" s="44" t="s">
        <v>559</v>
      </c>
    </row>
    <row r="23" customFormat="false" ht="15" hidden="false" customHeight="false" outlineLevel="0" collapsed="false">
      <c r="A23" s="41" t="s">
        <v>560</v>
      </c>
      <c r="B23" s="68" t="n">
        <v>6000000</v>
      </c>
      <c r="C23" s="44" t="s">
        <v>561</v>
      </c>
    </row>
    <row r="24" customFormat="false" ht="15" hidden="false" customHeight="false" outlineLevel="0" collapsed="false">
      <c r="A24" s="33" t="s">
        <v>562</v>
      </c>
      <c r="B24" s="68" t="n">
        <v>20000000</v>
      </c>
      <c r="C24" s="66" t="s">
        <v>563</v>
      </c>
    </row>
    <row r="25" customFormat="false" ht="15" hidden="false" customHeight="false" outlineLevel="0" collapsed="false">
      <c r="A25" s="48" t="s">
        <v>564</v>
      </c>
      <c r="B25" s="49"/>
      <c r="C25" s="49"/>
    </row>
    <row r="26" customFormat="false" ht="15" hidden="false" customHeight="false" outlineLevel="0" collapsed="false">
      <c r="A26" s="41" t="s">
        <v>565</v>
      </c>
      <c r="B26" s="68" t="n">
        <v>1150000</v>
      </c>
      <c r="C26" s="44" t="s">
        <v>566</v>
      </c>
    </row>
    <row r="27" customFormat="false" ht="15" hidden="false" customHeight="false" outlineLevel="0" collapsed="false">
      <c r="A27" s="41" t="s">
        <v>567</v>
      </c>
      <c r="B27" s="68" t="n">
        <v>850000</v>
      </c>
      <c r="C27" s="44" t="s">
        <v>568</v>
      </c>
    </row>
    <row r="28" customFormat="false" ht="15" hidden="false" customHeight="false" outlineLevel="0" collapsed="false">
      <c r="A28" s="41" t="s">
        <v>569</v>
      </c>
      <c r="B28" s="68" t="n">
        <v>200000</v>
      </c>
      <c r="C28" s="44" t="s">
        <v>570</v>
      </c>
    </row>
    <row r="29" customFormat="false" ht="15" hidden="false" customHeight="false" outlineLevel="0" collapsed="false">
      <c r="A29" s="41" t="s">
        <v>571</v>
      </c>
      <c r="B29" s="19" t="n">
        <f aca="false">IF(B4="본인",B26,IF(B4="배우자",B27,IF(B4="공동",B28,B17)))</f>
        <v>2200000</v>
      </c>
      <c r="C29" s="44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29" t="s">
        <v>63</v>
      </c>
      <c r="B1" s="29" t="s">
        <v>64</v>
      </c>
      <c r="C1" s="29" t="s">
        <v>573</v>
      </c>
      <c r="D1" s="29" t="s">
        <v>519</v>
      </c>
    </row>
    <row r="2" customFormat="false" ht="15" hidden="false" customHeight="false" outlineLevel="0" collapsed="false">
      <c r="A2" s="34" t="s">
        <v>130</v>
      </c>
      <c r="B2" s="34" t="s">
        <v>574</v>
      </c>
      <c r="C2" s="37" t="s">
        <v>380</v>
      </c>
      <c r="D2" s="44"/>
    </row>
    <row r="3" customFormat="false" ht="15" hidden="false" customHeight="false" outlineLevel="0" collapsed="false">
      <c r="A3" s="34" t="s">
        <v>157</v>
      </c>
      <c r="B3" s="34" t="s">
        <v>574</v>
      </c>
      <c r="C3" s="37" t="s">
        <v>380</v>
      </c>
      <c r="D3" s="44"/>
    </row>
    <row r="4" customFormat="false" ht="15" hidden="false" customHeight="false" outlineLevel="0" collapsed="false">
      <c r="A4" s="34" t="s">
        <v>144</v>
      </c>
      <c r="B4" s="34" t="s">
        <v>574</v>
      </c>
      <c r="C4" s="37" t="s">
        <v>380</v>
      </c>
      <c r="D4" s="44"/>
    </row>
    <row r="5" customFormat="false" ht="15" hidden="false" customHeight="false" outlineLevel="0" collapsed="false">
      <c r="A5" s="34" t="s">
        <v>151</v>
      </c>
      <c r="B5" s="34" t="s">
        <v>574</v>
      </c>
      <c r="C5" s="37" t="s">
        <v>380</v>
      </c>
      <c r="D5" s="44"/>
    </row>
    <row r="6" customFormat="false" ht="15" hidden="false" customHeight="false" outlineLevel="0" collapsed="false">
      <c r="A6" s="34" t="s">
        <v>118</v>
      </c>
      <c r="B6" s="34" t="s">
        <v>575</v>
      </c>
      <c r="C6" s="37" t="s">
        <v>383</v>
      </c>
      <c r="D6" s="44"/>
    </row>
    <row r="7" customFormat="false" ht="15" hidden="false" customHeight="false" outlineLevel="0" collapsed="false">
      <c r="A7" s="34" t="s">
        <v>100</v>
      </c>
      <c r="B7" s="34" t="s">
        <v>575</v>
      </c>
      <c r="C7" s="37" t="s">
        <v>383</v>
      </c>
      <c r="D7" s="44"/>
    </row>
    <row r="8" customFormat="false" ht="15" hidden="false" customHeight="false" outlineLevel="0" collapsed="false">
      <c r="A8" s="34" t="s">
        <v>112</v>
      </c>
      <c r="B8" s="34" t="s">
        <v>575</v>
      </c>
      <c r="C8" s="37" t="s">
        <v>383</v>
      </c>
      <c r="D8" s="44"/>
    </row>
    <row r="9" customFormat="false" ht="15" hidden="false" customHeight="false" outlineLevel="0" collapsed="false">
      <c r="A9" s="34" t="s">
        <v>120</v>
      </c>
      <c r="B9" s="34" t="s">
        <v>575</v>
      </c>
      <c r="C9" s="37" t="s">
        <v>383</v>
      </c>
      <c r="D9" s="44"/>
    </row>
    <row r="10" customFormat="false" ht="15" hidden="false" customHeight="false" outlineLevel="0" collapsed="false">
      <c r="A10" s="34" t="s">
        <v>80</v>
      </c>
      <c r="B10" s="34" t="s">
        <v>575</v>
      </c>
      <c r="C10" s="37" t="s">
        <v>383</v>
      </c>
      <c r="D10" s="44"/>
    </row>
    <row r="11" customFormat="false" ht="15" hidden="false" customHeight="false" outlineLevel="0" collapsed="false">
      <c r="A11" s="34" t="s">
        <v>105</v>
      </c>
      <c r="B11" s="34" t="s">
        <v>575</v>
      </c>
      <c r="C11" s="37" t="s">
        <v>380</v>
      </c>
      <c r="D11" s="44"/>
    </row>
    <row r="12" customFormat="false" ht="15" hidden="false" customHeight="false" outlineLevel="0" collapsed="false">
      <c r="A12" s="34" t="s">
        <v>92</v>
      </c>
      <c r="B12" s="34" t="s">
        <v>576</v>
      </c>
      <c r="C12" s="37" t="s">
        <v>383</v>
      </c>
      <c r="D12" s="44"/>
    </row>
    <row r="13" customFormat="false" ht="15" hidden="false" customHeight="false" outlineLevel="0" collapsed="false">
      <c r="A13" s="34" t="s">
        <v>89</v>
      </c>
      <c r="B13" s="34" t="s">
        <v>576</v>
      </c>
      <c r="C13" s="37" t="s">
        <v>380</v>
      </c>
      <c r="D13" s="44"/>
    </row>
    <row r="14" customFormat="false" ht="15" hidden="false" customHeight="false" outlineLevel="0" collapsed="false">
      <c r="A14" s="34" t="s">
        <v>87</v>
      </c>
      <c r="B14" s="34" t="s">
        <v>576</v>
      </c>
      <c r="C14" s="37" t="s">
        <v>383</v>
      </c>
      <c r="D14" s="44"/>
    </row>
    <row r="15" customFormat="false" ht="15" hidden="false" customHeight="false" outlineLevel="0" collapsed="false">
      <c r="A15" s="34" t="s">
        <v>85</v>
      </c>
      <c r="B15" s="34" t="s">
        <v>576</v>
      </c>
      <c r="C15" s="37" t="s">
        <v>383</v>
      </c>
      <c r="D15" s="44"/>
    </row>
    <row r="16" customFormat="false" ht="15" hidden="false" customHeight="false" outlineLevel="0" collapsed="false">
      <c r="A16" s="34" t="s">
        <v>126</v>
      </c>
      <c r="B16" s="34" t="s">
        <v>576</v>
      </c>
      <c r="C16" s="37" t="s">
        <v>380</v>
      </c>
      <c r="D16" s="44"/>
    </row>
    <row r="17" customFormat="false" ht="15" hidden="false" customHeight="false" outlineLevel="0" collapsed="false">
      <c r="A17" s="34" t="s">
        <v>116</v>
      </c>
      <c r="B17" s="34" t="s">
        <v>576</v>
      </c>
      <c r="C17" s="37" t="s">
        <v>383</v>
      </c>
      <c r="D17" s="44"/>
    </row>
    <row r="18" customFormat="false" ht="15" hidden="false" customHeight="false" outlineLevel="0" collapsed="false">
      <c r="A18" s="34" t="s">
        <v>124</v>
      </c>
      <c r="B18" s="34" t="s">
        <v>576</v>
      </c>
      <c r="C18" s="37" t="s">
        <v>380</v>
      </c>
      <c r="D18" s="44"/>
    </row>
    <row r="19" customFormat="false" ht="15" hidden="false" customHeight="false" outlineLevel="0" collapsed="false">
      <c r="A19" s="34" t="s">
        <v>72</v>
      </c>
      <c r="B19" s="34" t="s">
        <v>576</v>
      </c>
      <c r="C19" s="37" t="s">
        <v>380</v>
      </c>
      <c r="D19" s="44"/>
    </row>
    <row r="20" customFormat="false" ht="15" hidden="false" customHeight="false" outlineLevel="0" collapsed="false">
      <c r="A20" s="34" t="s">
        <v>153</v>
      </c>
      <c r="B20" s="34" t="s">
        <v>577</v>
      </c>
      <c r="C20" s="37" t="s">
        <v>380</v>
      </c>
      <c r="D20" s="44" t="s">
        <v>578</v>
      </c>
    </row>
    <row r="21" customFormat="false" ht="15" hidden="false" customHeight="false" outlineLevel="0" collapsed="false">
      <c r="A21" s="34" t="s">
        <v>164</v>
      </c>
      <c r="B21" s="34" t="s">
        <v>577</v>
      </c>
      <c r="C21" s="37" t="s">
        <v>380</v>
      </c>
      <c r="D21" s="44" t="s">
        <v>578</v>
      </c>
    </row>
    <row r="22" customFormat="false" ht="15" hidden="false" customHeight="false" outlineLevel="0" collapsed="false">
      <c r="A22" s="34" t="s">
        <v>160</v>
      </c>
      <c r="B22" s="34" t="s">
        <v>577</v>
      </c>
      <c r="C22" s="37" t="s">
        <v>383</v>
      </c>
      <c r="D22" s="44" t="s">
        <v>578</v>
      </c>
    </row>
    <row r="23" customFormat="false" ht="15" hidden="false" customHeight="false" outlineLevel="0" collapsed="false">
      <c r="A23" s="34" t="s">
        <v>166</v>
      </c>
      <c r="B23" s="34" t="s">
        <v>577</v>
      </c>
      <c r="C23" s="37" t="s">
        <v>380</v>
      </c>
      <c r="D23" s="44" t="s">
        <v>578</v>
      </c>
    </row>
    <row r="24" customFormat="false" ht="15" hidden="false" customHeight="false" outlineLevel="0" collapsed="false">
      <c r="A24" s="34" t="s">
        <v>136</v>
      </c>
      <c r="B24" s="34" t="s">
        <v>513</v>
      </c>
      <c r="C24" s="37" t="s">
        <v>380</v>
      </c>
      <c r="D24" s="44" t="s">
        <v>579</v>
      </c>
    </row>
    <row r="25" customFormat="false" ht="15" hidden="false" customHeight="false" outlineLevel="0" collapsed="false">
      <c r="A25" s="34" t="s">
        <v>134</v>
      </c>
      <c r="B25" s="34" t="s">
        <v>513</v>
      </c>
      <c r="C25" s="37" t="s">
        <v>380</v>
      </c>
      <c r="D25" s="44" t="s">
        <v>579</v>
      </c>
    </row>
    <row r="26" customFormat="false" ht="15" hidden="false" customHeight="false" outlineLevel="0" collapsed="false">
      <c r="A26" s="34" t="s">
        <v>139</v>
      </c>
      <c r="B26" s="34" t="s">
        <v>513</v>
      </c>
      <c r="C26" s="37" t="s">
        <v>380</v>
      </c>
      <c r="D26" s="44" t="s">
        <v>579</v>
      </c>
    </row>
    <row r="27" customFormat="false" ht="15" hidden="false" customHeight="false" outlineLevel="0" collapsed="false">
      <c r="A27" s="34" t="s">
        <v>97</v>
      </c>
      <c r="B27" s="34" t="s">
        <v>513</v>
      </c>
      <c r="C27" s="37" t="s">
        <v>380</v>
      </c>
      <c r="D27" s="44" t="s">
        <v>579</v>
      </c>
    </row>
  </sheetData>
  <dataValidations count="2">
    <dataValidation allowBlank="true" error="목록에서 선택하세요." errorStyle="stop" errorTitle="입력 확인" operator="between" showDropDown="false" showErrorMessage="false" showInputMessage="false" sqref="B2:B200" type="list">
      <formula1>"소득,고정비,변동비,비정기비,자본이동"</formula1>
      <formula2>0</formula2>
    </dataValidation>
    <dataValidation allowBlank="true" error="목록에서 선택하세요." errorStyle="stop" errorTitle="입력 확인" operator="between" showDropDown="false" showErrorMessage="false" showInputMessage="false" sqref="C2:C2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29" t="s">
        <v>580</v>
      </c>
      <c r="B1" s="29" t="s">
        <v>63</v>
      </c>
      <c r="C1" s="29" t="s">
        <v>519</v>
      </c>
    </row>
    <row r="2" customFormat="false" ht="15" hidden="false" customHeight="false" outlineLevel="0" collapsed="false">
      <c r="A2" s="34" t="s">
        <v>130</v>
      </c>
      <c r="B2" s="34" t="s">
        <v>130</v>
      </c>
      <c r="C2" s="50" t="s">
        <v>581</v>
      </c>
    </row>
    <row r="3" customFormat="false" ht="15" hidden="false" customHeight="false" outlineLevel="0" collapsed="false">
      <c r="A3" s="34" t="s">
        <v>157</v>
      </c>
      <c r="B3" s="34" t="s">
        <v>157</v>
      </c>
    </row>
    <row r="4" customFormat="false" ht="15" hidden="false" customHeight="false" outlineLevel="0" collapsed="false">
      <c r="A4" s="34" t="s">
        <v>582</v>
      </c>
      <c r="B4" s="34" t="s">
        <v>157</v>
      </c>
    </row>
    <row r="5" customFormat="false" ht="15" hidden="false" customHeight="false" outlineLevel="0" collapsed="false">
      <c r="A5" s="34" t="s">
        <v>583</v>
      </c>
      <c r="B5" s="34" t="s">
        <v>100</v>
      </c>
    </row>
    <row r="6" customFormat="false" ht="15" hidden="false" customHeight="false" outlineLevel="0" collapsed="false">
      <c r="A6" s="34" t="s">
        <v>100</v>
      </c>
      <c r="B6" s="34" t="s">
        <v>100</v>
      </c>
    </row>
    <row r="7" customFormat="false" ht="15" hidden="false" customHeight="false" outlineLevel="0" collapsed="false">
      <c r="A7" s="34" t="s">
        <v>584</v>
      </c>
      <c r="B7" s="34" t="s">
        <v>144</v>
      </c>
    </row>
    <row r="8" customFormat="false" ht="15" hidden="false" customHeight="false" outlineLevel="0" collapsed="false">
      <c r="A8" s="34" t="s">
        <v>585</v>
      </c>
      <c r="B8" s="34" t="s">
        <v>144</v>
      </c>
    </row>
    <row r="9" customFormat="false" ht="15" hidden="false" customHeight="false" outlineLevel="0" collapsed="false">
      <c r="A9" s="34" t="s">
        <v>586</v>
      </c>
      <c r="B9" s="34" t="s">
        <v>151</v>
      </c>
    </row>
    <row r="10" customFormat="false" ht="15" hidden="false" customHeight="false" outlineLevel="0" collapsed="false">
      <c r="A10" s="34" t="s">
        <v>587</v>
      </c>
      <c r="B10" s="34" t="s">
        <v>118</v>
      </c>
    </row>
    <row r="11" customFormat="false" ht="15" hidden="false" customHeight="false" outlineLevel="0" collapsed="false">
      <c r="A11" s="34" t="s">
        <v>112</v>
      </c>
      <c r="B11" s="34" t="s">
        <v>112</v>
      </c>
    </row>
    <row r="12" customFormat="false" ht="15" hidden="false" customHeight="false" outlineLevel="0" collapsed="false">
      <c r="A12" s="34" t="s">
        <v>386</v>
      </c>
      <c r="B12" s="34" t="s">
        <v>112</v>
      </c>
    </row>
    <row r="13" customFormat="false" ht="15" hidden="false" customHeight="false" outlineLevel="0" collapsed="false">
      <c r="A13" s="37" t="s">
        <v>588</v>
      </c>
      <c r="B13" s="34" t="s">
        <v>120</v>
      </c>
    </row>
    <row r="14" customFormat="false" ht="15" hidden="false" customHeight="false" outlineLevel="0" collapsed="false">
      <c r="A14" s="37" t="s">
        <v>589</v>
      </c>
      <c r="B14" s="34" t="s">
        <v>120</v>
      </c>
    </row>
    <row r="15" customFormat="false" ht="15" hidden="false" customHeight="false" outlineLevel="0" collapsed="false">
      <c r="A15" s="37" t="s">
        <v>590</v>
      </c>
      <c r="B15" s="34" t="s">
        <v>120</v>
      </c>
    </row>
    <row r="16" customFormat="false" ht="15" hidden="false" customHeight="false" outlineLevel="0" collapsed="false">
      <c r="A16" s="34" t="s">
        <v>591</v>
      </c>
      <c r="B16" s="34" t="s">
        <v>120</v>
      </c>
    </row>
    <row r="17" customFormat="false" ht="15" hidden="false" customHeight="false" outlineLevel="0" collapsed="false">
      <c r="A17" s="34" t="s">
        <v>592</v>
      </c>
      <c r="B17" s="34" t="s">
        <v>80</v>
      </c>
    </row>
    <row r="18" customFormat="false" ht="15" hidden="false" customHeight="false" outlineLevel="0" collapsed="false">
      <c r="A18" s="34" t="s">
        <v>593</v>
      </c>
      <c r="B18" s="34" t="s">
        <v>80</v>
      </c>
    </row>
    <row r="19" customFormat="false" ht="15" hidden="false" customHeight="false" outlineLevel="0" collapsed="false">
      <c r="A19" s="34" t="s">
        <v>104</v>
      </c>
      <c r="B19" s="34" t="s">
        <v>105</v>
      </c>
    </row>
    <row r="20" customFormat="false" ht="15" hidden="false" customHeight="false" outlineLevel="0" collapsed="false">
      <c r="A20" s="34" t="s">
        <v>594</v>
      </c>
      <c r="B20" s="34" t="s">
        <v>105</v>
      </c>
    </row>
    <row r="21" customFormat="false" ht="15" hidden="false" customHeight="false" outlineLevel="0" collapsed="false">
      <c r="A21" s="34" t="s">
        <v>595</v>
      </c>
      <c r="B21" s="34" t="s">
        <v>105</v>
      </c>
    </row>
    <row r="22" customFormat="false" ht="15" hidden="false" customHeight="false" outlineLevel="0" collapsed="false">
      <c r="A22" s="34" t="s">
        <v>596</v>
      </c>
      <c r="B22" s="34" t="s">
        <v>105</v>
      </c>
    </row>
    <row r="23" customFormat="false" ht="15" hidden="false" customHeight="false" outlineLevel="0" collapsed="false">
      <c r="A23" s="34" t="s">
        <v>93</v>
      </c>
      <c r="B23" s="34" t="s">
        <v>92</v>
      </c>
    </row>
    <row r="24" customFormat="false" ht="15" hidden="false" customHeight="false" outlineLevel="0" collapsed="false">
      <c r="A24" s="34" t="s">
        <v>103</v>
      </c>
      <c r="B24" s="34" t="s">
        <v>92</v>
      </c>
    </row>
    <row r="25" customFormat="false" ht="15" hidden="false" customHeight="false" outlineLevel="0" collapsed="false">
      <c r="A25" s="34" t="s">
        <v>597</v>
      </c>
      <c r="B25" s="34" t="s">
        <v>92</v>
      </c>
    </row>
    <row r="26" customFormat="false" ht="15" hidden="false" customHeight="false" outlineLevel="0" collapsed="false">
      <c r="A26" s="34" t="s">
        <v>146</v>
      </c>
      <c r="B26" s="34" t="s">
        <v>92</v>
      </c>
    </row>
    <row r="27" customFormat="false" ht="15" hidden="false" customHeight="false" outlineLevel="0" collapsed="false">
      <c r="A27" s="34" t="s">
        <v>598</v>
      </c>
      <c r="B27" s="34" t="s">
        <v>92</v>
      </c>
    </row>
    <row r="28" customFormat="false" ht="15" hidden="false" customHeight="false" outlineLevel="0" collapsed="false">
      <c r="A28" s="34" t="s">
        <v>91</v>
      </c>
      <c r="B28" s="34" t="s">
        <v>92</v>
      </c>
    </row>
    <row r="29" customFormat="false" ht="15" hidden="false" customHeight="false" outlineLevel="0" collapsed="false">
      <c r="A29" s="34" t="s">
        <v>599</v>
      </c>
      <c r="B29" s="34" t="s">
        <v>92</v>
      </c>
    </row>
    <row r="30" customFormat="false" ht="15" hidden="false" customHeight="false" outlineLevel="0" collapsed="false">
      <c r="A30" s="34" t="s">
        <v>127</v>
      </c>
      <c r="B30" s="34" t="s">
        <v>89</v>
      </c>
    </row>
    <row r="31" customFormat="false" ht="15" hidden="false" customHeight="false" outlineLevel="0" collapsed="false">
      <c r="A31" s="34" t="s">
        <v>600</v>
      </c>
      <c r="B31" s="34" t="s">
        <v>89</v>
      </c>
    </row>
    <row r="32" customFormat="false" ht="15" hidden="false" customHeight="false" outlineLevel="0" collapsed="false">
      <c r="A32" s="34" t="s">
        <v>145</v>
      </c>
      <c r="B32" s="34" t="s">
        <v>89</v>
      </c>
    </row>
    <row r="33" customFormat="false" ht="15" hidden="false" customHeight="false" outlineLevel="0" collapsed="false">
      <c r="A33" s="34" t="s">
        <v>158</v>
      </c>
      <c r="B33" s="34" t="s">
        <v>89</v>
      </c>
    </row>
    <row r="34" customFormat="false" ht="15" hidden="false" customHeight="false" outlineLevel="0" collapsed="false">
      <c r="A34" s="34" t="s">
        <v>601</v>
      </c>
      <c r="B34" s="34" t="s">
        <v>89</v>
      </c>
    </row>
    <row r="35" customFormat="false" ht="15" hidden="false" customHeight="false" outlineLevel="0" collapsed="false">
      <c r="A35" s="34" t="s">
        <v>602</v>
      </c>
      <c r="B35" s="34" t="s">
        <v>89</v>
      </c>
    </row>
    <row r="36" customFormat="false" ht="15" hidden="false" customHeight="false" outlineLevel="0" collapsed="false">
      <c r="A36" s="34" t="s">
        <v>86</v>
      </c>
      <c r="B36" s="34" t="s">
        <v>87</v>
      </c>
    </row>
    <row r="37" customFormat="false" ht="15" hidden="false" customHeight="false" outlineLevel="0" collapsed="false">
      <c r="A37" s="34" t="s">
        <v>109</v>
      </c>
      <c r="B37" s="34" t="s">
        <v>87</v>
      </c>
    </row>
    <row r="38" customFormat="false" ht="15" hidden="false" customHeight="false" outlineLevel="0" collapsed="false">
      <c r="A38" s="34" t="s">
        <v>603</v>
      </c>
      <c r="B38" s="34" t="s">
        <v>85</v>
      </c>
    </row>
    <row r="39" customFormat="false" ht="15" hidden="false" customHeight="false" outlineLevel="0" collapsed="false">
      <c r="A39" s="34" t="s">
        <v>604</v>
      </c>
      <c r="B39" s="34" t="s">
        <v>85</v>
      </c>
    </row>
    <row r="40" customFormat="false" ht="15" hidden="false" customHeight="false" outlineLevel="0" collapsed="false">
      <c r="A40" s="34" t="s">
        <v>605</v>
      </c>
      <c r="B40" s="34" t="s">
        <v>85</v>
      </c>
    </row>
    <row r="41" customFormat="false" ht="15" hidden="false" customHeight="false" outlineLevel="0" collapsed="false">
      <c r="A41" s="34" t="s">
        <v>606</v>
      </c>
      <c r="B41" s="34" t="s">
        <v>85</v>
      </c>
    </row>
    <row r="42" customFormat="false" ht="15" hidden="false" customHeight="false" outlineLevel="0" collapsed="false">
      <c r="A42" s="34" t="s">
        <v>607</v>
      </c>
      <c r="B42" s="34" t="s">
        <v>85</v>
      </c>
    </row>
    <row r="43" customFormat="false" ht="15" hidden="false" customHeight="false" outlineLevel="0" collapsed="false">
      <c r="A43" s="34" t="s">
        <v>154</v>
      </c>
      <c r="B43" s="34" t="s">
        <v>126</v>
      </c>
    </row>
    <row r="44" customFormat="false" ht="15" hidden="false" customHeight="false" outlineLevel="0" collapsed="false">
      <c r="A44" s="34" t="s">
        <v>608</v>
      </c>
      <c r="B44" s="34" t="s">
        <v>126</v>
      </c>
    </row>
    <row r="45" customFormat="false" ht="15" hidden="false" customHeight="false" outlineLevel="0" collapsed="false">
      <c r="A45" s="34" t="s">
        <v>162</v>
      </c>
      <c r="B45" s="34" t="s">
        <v>126</v>
      </c>
    </row>
    <row r="46" customFormat="false" ht="15" hidden="false" customHeight="false" outlineLevel="0" collapsed="false">
      <c r="A46" s="34" t="s">
        <v>609</v>
      </c>
      <c r="B46" s="34" t="s">
        <v>116</v>
      </c>
    </row>
    <row r="47" customFormat="false" ht="15" hidden="false" customHeight="false" outlineLevel="0" collapsed="false">
      <c r="A47" s="34" t="s">
        <v>610</v>
      </c>
      <c r="B47" s="34" t="s">
        <v>116</v>
      </c>
    </row>
    <row r="48" customFormat="false" ht="15" hidden="false" customHeight="false" outlineLevel="0" collapsed="false">
      <c r="A48" s="34" t="s">
        <v>611</v>
      </c>
      <c r="B48" s="34" t="s">
        <v>116</v>
      </c>
    </row>
    <row r="49" customFormat="false" ht="15" hidden="false" customHeight="false" outlineLevel="0" collapsed="false">
      <c r="A49" s="34" t="s">
        <v>612</v>
      </c>
      <c r="B49" s="34" t="s">
        <v>116</v>
      </c>
    </row>
    <row r="50" customFormat="false" ht="15" hidden="false" customHeight="false" outlineLevel="0" collapsed="false">
      <c r="A50" s="37" t="s">
        <v>149</v>
      </c>
      <c r="B50" s="34" t="s">
        <v>124</v>
      </c>
    </row>
    <row r="51" customFormat="false" ht="15" hidden="false" customHeight="false" outlineLevel="0" collapsed="false">
      <c r="A51" s="34" t="s">
        <v>613</v>
      </c>
      <c r="B51" s="34" t="s">
        <v>124</v>
      </c>
    </row>
    <row r="52" customFormat="false" ht="15" hidden="false" customHeight="false" outlineLevel="0" collapsed="false">
      <c r="A52" s="34" t="s">
        <v>123</v>
      </c>
      <c r="B52" s="34" t="s">
        <v>124</v>
      </c>
    </row>
    <row r="53" customFormat="false" ht="15" hidden="false" customHeight="false" outlineLevel="0" collapsed="false">
      <c r="A53" s="34" t="s">
        <v>614</v>
      </c>
      <c r="B53" s="34" t="s">
        <v>124</v>
      </c>
    </row>
    <row r="54" customFormat="false" ht="15" hidden="false" customHeight="false" outlineLevel="0" collapsed="false">
      <c r="A54" s="34" t="s">
        <v>72</v>
      </c>
      <c r="B54" s="34" t="s">
        <v>72</v>
      </c>
    </row>
    <row r="55" customFormat="false" ht="15" hidden="false" customHeight="false" outlineLevel="0" collapsed="false">
      <c r="A55" s="34" t="s">
        <v>615</v>
      </c>
      <c r="B55" s="34" t="s">
        <v>153</v>
      </c>
    </row>
    <row r="56" customFormat="false" ht="15" hidden="false" customHeight="false" outlineLevel="0" collapsed="false">
      <c r="A56" s="34" t="s">
        <v>152</v>
      </c>
      <c r="B56" s="34" t="s">
        <v>153</v>
      </c>
    </row>
    <row r="57" customFormat="false" ht="15" hidden="false" customHeight="false" outlineLevel="0" collapsed="false">
      <c r="A57" s="34" t="s">
        <v>164</v>
      </c>
      <c r="B57" s="34" t="s">
        <v>164</v>
      </c>
    </row>
    <row r="58" customFormat="false" ht="15" hidden="false" customHeight="false" outlineLevel="0" collapsed="false">
      <c r="A58" s="34" t="s">
        <v>616</v>
      </c>
      <c r="B58" s="34" t="s">
        <v>164</v>
      </c>
    </row>
    <row r="59" customFormat="false" ht="15" hidden="false" customHeight="false" outlineLevel="0" collapsed="false">
      <c r="A59" s="34" t="s">
        <v>617</v>
      </c>
      <c r="B59" s="34" t="s">
        <v>164</v>
      </c>
    </row>
    <row r="60" customFormat="false" ht="15" hidden="false" customHeight="false" outlineLevel="0" collapsed="false">
      <c r="A60" s="34" t="s">
        <v>159</v>
      </c>
      <c r="B60" s="34" t="s">
        <v>160</v>
      </c>
    </row>
    <row r="61" customFormat="false" ht="15" hidden="false" customHeight="false" outlineLevel="0" collapsed="false">
      <c r="A61" s="34" t="s">
        <v>167</v>
      </c>
      <c r="B61" s="34" t="s">
        <v>160</v>
      </c>
    </row>
    <row r="62" customFormat="false" ht="15" hidden="false" customHeight="false" outlineLevel="0" collapsed="false">
      <c r="A62" s="34" t="s">
        <v>618</v>
      </c>
      <c r="B62" s="34" t="s">
        <v>160</v>
      </c>
    </row>
    <row r="63" customFormat="false" ht="15" hidden="false" customHeight="false" outlineLevel="0" collapsed="false">
      <c r="A63" s="34" t="s">
        <v>166</v>
      </c>
      <c r="B63" s="34" t="s">
        <v>166</v>
      </c>
    </row>
    <row r="64" customFormat="false" ht="15" hidden="false" customHeight="false" outlineLevel="0" collapsed="false">
      <c r="A64" s="34" t="s">
        <v>619</v>
      </c>
      <c r="B64" s="34" t="s">
        <v>166</v>
      </c>
    </row>
    <row r="65" customFormat="false" ht="15" hidden="false" customHeight="false" outlineLevel="0" collapsed="false">
      <c r="A65" s="34" t="s">
        <v>620</v>
      </c>
      <c r="B65" s="34" t="s">
        <v>166</v>
      </c>
    </row>
    <row r="66" customFormat="false" ht="15" hidden="false" customHeight="false" outlineLevel="0" collapsed="false">
      <c r="A66" s="34" t="s">
        <v>284</v>
      </c>
      <c r="B66" s="34" t="s">
        <v>134</v>
      </c>
    </row>
    <row r="67" customFormat="false" ht="15" hidden="false" customHeight="false" outlineLevel="0" collapsed="false">
      <c r="A67" s="37" t="s">
        <v>237</v>
      </c>
      <c r="B67" s="34" t="s">
        <v>134</v>
      </c>
    </row>
    <row r="68" customFormat="false" ht="15" hidden="false" customHeight="false" outlineLevel="0" collapsed="false">
      <c r="A68" s="37" t="s">
        <v>288</v>
      </c>
      <c r="B68" s="34" t="s">
        <v>136</v>
      </c>
    </row>
    <row r="69" customFormat="false" ht="15" hidden="false" customHeight="false" outlineLevel="0" collapsed="false">
      <c r="A69" s="34" t="s">
        <v>621</v>
      </c>
      <c r="B69" s="34" t="s">
        <v>136</v>
      </c>
    </row>
    <row r="70" customFormat="false" ht="15" hidden="false" customHeight="false" outlineLevel="0" collapsed="false">
      <c r="A70" s="34" t="s">
        <v>622</v>
      </c>
      <c r="B70" s="34" t="s">
        <v>139</v>
      </c>
    </row>
    <row r="71" customFormat="false" ht="15" hidden="false" customHeight="false" outlineLevel="0" collapsed="false">
      <c r="A71" s="34" t="s">
        <v>623</v>
      </c>
      <c r="B71" s="34" t="s">
        <v>139</v>
      </c>
    </row>
    <row r="72" customFormat="false" ht="15" hidden="false" customHeight="false" outlineLevel="0" collapsed="false">
      <c r="A72" s="34" t="s">
        <v>624</v>
      </c>
      <c r="B72" s="34" t="s">
        <v>97</v>
      </c>
    </row>
  </sheetData>
  <dataValidations count="1">
    <dataValidation allowBlank="true" error="목록에서 선택하세요." errorStyle="stop" errorTitle="입력 확인" operator="between" showDropDown="false" showErrorMessage="false" showInputMessage="false" sqref="B2:B500" type="list">
      <formula1>카테고리!$A$2:$A$200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2026-10-12T15:09:16Z</dcterms:created>
  <dc:creator>openpyxl</dc:creator>
  <dc:description/>
  <dc:language>en-US</dc:language>
  <cp:lastModifiedBy/>
  <dcterms:modified xsi:type="dcterms:W3CDTF">2026-10-12T15:09:19Z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