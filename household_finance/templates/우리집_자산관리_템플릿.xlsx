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사용법" sheetId="2" state="visible" r:id="rId4"/>
    <sheet name="거래내역" sheetId="3" state="visible" r:id="rId5"/>
    <sheet name="스냅샷" sheetId="4" state="visible" r:id="rId6"/>
    <sheet name="계좌" sheetId="5" state="visible" r:id="rId7"/>
    <sheet name="투자" sheetId="6" state="visible" r:id="rId8"/>
    <sheet name="부채" sheetId="7" state="visible" r:id="rId9"/>
    <sheet name="목표" sheetId="8" state="visible" r:id="rId10"/>
    <sheet name="보험" sheetId="9" state="visible" r:id="rId11"/>
    <sheet name="일정" sheetId="10" state="visible" r:id="rId12"/>
    <sheet name="예산" sheetId="11" state="visible" r:id="rId13"/>
    <sheet name="손익" sheetId="12" state="visible" r:id="rId14"/>
    <sheet name="재무상태표" sheetId="13" state="visible" r:id="rId15"/>
    <sheet name="현금흐름" sheetId="14" state="visible" r:id="rId16"/>
    <sheet name="설정" sheetId="15" state="visible" r:id="rId17"/>
    <sheet name="카테고리" sheetId="16" state="visible" r:id="rId18"/>
    <sheet name="분류규칙" sheetId="17" state="visible" r:id="rId19"/>
  </sheets>
  <definedNames>
    <definedName function="false" hidden="true" localSheetId="2" name="_xlnm._FilterDatabase" vbProcedure="false">거래내역!$A$1:$K$2</definedName>
    <definedName function="false" hidden="true" localSheetId="3" name="_xlnm._FilterDatabase" vbProcedure="false">스냅샷!$A$1:$G$2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설정의 비상자금 목표 개월수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최근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개월 평균 필수지출</t>
        </r>
      </text>
    </comment>
  </commentList>
</comments>
</file>

<file path=xl/sharedStrings.xml><?xml version="1.0" encoding="utf-8"?>
<sst xmlns="http://schemas.openxmlformats.org/spreadsheetml/2006/main" count="734" uniqueCount="468">
  <si>
    <r>
      <rPr>
        <b val="true"/>
        <sz val="20"/>
        <color rgb="FF1F2A44"/>
        <rFont val="WenQuanYi Zen Hei"/>
        <family val="2"/>
      </rPr>
      <t xml:space="preserve">🏠 우리집 주식회사 </t>
    </r>
    <r>
      <rPr>
        <b val="true"/>
        <sz val="20"/>
        <color rgb="FF1F2A44"/>
        <rFont val="맑은 고딕"/>
        <family val="0"/>
        <charset val="1"/>
      </rPr>
      <t xml:space="preserve">· </t>
    </r>
    <r>
      <rPr>
        <b val="true"/>
        <sz val="20"/>
        <color rgb="FF1F2A44"/>
        <rFont val="WenQuanYi Zen Hei"/>
        <family val="2"/>
      </rPr>
      <t xml:space="preserve">자산관리 대시보드</t>
    </r>
  </si>
  <si>
    <r>
      <rPr>
        <b val="true"/>
        <sz val="10"/>
        <rFont val="WenQuanYi Zen Hei"/>
        <family val="2"/>
      </rPr>
      <t xml:space="preserve">기준월 </t>
    </r>
    <r>
      <rPr>
        <b val="true"/>
        <sz val="10"/>
        <rFont val="맑은 고딕"/>
        <family val="0"/>
        <charset val="1"/>
      </rPr>
      <t xml:space="preserve">(yyyy-mm)</t>
    </r>
  </si>
  <si>
    <t xml:space="preserve">2026-09</t>
  </si>
  <si>
    <t xml:space="preserve">보기</t>
  </si>
  <si>
    <t xml:space="preserve">전체</t>
  </si>
  <si>
    <t xml:space="preserve">오늘</t>
  </si>
  <si>
    <t xml:space="preserve">← 노란 칸을 바꾸면 모든 시트가 다시 계산됩니다</t>
  </si>
  <si>
    <t xml:space="preserve">순자산</t>
  </si>
  <si>
    <r>
      <rPr>
        <b val="true"/>
        <sz val="10"/>
        <color rgb="FF475467"/>
        <rFont val="WenQuanYi Zen Hei"/>
        <family val="2"/>
      </rPr>
      <t xml:space="preserve">저축률 </t>
    </r>
    <r>
      <rPr>
        <b val="true"/>
        <sz val="10"/>
        <color rgb="FF475467"/>
        <rFont val="맑은 고딕"/>
        <family val="0"/>
        <charset val="1"/>
      </rPr>
      <t xml:space="preserve">(</t>
    </r>
    <r>
      <rPr>
        <b val="true"/>
        <sz val="10"/>
        <color rgb="FF475467"/>
        <rFont val="WenQuanYi Zen Hei"/>
        <family val="2"/>
      </rPr>
      <t xml:space="preserve">이번 달</t>
    </r>
    <r>
      <rPr>
        <b val="true"/>
        <sz val="10"/>
        <color rgb="FF475467"/>
        <rFont val="맑은 고딕"/>
        <family val="0"/>
        <charset val="1"/>
      </rPr>
      <t xml:space="preserve">)</t>
    </r>
  </si>
  <si>
    <t xml:space="preserve">월 투자 납입액</t>
  </si>
  <si>
    <r>
      <rPr>
        <b val="true"/>
        <sz val="10"/>
        <color rgb="FF475467"/>
        <rFont val="WenQuanYi Zen Hei"/>
        <family val="2"/>
      </rPr>
      <t xml:space="preserve">투자</t>
    </r>
    <r>
      <rPr>
        <b val="true"/>
        <sz val="10"/>
        <color rgb="FF475467"/>
        <rFont val="맑은 고딕"/>
        <family val="0"/>
        <charset val="1"/>
      </rPr>
      <t xml:space="preserve">+</t>
    </r>
    <r>
      <rPr>
        <b val="true"/>
        <sz val="10"/>
        <color rgb="FF475467"/>
        <rFont val="WenQuanYi Zen Hei"/>
        <family val="2"/>
      </rPr>
      <t xml:space="preserve">연금 자산</t>
    </r>
  </si>
  <si>
    <t xml:space="preserve">소비 예산 집행률</t>
  </si>
  <si>
    <t xml:space="preserve">비상자금</t>
  </si>
  <si>
    <t xml:space="preserve">부채비율</t>
  </si>
  <si>
    <t xml:space="preserve">DSR</t>
  </si>
  <si>
    <r>
      <rPr>
        <b val="true"/>
        <sz val="10"/>
        <color rgb="FF475467"/>
        <rFont val="WenQuanYi Zen Hei"/>
        <family val="2"/>
      </rPr>
      <t xml:space="preserve">목표 달성률 </t>
    </r>
    <r>
      <rPr>
        <b val="true"/>
        <sz val="10"/>
        <color rgb="FF475467"/>
        <rFont val="맑은 고딕"/>
        <family val="0"/>
        <charset val="1"/>
      </rPr>
      <t xml:space="preserve">(</t>
    </r>
    <r>
      <rPr>
        <b val="true"/>
        <sz val="10"/>
        <color rgb="FF475467"/>
        <rFont val="WenQuanYi Zen Hei"/>
        <family val="2"/>
      </rPr>
      <t xml:space="preserve">가중</t>
    </r>
    <r>
      <rPr>
        <b val="true"/>
        <sz val="10"/>
        <color rgb="FF475467"/>
        <rFont val="맑은 고딕"/>
        <family val="0"/>
        <charset val="1"/>
      </rPr>
      <t xml:space="preserve">)</t>
    </r>
  </si>
  <si>
    <t xml:space="preserve">재무자립도</t>
  </si>
  <si>
    <r>
      <rPr>
        <b val="true"/>
        <sz val="10"/>
        <color rgb="FFFFFFFF"/>
        <rFont val="WenQuanYi Zen Hei"/>
        <family val="2"/>
      </rPr>
      <t xml:space="preserve">🔔 이번 달 알림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내부통제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</si>
  <si>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👨‍👩‍👧 구성원별 순자산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</si>
  <si>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구성원</t>
  </si>
  <si>
    <t xml:space="preserve">자산</t>
  </si>
  <si>
    <t xml:space="preserve">부채</t>
  </si>
  <si>
    <t xml:space="preserve">🎯 목표 진척</t>
  </si>
  <si>
    <t xml:space="preserve">목표</t>
  </si>
  <si>
    <t xml:space="preserve">진척률</t>
  </si>
  <si>
    <t xml:space="preserve">상태</t>
  </si>
  <si>
    <t xml:space="preserve">필요 월적립</t>
  </si>
  <si>
    <r>
      <rPr>
        <b val="true"/>
        <sz val="16"/>
        <color rgb="FF1F2A44"/>
        <rFont val="WenQuanYi Zen Hei"/>
        <family val="2"/>
      </rPr>
      <t xml:space="preserve">우리집 주식회사 자산관리 대시보드 </t>
    </r>
    <r>
      <rPr>
        <b val="true"/>
        <sz val="16"/>
        <color rgb="FF1F2A44"/>
        <rFont val="맑은 고딕"/>
        <family val="0"/>
        <charset val="1"/>
      </rPr>
      <t xml:space="preserve">- </t>
    </r>
    <r>
      <rPr>
        <b val="true"/>
        <sz val="16"/>
        <color rgb="FF1F2A44"/>
        <rFont val="WenQuanYi Zen Hei"/>
        <family val="2"/>
      </rPr>
      <t xml:space="preserve">사용법</t>
    </r>
  </si>
  <si>
    <r>
      <rPr>
        <i val="true"/>
        <sz val="9"/>
        <color rgb="FF666666"/>
        <rFont val="WenQuanYi Zen Hei"/>
        <family val="2"/>
      </rPr>
      <t xml:space="preserve">가정을 기업처럼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재무상태표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얼마 가졌나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손익계산서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얼마 남나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현금흐름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모자라지 않나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예산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계획대로 쓰나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목표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어디까지 왔나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리스크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버틸 수 있나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</si>
  <si>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■ 색 규칙</t>
  </si>
  <si>
    <r>
      <rPr>
        <sz val="10"/>
        <rFont val="WenQuanYi Zen Hei"/>
        <family val="2"/>
      </rPr>
      <t xml:space="preserve">파란 글씨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입력하는 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검정 글씨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수식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수정 금지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노란 칸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핵심 설정값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파란 헤더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입력 시트 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남색 헤더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자동 계산 열</t>
    </r>
  </si>
  <si>
    <r>
      <rPr>
        <b val="true"/>
        <sz val="11"/>
        <color rgb="FF1F2A44"/>
        <rFont val="WenQuanYi Zen Hei"/>
        <family val="2"/>
      </rPr>
      <t xml:space="preserve">■ 처음 시작할 때 </t>
    </r>
    <r>
      <rPr>
        <b val="true"/>
        <sz val="11"/>
        <color rgb="FF1F2A44"/>
        <rFont val="맑은 고딕"/>
        <family val="0"/>
        <charset val="1"/>
      </rPr>
      <t xml:space="preserve">(1</t>
    </r>
    <r>
      <rPr>
        <b val="true"/>
        <sz val="11"/>
        <color rgb="FF1F2A44"/>
        <rFont val="WenQuanYi Zen Hei"/>
        <family val="2"/>
      </rPr>
      <t xml:space="preserve">회</t>
    </r>
    <r>
      <rPr>
        <b val="true"/>
        <sz val="11"/>
        <color rgb="FF1F2A44"/>
        <rFont val="맑은 고딕"/>
        <family val="0"/>
        <charset val="1"/>
      </rPr>
      <t xml:space="preserve">, </t>
    </r>
    <r>
      <rPr>
        <b val="true"/>
        <sz val="11"/>
        <color rgb="FF1F2A44"/>
        <rFont val="WenQuanYi Zen Hei"/>
        <family val="2"/>
      </rPr>
      <t xml:space="preserve">약 </t>
    </r>
    <r>
      <rPr>
        <b val="true"/>
        <sz val="11"/>
        <color rgb="FF1F2A44"/>
        <rFont val="맑은 고딕"/>
        <family val="0"/>
        <charset val="1"/>
      </rPr>
      <t xml:space="preserve">1</t>
    </r>
    <r>
      <rPr>
        <b val="true"/>
        <sz val="11"/>
        <color rgb="FF1F2A44"/>
        <rFont val="WenQuanYi Zen Hei"/>
        <family val="2"/>
      </rPr>
      <t xml:space="preserve">시간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</si>
  <si>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1. [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가족의 모든 계좌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부채를 등록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ID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A01, I01</t>
    </r>
    <r>
      <rPr>
        <sz val="10"/>
        <rFont val="WenQuanYi Zen Hei"/>
        <family val="2"/>
      </rPr>
      <t xml:space="preserve">처럼 짧고 고유하게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</si>
  <si>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2. [</t>
    </r>
    <r>
      <rPr>
        <sz val="10"/>
        <rFont val="WenQuanYi Zen Hei"/>
        <family val="2"/>
      </rPr>
      <t xml:space="preserve">스냅샷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지난달 말 기준 계좌별 잔액 입력 → 재무상태표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순자산이 바로 나옵니다</t>
    </r>
  </si>
  <si>
    <r>
      <rPr>
        <sz val="10"/>
        <rFont val="맑은 고딕"/>
        <family val="0"/>
        <charset val="1"/>
      </rPr>
      <t xml:space="preserve">3. [</t>
    </r>
    <r>
      <rPr>
        <sz val="10"/>
        <rFont val="WenQuanYi Zen Hei"/>
        <family val="2"/>
      </rPr>
      <t xml:space="preserve">예산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카테고리별 월 예산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비정기비는 연 예산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확정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부부가 함께 정하세요</t>
    </r>
  </si>
  <si>
    <r>
      <rPr>
        <sz val="10"/>
        <rFont val="맑은 고딕"/>
        <family val="0"/>
        <charset val="1"/>
      </rPr>
      <t xml:space="preserve">4. [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보유 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목표 자산배분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부채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대출 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목표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재무 목표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보장 내역 입력</t>
    </r>
  </si>
  <si>
    <r>
      <rPr>
        <sz val="10"/>
        <rFont val="맑은 고딕"/>
        <family val="0"/>
        <charset val="1"/>
      </rPr>
      <t xml:space="preserve">5. [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목표 저축률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비상자금 개월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월 투자 납입 목표 등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경영 목표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확인</t>
    </r>
  </si>
  <si>
    <r>
      <rPr>
        <b val="true"/>
        <sz val="11"/>
        <color rgb="FF1F2A44"/>
        <rFont val="WenQuanYi Zen Hei"/>
        <family val="2"/>
      </rPr>
      <t xml:space="preserve">■ 운영 리듬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거버넌스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</si>
  <si>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CSV </t>
    </r>
    <r>
      <rPr>
        <sz val="10"/>
        <rFont val="WenQuanYi Zen Hei"/>
        <family val="2"/>
      </rPr>
      <t xml:space="preserve">가져오기 →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거래내역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미분류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카테고리 지정</t>
    </r>
  </si>
  <si>
    <r>
      <rPr>
        <sz val="10"/>
        <rFont val="WenQuanYi Zen Hei"/>
        <family val="2"/>
      </rPr>
      <t xml:space="preserve">월말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월간 결산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새 달 스냅샷 생성</t>
    </r>
    <r>
      <rPr>
        <sz val="10"/>
        <rFont val="맑은 고딕"/>
        <family val="0"/>
        <charset val="1"/>
      </rPr>
      <t xml:space="preserve">(new-month) → </t>
    </r>
    <r>
      <rPr>
        <sz val="10"/>
        <rFont val="WenQuanYi Zen Hei"/>
        <family val="2"/>
      </rPr>
      <t xml:space="preserve">잔액 갱신 → 대시보드 기준월 변경 → 알림 확인 → 다음 달 예산 조정</t>
    </r>
  </si>
  <si>
    <r>
      <rPr>
        <sz val="10"/>
        <rFont val="WenQuanYi Zen Hei"/>
        <family val="2"/>
      </rPr>
      <t xml:space="preserve">분기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이사회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리밸런싱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목표 진척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구독 점검</t>
    </r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</si>
  <si>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가족 주총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연간 결산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내년 목표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예산 수립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연말정산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 한도 점검</t>
    </r>
  </si>
  <si>
    <r>
      <rPr>
        <b val="true"/>
        <sz val="11"/>
        <color rgb="FF1F2A44"/>
        <rFont val="WenQuanYi Zen Hei"/>
        <family val="2"/>
      </rPr>
      <t xml:space="preserve">■ 자동화 </t>
    </r>
    <r>
      <rPr>
        <b val="true"/>
        <sz val="11"/>
        <color rgb="FF1F2A44"/>
        <rFont val="맑은 고딕"/>
        <family val="0"/>
        <charset val="1"/>
      </rPr>
      <t xml:space="preserve">(python -m household_finance ...)</t>
    </r>
  </si>
  <si>
    <r>
      <rPr>
        <sz val="10"/>
        <rFont val="맑은 고딕"/>
        <family val="0"/>
        <charset val="1"/>
      </rPr>
      <t xml:space="preserve">import   : </t>
    </r>
    <r>
      <rPr>
        <sz val="10"/>
        <rFont val="WenQuanYi Zen Hei"/>
        <family val="2"/>
      </rPr>
      <t xml:space="preserve">카드사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CSV(</t>
    </r>
    <r>
      <rPr>
        <sz val="10"/>
        <rFont val="WenQuanYi Zen Hei"/>
        <family val="2"/>
      </rPr>
      <t xml:space="preserve">엑셀에서 </t>
    </r>
    <r>
      <rPr>
        <sz val="10"/>
        <rFont val="맑은 고딕"/>
        <family val="0"/>
        <charset val="1"/>
      </rPr>
      <t xml:space="preserve">CSV</t>
    </r>
    <r>
      <rPr>
        <sz val="10"/>
        <rFont val="WenQuanYi Zen Hei"/>
        <family val="2"/>
      </rPr>
      <t xml:space="preserve">로 저장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읽어 분류규칙으로 자동 분류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중복 제거 후 거래내역에 추가</t>
    </r>
  </si>
  <si>
    <r>
      <rPr>
        <sz val="10"/>
        <rFont val="맑은 고딕"/>
        <family val="0"/>
        <charset val="1"/>
      </rPr>
      <t xml:space="preserve">new-month: </t>
    </r>
    <r>
      <rPr>
        <sz val="10"/>
        <rFont val="WenQuanYi Zen Hei"/>
        <family val="2"/>
      </rPr>
      <t xml:space="preserve">지난달 스냅샷을 복사해 새 달 행을 만들고 대시보드 기준월을 바꿈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잔액만 고치면 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</si>
  <si>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build    : </t>
    </r>
    <r>
      <rPr>
        <sz val="10"/>
        <rFont val="WenQuanYi Zen Hei"/>
        <family val="2"/>
      </rPr>
      <t xml:space="preserve">새 빈 템플릿</t>
    </r>
    <r>
      <rPr>
        <sz val="10"/>
        <rFont val="맑은 고딕"/>
        <family val="0"/>
        <charset val="1"/>
      </rPr>
      <t xml:space="preserve">(--blank) </t>
    </r>
    <r>
      <rPr>
        <sz val="10"/>
        <rFont val="WenQuanYi Zen Hei"/>
        <family val="2"/>
      </rPr>
      <t xml:space="preserve">또는 샘플 파일 생성</t>
    </r>
  </si>
  <si>
    <r>
      <rPr>
        <sz val="10"/>
        <rFont val="WenQuanYi Zen Hei"/>
        <family val="2"/>
      </rPr>
      <t xml:space="preserve">구글 시트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파일 업로드 후 그대로 사용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투자 현재가에 </t>
    </r>
    <r>
      <rPr>
        <sz val="10"/>
        <rFont val="맑은 고딕"/>
        <family val="0"/>
        <charset val="1"/>
      </rPr>
      <t xml:space="preserve">=GOOGLEFINANCE("KRX:005930") </t>
    </r>
    <r>
      <rPr>
        <sz val="10"/>
        <rFont val="WenQuanYi Zen Hei"/>
        <family val="2"/>
      </rPr>
      <t xml:space="preserve">형태로 시세 자동 반영 가능</t>
    </r>
  </si>
  <si>
    <r>
      <rPr>
        <i val="true"/>
        <sz val="9"/>
        <color rgb="FF666666"/>
        <rFont val="WenQuanYi Zen Hei"/>
        <family val="2"/>
      </rPr>
      <t xml:space="preserve">주의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도구로 저장하면 대시보드 차트 </t>
    </r>
    <r>
      <rPr>
        <i val="true"/>
        <sz val="9"/>
        <color rgb="FF666666"/>
        <rFont val="맑은 고딕"/>
        <family val="0"/>
        <charset val="1"/>
      </rPr>
      <t xml:space="preserve">4</t>
    </r>
    <r>
      <rPr>
        <i val="true"/>
        <sz val="9"/>
        <color rgb="FF666666"/>
        <rFont val="WenQuanYi Zen Hei"/>
        <family val="2"/>
      </rPr>
      <t xml:space="preserve">종은 자동 복원되지만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직접 추가한 차트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서식은 사라질 수 있습니다</t>
    </r>
  </si>
  <si>
    <t xml:space="preserve">■ 구성원별 보기</t>
  </si>
  <si>
    <r>
      <rPr>
        <sz val="10"/>
        <rFont val="WenQuanYi Zen Hei"/>
        <family val="2"/>
      </rPr>
      <t xml:space="preserve">대시보드 </t>
    </r>
    <r>
      <rPr>
        <sz val="10"/>
        <rFont val="맑은 고딕"/>
        <family val="0"/>
        <charset val="1"/>
      </rPr>
      <t xml:space="preserve">E4</t>
    </r>
    <r>
      <rPr>
        <sz val="10"/>
        <rFont val="WenQuanYi Zen Hei"/>
        <family val="2"/>
      </rPr>
      <t xml:space="preserve">에서 전체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본인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배우자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공동 선택 → 손익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예산 실적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재무상태표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 비중이 해당 구성원 기준으로 바뀝니다</t>
    </r>
  </si>
  <si>
    <r>
      <rPr>
        <sz val="10"/>
        <rFont val="WenQuanYi Zen Hei"/>
        <family val="2"/>
      </rPr>
      <t xml:space="preserve">개인 보기에는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공동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항목이 포함되지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구성원별 순자산 표는 항상 세 구성원을 모두 보여줍니다</t>
    </r>
  </si>
  <si>
    <t xml:space="preserve">■ 계산 기준</t>
  </si>
  <si>
    <r>
      <rPr>
        <sz val="10"/>
        <rFont val="WenQuanYi Zen Hei"/>
        <family val="2"/>
      </rPr>
      <t xml:space="preserve">저축률 </t>
    </r>
    <r>
      <rPr>
        <sz val="10"/>
        <rFont val="맑은 고딕"/>
        <family val="0"/>
        <charset val="1"/>
      </rPr>
      <t xml:space="preserve">= (</t>
    </r>
    <r>
      <rPr>
        <sz val="10"/>
        <rFont val="WenQuanYi Zen Hei"/>
        <family val="2"/>
      </rPr>
      <t xml:space="preserve">소득 − 소비지출</t>
    </r>
    <r>
      <rPr>
        <sz val="10"/>
        <rFont val="맑은 고딕"/>
        <family val="0"/>
        <charset val="1"/>
      </rPr>
      <t xml:space="preserve">) ÷ </t>
    </r>
    <r>
      <rPr>
        <sz val="10"/>
        <rFont val="WenQuanYi Zen Hei"/>
        <family val="2"/>
      </rPr>
      <t xml:space="preserve">소득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저축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대출 원금상환은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자본이동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 소비가 아닙니다</t>
    </r>
  </si>
  <si>
    <r>
      <rPr>
        <sz val="10"/>
        <rFont val="WenQuanYi Zen Hei"/>
        <family val="2"/>
      </rPr>
      <t xml:space="preserve">비상자금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즉시 인출 가능한 현금성 자산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평균 필수지출</t>
    </r>
  </si>
  <si>
    <r>
      <rPr>
        <sz val="10"/>
        <rFont val="WenQuanYi Zen Hei"/>
        <family val="2"/>
      </rPr>
      <t xml:space="preserve">부채비율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총부채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총자산 </t>
    </r>
    <r>
      <rPr>
        <sz val="10"/>
        <rFont val="맑은 고딕"/>
        <family val="0"/>
        <charset val="1"/>
      </rPr>
      <t xml:space="preserve">· DSR = </t>
    </r>
    <r>
      <rPr>
        <sz val="10"/>
        <rFont val="WenQuanYi Zen Hei"/>
        <family val="2"/>
      </rPr>
      <t xml:space="preserve">연간 원리금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소득</t>
    </r>
  </si>
  <si>
    <r>
      <rPr>
        <sz val="10"/>
        <rFont val="WenQuanYi Zen Hei"/>
        <family val="2"/>
      </rPr>
      <t xml:space="preserve">목표 진척률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연결계좌 잔액 합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목표금액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계획 진척률 </t>
    </r>
    <r>
      <rPr>
        <sz val="10"/>
        <rFont val="맑은 고딕"/>
        <family val="0"/>
        <charset val="1"/>
      </rPr>
      <t xml:space="preserve">= (</t>
    </r>
    <r>
      <rPr>
        <sz val="10"/>
        <rFont val="WenQuanYi Zen Hei"/>
        <family val="2"/>
      </rPr>
      <t xml:space="preserve">오늘−시작일</t>
    </r>
    <r>
      <rPr>
        <sz val="10"/>
        <rFont val="맑은 고딕"/>
        <family val="0"/>
        <charset val="1"/>
      </rPr>
      <t xml:space="preserve">) ÷ (</t>
    </r>
    <r>
      <rPr>
        <sz val="10"/>
        <rFont val="WenQuanYi Zen Hei"/>
        <family val="2"/>
      </rPr>
      <t xml:space="preserve">목표일−시작일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</si>
  <si>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재무자립도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월평균 이자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배당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월평균 소비지출 </t>
    </r>
    <r>
      <rPr>
        <sz val="10"/>
        <rFont val="맑은 고딕"/>
        <family val="0"/>
        <charset val="1"/>
      </rPr>
      <t xml:space="preserve">(100%</t>
    </r>
    <r>
      <rPr>
        <sz val="10"/>
        <rFont val="WenQuanYi Zen Hei"/>
        <family val="2"/>
      </rPr>
      <t xml:space="preserve">면 일하지 않아도 생활 유지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</si>
  <si>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기준값</t>
    </r>
    <r>
      <rPr>
        <i val="true"/>
        <sz val="9"/>
        <color rgb="FF666666"/>
        <rFont val="맑은 고딕"/>
        <family val="0"/>
        <charset val="1"/>
      </rPr>
      <t xml:space="preserve">(30%, 6</t>
    </r>
    <r>
      <rPr>
        <i val="true"/>
        <sz val="9"/>
        <color rgb="FF666666"/>
        <rFont val="WenQuanYi Zen Hei"/>
        <family val="2"/>
      </rPr>
      <t xml:space="preserve">개월</t>
    </r>
    <r>
      <rPr>
        <i val="true"/>
        <sz val="9"/>
        <color rgb="FF666666"/>
        <rFont val="맑은 고딕"/>
        <family val="0"/>
        <charset val="1"/>
      </rPr>
      <t xml:space="preserve">, 40% </t>
    </r>
    <r>
      <rPr>
        <i val="true"/>
        <sz val="9"/>
        <color rgb="FF666666"/>
        <rFont val="WenQuanYi Zen Hei"/>
        <family val="2"/>
      </rPr>
      <t xml:space="preserve">등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은 일반적인 가이드라인이며 </t>
    </r>
    <r>
      <rPr>
        <i val="true"/>
        <sz val="9"/>
        <color rgb="FF666666"/>
        <rFont val="맑은 고딕"/>
        <family val="0"/>
        <charset val="1"/>
      </rPr>
      <t xml:space="preserve">[</t>
    </r>
    <r>
      <rPr>
        <i val="true"/>
        <sz val="9"/>
        <color rgb="FF666666"/>
        <rFont val="WenQuanYi Zen Hei"/>
        <family val="2"/>
      </rPr>
      <t xml:space="preserve">설정</t>
    </r>
    <r>
      <rPr>
        <i val="true"/>
        <sz val="9"/>
        <color rgb="FF666666"/>
        <rFont val="맑은 고딕"/>
        <family val="0"/>
        <charset val="1"/>
      </rPr>
      <t xml:space="preserve">]</t>
    </r>
    <r>
      <rPr>
        <i val="true"/>
        <sz val="9"/>
        <color rgb="FF666666"/>
        <rFont val="WenQuanYi Zen Hei"/>
        <family val="2"/>
      </rPr>
      <t xml:space="preserve">에서 가정에 맞게 바꾸세요</t>
    </r>
  </si>
  <si>
    <t xml:space="preserve">일자</t>
  </si>
  <si>
    <t xml:space="preserve">월</t>
  </si>
  <si>
    <t xml:space="preserve">내용</t>
  </si>
  <si>
    <t xml:space="preserve">금액</t>
  </si>
  <si>
    <t xml:space="preserve">카테고리</t>
  </si>
  <si>
    <t xml:space="preserve">대분류</t>
  </si>
  <si>
    <t xml:space="preserve">필수</t>
  </si>
  <si>
    <t xml:space="preserve">결제수단</t>
  </si>
  <si>
    <t xml:space="preserve">출처</t>
  </si>
  <si>
    <t xml:space="preserve">메모</t>
  </si>
  <si>
    <t xml:space="preserve">월번호</t>
  </si>
  <si>
    <r>
      <rPr>
        <i val="true"/>
        <sz val="9"/>
        <color rgb="FF666666"/>
        <rFont val="WenQuanYi Zen Hei"/>
        <family val="2"/>
      </rPr>
      <t xml:space="preserve">금액은 항상 양수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들어온 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나간 돈 구분은 카테고리의 대분류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고정비…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가 결정합니다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</si>
  <si>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i val="true"/>
        <sz val="9"/>
        <color rgb="FF666666"/>
        <rFont val="WenQuanYi Zen Hei"/>
        <family val="2"/>
      </rPr>
      <t xml:space="preserve">카드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은행 </t>
    </r>
    <r>
      <rPr>
        <i val="true"/>
        <sz val="9"/>
        <color rgb="FF666666"/>
        <rFont val="맑은 고딕"/>
        <family val="0"/>
        <charset val="1"/>
      </rPr>
      <t xml:space="preserve">CSV</t>
    </r>
    <r>
      <rPr>
        <i val="true"/>
        <sz val="9"/>
        <color rgb="FF666666"/>
        <rFont val="WenQuanYi Zen Hei"/>
        <family val="2"/>
      </rPr>
      <t xml:space="preserve">는 </t>
    </r>
    <r>
      <rPr>
        <i val="true"/>
        <sz val="9"/>
        <color rgb="FF666666"/>
        <rFont val="맑은 고딕"/>
        <family val="0"/>
        <charset val="1"/>
      </rPr>
      <t xml:space="preserve">`python -m household_finance import`</t>
    </r>
    <r>
      <rPr>
        <i val="true"/>
        <sz val="9"/>
        <color rgb="FF666666"/>
        <rFont val="WenQuanYi Zen Hei"/>
        <family val="2"/>
      </rPr>
      <t xml:space="preserve">로 자동 분류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중복제거 후 추가됩니다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</si>
  <si>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계좌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</si>
  <si>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계좌명</t>
  </si>
  <si>
    <t xml:space="preserve">유형</t>
  </si>
  <si>
    <t xml:space="preserve">소유자</t>
  </si>
  <si>
    <t xml:space="preserve">유동성</t>
  </si>
  <si>
    <r>
      <rPr>
        <i val="true"/>
        <sz val="9"/>
        <color rgb="FF666666"/>
        <rFont val="WenQuanYi Zen Hei"/>
        <family val="2"/>
      </rPr>
      <t xml:space="preserve">매월 말 계좌별 잔액을 기록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부채도 양수로</t>
    </r>
    <r>
      <rPr>
        <i val="true"/>
        <sz val="9"/>
        <color rgb="FF666666"/>
        <rFont val="맑은 고딕"/>
        <family val="0"/>
        <charset val="1"/>
      </rPr>
      <t xml:space="preserve">). `python -m household_finance new-month`</t>
    </r>
    <r>
      <rPr>
        <i val="true"/>
        <sz val="9"/>
        <color rgb="FF666666"/>
        <rFont val="WenQuanYi Zen Hei"/>
        <family val="2"/>
      </rPr>
      <t xml:space="preserve">로 다음 달 행을 자동 생성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</si>
  <si>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기관</t>
  </si>
  <si>
    <r>
      <rPr>
        <i val="true"/>
        <sz val="9"/>
        <color rgb="FF666666"/>
        <rFont val="WenQuanYi Zen Hei"/>
        <family val="2"/>
      </rPr>
      <t xml:space="preserve">유형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현금성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투자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연금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부동산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기타자산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부채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유동성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즉시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오늘 꺼낼 수 있음</t>
    </r>
    <r>
      <rPr>
        <i val="true"/>
        <sz val="9"/>
        <color rgb="FF666666"/>
        <rFont val="맑은 고딕"/>
        <family val="0"/>
        <charset val="1"/>
      </rPr>
      <t xml:space="preserve">)/1</t>
    </r>
    <r>
      <rPr>
        <i val="true"/>
        <sz val="9"/>
        <color rgb="FF666666"/>
        <rFont val="WenQuanYi Zen Hei"/>
        <family val="2"/>
      </rPr>
      <t xml:space="preserve">년내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장기</t>
    </r>
  </si>
  <si>
    <t xml:space="preserve">📈 투자 포트폴리오</t>
  </si>
  <si>
    <r>
      <rPr>
        <i val="true"/>
        <sz val="9"/>
        <color rgb="FF666666"/>
        <rFont val="WenQuanYi Zen Hei"/>
        <family val="2"/>
      </rPr>
      <t xml:space="preserve">보유종목 표에 수량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현재가를 입력하면 자산배분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수익률이 계산됩니다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구글 시트에서는 현재가에 </t>
    </r>
    <r>
      <rPr>
        <i val="true"/>
        <sz val="9"/>
        <color rgb="FF666666"/>
        <rFont val="맑은 고딕"/>
        <family val="0"/>
        <charset val="1"/>
      </rPr>
      <t xml:space="preserve">=GOOGLEFINANCE(</t>
    </r>
    <r>
      <rPr>
        <i val="true"/>
        <sz val="9"/>
        <color rgb="FF666666"/>
        <rFont val="WenQuanYi Zen Hei"/>
        <family val="2"/>
      </rPr>
      <t xml:space="preserve">시세코드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사용 가능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</si>
  <si>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자산군</t>
  </si>
  <si>
    <t xml:space="preserve">목표 비중</t>
  </si>
  <si>
    <t xml:space="preserve">평가금액</t>
  </si>
  <si>
    <t xml:space="preserve">현재 비중</t>
  </si>
  <si>
    <r>
      <rPr>
        <b val="true"/>
        <sz val="10"/>
        <color rgb="FFFFFFFF"/>
        <rFont val="WenQuanYi Zen Hei"/>
        <family val="2"/>
      </rPr>
      <t xml:space="preserve">괴리</t>
    </r>
    <r>
      <rPr>
        <b val="true"/>
        <sz val="10"/>
        <color rgb="FFFFFFFF"/>
        <rFont val="맑은 고딕"/>
        <family val="0"/>
        <charset val="1"/>
      </rPr>
      <t xml:space="preserve">(%p)</t>
    </r>
  </si>
  <si>
    <t xml:space="preserve">목표까지 조정금액</t>
  </si>
  <si>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알림용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</si>
  <si>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리밸런싱 알림은 가계 전체 포트폴리오 기준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대시보드 보기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전체</t>
    </r>
    <r>
      <rPr>
        <i val="true"/>
        <sz val="9"/>
        <color rgb="FF666666"/>
        <rFont val="맑은 고딕"/>
        <family val="0"/>
        <charset val="1"/>
      </rPr>
      <t xml:space="preserve">')</t>
    </r>
    <r>
      <rPr>
        <i val="true"/>
        <sz val="9"/>
        <color rgb="FF666666"/>
        <rFont val="WenQuanYi Zen Hei"/>
        <family val="2"/>
      </rPr>
      <t xml:space="preserve">에서만 표시됩니다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</si>
  <si>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국내주식</t>
  </si>
  <si>
    <t xml:space="preserve">해외주식</t>
  </si>
  <si>
    <t xml:space="preserve">채권</t>
  </si>
  <si>
    <t xml:space="preserve">현금성</t>
  </si>
  <si>
    <t xml:space="preserve">대체투자</t>
  </si>
  <si>
    <t xml:space="preserve">합계</t>
  </si>
  <si>
    <t xml:space="preserve">투자금 확대 트래킹</t>
  </si>
  <si>
    <t xml:space="preserve">실적</t>
  </si>
  <si>
    <r>
      <rPr>
        <b val="true"/>
        <sz val="10"/>
        <color rgb="FFFFFFFF"/>
        <rFont val="WenQuanYi Zen Hei"/>
        <family val="2"/>
      </rPr>
      <t xml:space="preserve">목표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전월</t>
    </r>
  </si>
  <si>
    <r>
      <rPr>
        <b val="true"/>
        <sz val="10"/>
        <color rgb="FFFFFFFF"/>
        <rFont val="WenQuanYi Zen Hei"/>
        <family val="2"/>
      </rPr>
      <t xml:space="preserve">달성률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증가율</t>
    </r>
  </si>
  <si>
    <t xml:space="preserve">이번 달 투자 납입액</t>
  </si>
  <si>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누적 납입</t>
    </r>
  </si>
  <si>
    <r>
      <rPr>
        <sz val="10"/>
        <rFont val="WenQuanYi Zen Hei"/>
        <family val="2"/>
      </rPr>
      <t xml:space="preserve">월평균 납입 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</si>
  <si>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연금 자산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</si>
  <si>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자산 증가 중 운용수익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</si>
  <si>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증감 − 이번 달 납입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퇴직연금 회사 적립분 등이 섞일 수 있어 추정치입니다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</si>
  <si>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1"/>
        <color rgb="FF1F2A44"/>
        <rFont val="WenQuanYi Zen Hei"/>
        <family val="2"/>
      </rPr>
      <t xml:space="preserve">절세 계좌 납입 현황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올해 </t>
    </r>
    <r>
      <rPr>
        <b val="true"/>
        <sz val="11"/>
        <color rgb="FF1F2A44"/>
        <rFont val="맑은 고딕"/>
        <family val="0"/>
        <charset val="1"/>
      </rPr>
      <t xml:space="preserve">1</t>
    </r>
    <r>
      <rPr>
        <b val="true"/>
        <sz val="11"/>
        <color rgb="FF1F2A44"/>
        <rFont val="WenQuanYi Zen Hei"/>
        <family val="2"/>
      </rPr>
      <t xml:space="preserve">월</t>
    </r>
    <r>
      <rPr>
        <b val="true"/>
        <sz val="11"/>
        <color rgb="FF1F2A44"/>
        <rFont val="맑은 고딕"/>
        <family val="0"/>
        <charset val="1"/>
      </rPr>
      <t xml:space="preserve">~</t>
    </r>
    <r>
      <rPr>
        <b val="true"/>
        <sz val="11"/>
        <color rgb="FF1F2A44"/>
        <rFont val="WenQuanYi Zen Hei"/>
        <family val="2"/>
      </rPr>
      <t xml:space="preserve">기준월</t>
    </r>
    <r>
      <rPr>
        <b val="true"/>
        <sz val="11"/>
        <color rgb="FF1F2A44"/>
        <rFont val="맑은 고딕"/>
        <family val="0"/>
        <charset val="1"/>
      </rPr>
      <t xml:space="preserve">, </t>
    </r>
    <r>
      <rPr>
        <b val="true"/>
        <sz val="11"/>
        <color rgb="FF1F2A44"/>
        <rFont val="WenQuanYi Zen Hei"/>
        <family val="2"/>
      </rPr>
      <t xml:space="preserve">거래내역 </t>
    </r>
    <r>
      <rPr>
        <b val="true"/>
        <sz val="11"/>
        <color rgb="FF1F2A44"/>
        <rFont val="맑은 고딕"/>
        <family val="0"/>
        <charset val="1"/>
      </rPr>
      <t xml:space="preserve">'</t>
    </r>
    <r>
      <rPr>
        <b val="true"/>
        <sz val="11"/>
        <color rgb="FF1F2A44"/>
        <rFont val="WenQuanYi Zen Hei"/>
        <family val="2"/>
      </rPr>
      <t xml:space="preserve">내용</t>
    </r>
    <r>
      <rPr>
        <b val="true"/>
        <sz val="11"/>
        <color rgb="FF1F2A44"/>
        <rFont val="맑은 고딕"/>
        <family val="0"/>
        <charset val="1"/>
      </rPr>
      <t xml:space="preserve">' </t>
    </r>
    <r>
      <rPr>
        <b val="true"/>
        <sz val="11"/>
        <color rgb="FF1F2A44"/>
        <rFont val="WenQuanYi Zen Hei"/>
        <family val="2"/>
      </rPr>
      <t xml:space="preserve">키워드로 집계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</si>
  <si>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항목</t>
  </si>
  <si>
    <t xml:space="preserve">연간 한도</t>
  </si>
  <si>
    <t xml:space="preserve">올해 납입</t>
  </si>
  <si>
    <t xml:space="preserve">잔여 한도</t>
  </si>
  <si>
    <t xml:space="preserve">소진율</t>
  </si>
  <si>
    <t xml:space="preserve">내용 키워드</t>
  </si>
  <si>
    <t xml:space="preserve">연금저축</t>
  </si>
  <si>
    <r>
      <rPr>
        <sz val="10"/>
        <color rgb="FF0000FF"/>
        <rFont val="맑은 고딕"/>
        <family val="0"/>
        <charset val="1"/>
      </rPr>
      <t xml:space="preserve">*</t>
    </r>
    <r>
      <rPr>
        <sz val="10"/>
        <color rgb="FF0000FF"/>
        <rFont val="WenQuanYi Zen Hei"/>
        <family val="2"/>
      </rPr>
      <t xml:space="preserve">연금저축</t>
    </r>
    <r>
      <rPr>
        <sz val="10"/>
        <color rgb="FF0000FF"/>
        <rFont val="맑은 고딕"/>
        <family val="0"/>
        <charset val="1"/>
      </rPr>
      <t xml:space="preserve">*</t>
    </r>
  </si>
  <si>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+IRP </t>
    </r>
    <r>
      <rPr>
        <sz val="10"/>
        <rFont val="WenQuanYi Zen Hei"/>
        <family val="2"/>
      </rPr>
      <t xml:space="preserve">합산</t>
    </r>
  </si>
  <si>
    <t xml:space="preserve">*IRP*</t>
  </si>
  <si>
    <t xml:space="preserve">ISA</t>
  </si>
  <si>
    <t xml:space="preserve">*ISA*</t>
  </si>
  <si>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연금저축</t>
    </r>
    <r>
      <rPr>
        <i val="true"/>
        <sz val="9"/>
        <color rgb="FF666666"/>
        <rFont val="맑은 고딕"/>
        <family val="0"/>
        <charset val="1"/>
      </rPr>
      <t xml:space="preserve">+IRP </t>
    </r>
    <r>
      <rPr>
        <i val="true"/>
        <sz val="9"/>
        <color rgb="FF666666"/>
        <rFont val="WenQuanYi Zen Hei"/>
        <family val="2"/>
      </rPr>
      <t xml:space="preserve">합산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의 키워드 칸은 </t>
    </r>
    <r>
      <rPr>
        <i val="true"/>
        <sz val="9"/>
        <color rgb="FF666666"/>
        <rFont val="맑은 고딕"/>
        <family val="0"/>
        <charset val="1"/>
      </rPr>
      <t xml:space="preserve">IRP </t>
    </r>
    <r>
      <rPr>
        <i val="true"/>
        <sz val="9"/>
        <color rgb="FF666666"/>
        <rFont val="WenQuanYi Zen Hei"/>
        <family val="2"/>
      </rPr>
      <t xml:space="preserve">납입을 찾는 키워드입니다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연금저축분은 위 행 값을 더함</t>
    </r>
    <r>
      <rPr>
        <i val="true"/>
        <sz val="9"/>
        <color rgb="FF666666"/>
        <rFont val="맑은 고딕"/>
        <family val="0"/>
        <charset val="1"/>
      </rPr>
      <t xml:space="preserve">).</t>
    </r>
  </si>
  <si>
    <r>
      <rPr>
        <b val="true"/>
        <sz val="11"/>
        <color rgb="FF1F2A44"/>
        <rFont val="WenQuanYi Zen Hei"/>
        <family val="2"/>
      </rPr>
      <t xml:space="preserve">보유 종목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파란 글씨 열 입력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</si>
  <si>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종목명</t>
  </si>
  <si>
    <t xml:space="preserve">시세코드</t>
  </si>
  <si>
    <t xml:space="preserve">수량</t>
  </si>
  <si>
    <t xml:space="preserve">평균단가</t>
  </si>
  <si>
    <t xml:space="preserve">현재가</t>
  </si>
  <si>
    <t xml:space="preserve">매입금액</t>
  </si>
  <si>
    <t xml:space="preserve">평가손익</t>
  </si>
  <si>
    <t xml:space="preserve">수익률</t>
  </si>
  <si>
    <r>
      <rPr>
        <b val="true"/>
        <sz val="10"/>
        <rFont val="WenQuanYi Zen Hei"/>
        <family val="2"/>
      </rPr>
      <t xml:space="preserve">보유종목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보기 기준</t>
    </r>
    <r>
      <rPr>
        <b val="true"/>
        <sz val="10"/>
        <rFont val="맑은 고딕"/>
        <family val="0"/>
        <charset val="1"/>
      </rPr>
      <t xml:space="preserve">)</t>
    </r>
  </si>
  <si>
    <t xml:space="preserve">💳 부채 관리</t>
  </si>
  <si>
    <r>
      <rPr>
        <i val="true"/>
        <sz val="9"/>
        <color rgb="FF666666"/>
        <rFont val="WenQuanYi Zen Hei"/>
        <family val="2"/>
      </rPr>
      <t xml:space="preserve">잔액은 스냅샷 기준월 값을 자동으로 가져옵니다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상환 우선순위는 금리가 높은 순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</si>
  <si>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대출명</t>
  </si>
  <si>
    <r>
      <rPr>
        <b val="true"/>
        <sz val="10"/>
        <color rgb="FFFFFFFF"/>
        <rFont val="WenQuanYi Zen Hei"/>
        <family val="2"/>
      </rPr>
      <t xml:space="preserve">잔액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</si>
  <si>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금리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</si>
  <si>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만기일</t>
  </si>
  <si>
    <t xml:space="preserve">상환방식</t>
  </si>
  <si>
    <t xml:space="preserve">월 원리금</t>
  </si>
  <si>
    <r>
      <rPr>
        <b val="true"/>
        <sz val="10"/>
        <color rgb="FFFFFFFF"/>
        <rFont val="WenQuanYi Zen Hei"/>
        <family val="2"/>
      </rPr>
      <t xml:space="preserve">월 이자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추정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</si>
  <si>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연간 원리금</t>
  </si>
  <si>
    <r>
      <rPr>
        <b val="true"/>
        <sz val="10"/>
        <color rgb="FFFFFFFF"/>
        <rFont val="WenQuanYi Zen Hei"/>
        <family val="2"/>
      </rPr>
      <t xml:space="preserve">금리 </t>
    </r>
    <r>
      <rPr>
        <b val="true"/>
        <sz val="10"/>
        <color rgb="FFFFFFFF"/>
        <rFont val="맑은 고딕"/>
        <family val="0"/>
        <charset val="1"/>
      </rPr>
      <t xml:space="preserve">+1%p </t>
    </r>
    <r>
      <rPr>
        <b val="true"/>
        <sz val="10"/>
        <color rgb="FFFFFFFF"/>
        <rFont val="WenQuanYi Zen Hei"/>
        <family val="2"/>
      </rPr>
      <t xml:space="preserve">시 월 증가</t>
    </r>
  </si>
  <si>
    <t xml:space="preserve">남은 개월</t>
  </si>
  <si>
    <t xml:space="preserve">상환 우선순위</t>
  </si>
  <si>
    <t xml:space="preserve">요약</t>
  </si>
  <si>
    <r>
      <rPr>
        <sz val="10"/>
        <rFont val="WenQuanYi Zen Hei"/>
        <family val="2"/>
      </rPr>
      <t xml:space="preserve">총 대출잔액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보기 기준</t>
    </r>
    <r>
      <rPr>
        <sz val="10"/>
        <rFont val="맑은 고딕"/>
        <family val="0"/>
        <charset val="1"/>
      </rPr>
      <t xml:space="preserve">)</t>
    </r>
  </si>
  <si>
    <t xml:space="preserve">월 원리금 합계</t>
  </si>
  <si>
    <r>
      <rPr>
        <sz val="10"/>
        <rFont val="WenQuanYi Zen Hei"/>
        <family val="2"/>
      </rPr>
      <t xml:space="preserve">연소득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공동 보기는 가계 전체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</si>
  <si>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DSR (</t>
    </r>
    <r>
      <rPr>
        <b val="true"/>
        <sz val="10"/>
        <rFont val="WenQuanYi Zen Hei"/>
        <family val="2"/>
      </rPr>
      <t xml:space="preserve">연간 원리금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연소득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</si>
  <si>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DSR </t>
    </r>
    <r>
      <rPr>
        <sz val="10"/>
        <rFont val="WenQuanYi Zen Hei"/>
        <family val="2"/>
      </rPr>
      <t xml:space="preserve">상한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</si>
  <si>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금리 </t>
    </r>
    <r>
      <rPr>
        <sz val="10"/>
        <rFont val="맑은 고딕"/>
        <family val="0"/>
        <charset val="1"/>
      </rPr>
      <t xml:space="preserve">1%p </t>
    </r>
    <r>
      <rPr>
        <sz val="10"/>
        <rFont val="WenQuanYi Zen Hei"/>
        <family val="2"/>
      </rPr>
      <t xml:space="preserve">상승 시 월 부담 증가</t>
    </r>
  </si>
  <si>
    <t xml:space="preserve">가중평균 금리</t>
  </si>
  <si>
    <r>
      <rPr>
        <b val="true"/>
        <sz val="16"/>
        <color rgb="FF1F2A44"/>
        <rFont val="WenQuanYi Zen Hei"/>
        <family val="2"/>
      </rPr>
      <t xml:space="preserve">🎯 재무 목표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중장기 사업계획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</si>
  <si>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연결계좌의 기준월 잔액 합으로 진척률을 계산합니다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계획 진척률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시작일</t>
    </r>
    <r>
      <rPr>
        <i val="true"/>
        <sz val="9"/>
        <color rgb="FF666666"/>
        <rFont val="맑은 고딕"/>
        <family val="0"/>
        <charset val="1"/>
      </rPr>
      <t xml:space="preserve">~</t>
    </r>
    <r>
      <rPr>
        <i val="true"/>
        <sz val="9"/>
        <color rgb="FF666666"/>
        <rFont val="WenQuanYi Zen Hei"/>
        <family val="2"/>
      </rPr>
      <t xml:space="preserve">목표일 중 오늘까지 경과 비율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</si>
  <si>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목표명</t>
  </si>
  <si>
    <t xml:space="preserve">담당</t>
  </si>
  <si>
    <t xml:space="preserve">목표금액</t>
  </si>
  <si>
    <t xml:space="preserve">시작일</t>
  </si>
  <si>
    <t xml:space="preserve">목표일</t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</si>
  <si>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</si>
  <si>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</si>
  <si>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</si>
  <si>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t xml:space="preserve">현재금액</t>
  </si>
  <si>
    <t xml:space="preserve">계획 진척률</t>
  </si>
  <si>
    <t xml:space="preserve">필요 월적립액</t>
  </si>
  <si>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진척 반영액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</si>
  <si>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공동</t>
  </si>
  <si>
    <t xml:space="preserve">전체 목표 가중 달성률</t>
  </si>
  <si>
    <r>
      <rPr>
        <sz val="10"/>
        <rFont val="WenQuanYi Zen Hei"/>
        <family val="2"/>
      </rPr>
      <t xml:space="preserve">노후 준비율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노후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시작하는 목표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</si>
  <si>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국민연금 예상수령액은 포함되지 않습니다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목표금액에서 차감해 입력하세요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</si>
  <si>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지연 목표 수</t>
  </si>
  <si>
    <t xml:space="preserve">목표 달성에 필요한 월 적립 합계</t>
  </si>
  <si>
    <r>
      <rPr>
        <b val="true"/>
        <sz val="16"/>
        <color rgb="FF1F2A44"/>
        <rFont val="WenQuanYi Zen Hei"/>
        <family val="2"/>
      </rPr>
      <t xml:space="preserve">🛡 보험</t>
    </r>
    <r>
      <rPr>
        <b val="true"/>
        <sz val="16"/>
        <color rgb="FF1F2A44"/>
        <rFont val="맑은 고딕"/>
        <family val="0"/>
        <charset val="1"/>
      </rPr>
      <t xml:space="preserve">·</t>
    </r>
    <r>
      <rPr>
        <b val="true"/>
        <sz val="16"/>
        <color rgb="FF1F2A44"/>
        <rFont val="WenQuanYi Zen Hei"/>
        <family val="2"/>
      </rPr>
      <t xml:space="preserve">리스크 관리</t>
    </r>
  </si>
  <si>
    <r>
      <rPr>
        <i val="true"/>
        <sz val="9"/>
        <color rgb="FF666666"/>
        <rFont val="WenQuanYi Zen Hei"/>
        <family val="2"/>
      </rPr>
      <t xml:space="preserve">보장금액을 입력하면 구성원별 보장 공백을 자동으로 찾아냅니다 </t>
    </r>
    <r>
      <rPr>
        <i val="true"/>
        <sz val="9"/>
        <color rgb="FF666666"/>
        <rFont val="맑은 고딕"/>
        <family val="0"/>
        <charset val="1"/>
      </rPr>
      <t xml:space="preserve">(0 </t>
    </r>
    <r>
      <rPr>
        <i val="true"/>
        <sz val="9"/>
        <color rgb="FF666666"/>
        <rFont val="WenQuanYi Zen Hei"/>
        <family val="2"/>
      </rPr>
      <t xml:space="preserve">또는 빈칸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보장 없음</t>
    </r>
    <r>
      <rPr>
        <i val="true"/>
        <sz val="9"/>
        <color rgb="FF666666"/>
        <rFont val="맑은 고딕"/>
        <family val="0"/>
        <charset val="1"/>
      </rPr>
      <t xml:space="preserve">).</t>
    </r>
  </si>
  <si>
    <t xml:space="preserve">피보험자</t>
  </si>
  <si>
    <t xml:space="preserve">보험사</t>
  </si>
  <si>
    <t xml:space="preserve">상품명</t>
  </si>
  <si>
    <t xml:space="preserve">사망</t>
  </si>
  <si>
    <t xml:space="preserve">실손</t>
  </si>
  <si>
    <t xml:space="preserve">암</t>
  </si>
  <si>
    <r>
      <rPr>
        <b val="true"/>
        <sz val="10"/>
        <color rgb="FFFFFFFF"/>
        <rFont val="WenQuanYi Zen Hei"/>
        <family val="2"/>
      </rPr>
      <t xml:space="preserve">뇌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심장</t>
    </r>
  </si>
  <si>
    <t xml:space="preserve">배상책임</t>
  </si>
  <si>
    <t xml:space="preserve">월보험료</t>
  </si>
  <si>
    <r>
      <rPr>
        <b val="true"/>
        <sz val="10"/>
        <color rgb="FFFFFFFF"/>
        <rFont val="WenQuanYi Zen Hei"/>
        <family val="2"/>
      </rPr>
      <t xml:space="preserve">갱신형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</si>
  <si>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구성원별 보장 현황</t>
  </si>
  <si>
    <t xml:space="preserve">본인</t>
  </si>
  <si>
    <t xml:space="preserve">배우자</t>
  </si>
  <si>
    <t xml:space="preserve">자녀</t>
  </si>
  <si>
    <t xml:space="preserve">-</t>
  </si>
  <si>
    <t xml:space="preserve">월 보험료 합계</t>
  </si>
  <si>
    <r>
      <rPr>
        <sz val="10"/>
        <rFont val="WenQuanYi Zen Hei"/>
        <family val="2"/>
      </rPr>
      <t xml:space="preserve">월평균 소득 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</si>
  <si>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보험료 부담률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권장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이하</t>
    </r>
    <r>
      <rPr>
        <sz val="10"/>
        <rFont val="맑은 고딕"/>
        <family val="0"/>
        <charset val="1"/>
      </rPr>
      <t xml:space="preserve">)</t>
    </r>
  </si>
  <si>
    <t xml:space="preserve">보장 공백 수</t>
  </si>
  <si>
    <r>
      <rPr>
        <b val="true"/>
        <sz val="16"/>
        <color rgb="FF1F2A44"/>
        <rFont val="WenQuanYi Zen Hei"/>
        <family val="2"/>
      </rPr>
      <t xml:space="preserve">🗓 일정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현금흐름 이벤트 캘린더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</si>
  <si>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만기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세금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명절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보너스 등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유입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유출 금액은 현금흐름 예측에 반영되고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알림 일수 이내 일정은 대시보드에 표시됩니다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</si>
  <si>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구분</t>
  </si>
  <si>
    <t xml:space="preserve">D-day</t>
  </si>
  <si>
    <t xml:space="preserve">알림</t>
  </si>
  <si>
    <t xml:space="preserve">📋 예산 대비 실적</t>
  </si>
  <si>
    <r>
      <rPr>
        <i val="true"/>
        <sz val="9"/>
        <color rgb="FF666666"/>
        <rFont val="WenQuanYi Zen Hei"/>
        <family val="2"/>
      </rPr>
      <t xml:space="preserve">고정비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변동비는 월 예산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비정기비는 연 예산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경과 월수만큼 안분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과 비교합니다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실적은 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</si>
  <si>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기준</t>
  </si>
  <si>
    <t xml:space="preserve">예산</t>
  </si>
  <si>
    <t xml:space="preserve">경과 예산</t>
  </si>
  <si>
    <t xml:space="preserve">집행률</t>
  </si>
  <si>
    <t xml:space="preserve">잔여</t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</si>
  <si>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본인</t>
    </r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</si>
  <si>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배우자</t>
    </r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</si>
  <si>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공동</t>
    </r>
  </si>
  <si>
    <t xml:space="preserve">주거관리비</t>
  </si>
  <si>
    <t xml:space="preserve">대출이자</t>
  </si>
  <si>
    <t xml:space="preserve">보험료</t>
  </si>
  <si>
    <t xml:space="preserve">통신비</t>
  </si>
  <si>
    <t xml:space="preserve">교육비</t>
  </si>
  <si>
    <t xml:space="preserve">구독료</t>
  </si>
  <si>
    <t xml:space="preserve">식비</t>
  </si>
  <si>
    <t xml:space="preserve">외식</t>
  </si>
  <si>
    <t xml:space="preserve">생활용품</t>
  </si>
  <si>
    <t xml:space="preserve">교통</t>
  </si>
  <si>
    <t xml:space="preserve">쇼핑</t>
  </si>
  <si>
    <t xml:space="preserve">의료</t>
  </si>
  <si>
    <t xml:space="preserve">여가</t>
  </si>
  <si>
    <t xml:space="preserve">용돈</t>
  </si>
  <si>
    <t xml:space="preserve">경조사</t>
  </si>
  <si>
    <t xml:space="preserve">연</t>
  </si>
  <si>
    <t xml:space="preserve">여행</t>
  </si>
  <si>
    <t xml:space="preserve">세금</t>
  </si>
  <si>
    <t xml:space="preserve">명절</t>
  </si>
  <si>
    <r>
      <rPr>
        <b val="true"/>
        <sz val="10"/>
        <rFont val="WenQuanYi Zen Hei"/>
        <family val="2"/>
      </rPr>
      <t xml:space="preserve">월 예산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고정비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</si>
  <si>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 예산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비정기비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경과분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</si>
  <si>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6"/>
        <color rgb="FF1F2A44"/>
        <rFont val="WenQuanYi Zen Hei"/>
        <family val="2"/>
      </rPr>
      <t xml:space="preserve">📊 손익계산서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월별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</si>
  <si>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최근 </t>
    </r>
    <r>
      <rPr>
        <i val="true"/>
        <sz val="9"/>
        <color rgb="FF666666"/>
        <rFont val="맑은 고딕"/>
        <family val="0"/>
        <charset val="1"/>
      </rPr>
      <t xml:space="preserve">12</t>
    </r>
    <r>
      <rPr>
        <i val="true"/>
        <sz val="9"/>
        <color rgb="FF666666"/>
        <rFont val="WenQuanYi Zen Hei"/>
        <family val="2"/>
      </rPr>
      <t xml:space="preserve">개월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기준으로 집계됩니다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저축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투자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원금상환은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자본이동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으로 소비에서 제외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</si>
  <si>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개월 합계</t>
    </r>
  </si>
  <si>
    <t xml:space="preserve">월평균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</si>
  <si>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개월 평균</t>
    </r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</si>
  <si>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소득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</si>
  <si>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급여</t>
  </si>
  <si>
    <t xml:space="preserve">   상여</t>
  </si>
  <si>
    <t xml:space="preserve">   이자배당</t>
  </si>
  <si>
    <t xml:space="preserve">   부수입</t>
  </si>
  <si>
    <t xml:space="preserve">소득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</si>
  <si>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고정비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</si>
  <si>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주거관리비</t>
  </si>
  <si>
    <t xml:space="preserve">   대출이자</t>
  </si>
  <si>
    <t xml:space="preserve">   보험료</t>
  </si>
  <si>
    <t xml:space="preserve">   통신비</t>
  </si>
  <si>
    <t xml:space="preserve">   교육비</t>
  </si>
  <si>
    <t xml:space="preserve">   구독료</t>
  </si>
  <si>
    <t xml:space="preserve">고정비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</si>
  <si>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변동비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</si>
  <si>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식비</t>
  </si>
  <si>
    <t xml:space="preserve">   외식</t>
  </si>
  <si>
    <t xml:space="preserve">   생활용품</t>
  </si>
  <si>
    <t xml:space="preserve">   교통</t>
  </si>
  <si>
    <t xml:space="preserve">   쇼핑</t>
  </si>
  <si>
    <t xml:space="preserve">   의료</t>
  </si>
  <si>
    <t xml:space="preserve">   여가</t>
  </si>
  <si>
    <t xml:space="preserve">   용돈</t>
  </si>
  <si>
    <t xml:space="preserve">변동비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</si>
  <si>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비정기비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</si>
  <si>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경조사</t>
  </si>
  <si>
    <t xml:space="preserve">   여행</t>
  </si>
  <si>
    <t xml:space="preserve">   세금</t>
  </si>
  <si>
    <t xml:space="preserve">   명절</t>
  </si>
  <si>
    <t xml:space="preserve">비정기비 합계</t>
  </si>
  <si>
    <t xml:space="preserve">소비지출 합계</t>
  </si>
  <si>
    <r>
      <rPr>
        <b val="true"/>
        <sz val="10"/>
        <rFont val="WenQuanYi Zen Hei"/>
        <family val="2"/>
      </rPr>
      <t xml:space="preserve">잉여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소득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소비지출</t>
    </r>
    <r>
      <rPr>
        <b val="true"/>
        <sz val="10"/>
        <rFont val="맑은 고딕"/>
        <family val="0"/>
        <charset val="1"/>
      </rPr>
      <t xml:space="preserve">)</t>
    </r>
  </si>
  <si>
    <t xml:space="preserve">저축률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</si>
  <si>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자본이동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</si>
  <si>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투자이체</t>
  </si>
  <si>
    <t xml:space="preserve">   연금납입</t>
  </si>
  <si>
    <t xml:space="preserve">   저축이체</t>
  </si>
  <si>
    <t xml:space="preserve">   대출원금상환</t>
  </si>
  <si>
    <t xml:space="preserve">자본이동 합계</t>
  </si>
  <si>
    <r>
      <rPr>
        <b val="true"/>
        <sz val="10"/>
        <rFont val="WenQuanYi Zen Hei"/>
        <family val="2"/>
      </rPr>
      <t xml:space="preserve">투자 납입액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연금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</si>
  <si>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순현금흐름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잉여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자본이동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</si>
  <si>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관리 지표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</si>
  <si>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필수지출</t>
  </si>
  <si>
    <t xml:space="preserve">고정비 비율</t>
  </si>
  <si>
    <t xml:space="preserve">투자 납입률</t>
  </si>
  <si>
    <t xml:space="preserve">미분류 금액</t>
  </si>
  <si>
    <t xml:space="preserve">🏦 재무상태표</t>
  </si>
  <si>
    <r>
      <rPr>
        <i val="true"/>
        <sz val="9"/>
        <color rgb="FF666666"/>
        <rFont val="WenQuanYi Zen Hei"/>
        <family val="2"/>
      </rPr>
      <t xml:space="preserve">스냅샷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월말 잔액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기준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기준으로 집계됩니다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</si>
  <si>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증감</t>
  </si>
  <si>
    <t xml:space="preserve">증감률</t>
  </si>
  <si>
    <t xml:space="preserve">총자산 대비</t>
  </si>
  <si>
    <t xml:space="preserve">   현금성</t>
  </si>
  <si>
    <t xml:space="preserve">   투자</t>
  </si>
  <si>
    <t xml:space="preserve">   연금</t>
  </si>
  <si>
    <t xml:space="preserve">   부동산</t>
  </si>
  <si>
    <t xml:space="preserve">   기타자산</t>
  </si>
  <si>
    <t xml:space="preserve">자산 총계</t>
  </si>
  <si>
    <t xml:space="preserve">부채 총계</t>
  </si>
  <si>
    <r>
      <rPr>
        <b val="true"/>
        <sz val="10"/>
        <rFont val="WenQuanYi Zen Hei"/>
        <family val="2"/>
      </rPr>
      <t xml:space="preserve">순자산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자산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부채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</si>
  <si>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가용 순자산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부동산 제외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</si>
  <si>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투자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연금 자산</t>
    </r>
  </si>
  <si>
    <r>
      <rPr>
        <sz val="10"/>
        <rFont val="WenQuanYi Zen Hei"/>
        <family val="2"/>
      </rPr>
      <t xml:space="preserve">부채비율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</si>
  <si>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비상자금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즉시 인출 가능 현금성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</si>
  <si>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즉시 가용현금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비상자금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즉시 부채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</si>
  <si>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2A44"/>
        <rFont val="WenQuanYi Zen Hei"/>
        <family val="2"/>
      </rPr>
      <t xml:space="preserve">유동성별 자산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</si>
  <si>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   즉시</t>
  </si>
  <si>
    <r>
      <rPr>
        <sz val="10"/>
        <rFont val="맑은 고딕"/>
        <family val="0"/>
        <charset val="1"/>
      </rPr>
      <t xml:space="preserve">   1</t>
    </r>
    <r>
      <rPr>
        <sz val="10"/>
        <rFont val="WenQuanYi Zen Hei"/>
        <family val="2"/>
      </rPr>
      <t xml:space="preserve">년내</t>
    </r>
  </si>
  <si>
    <t xml:space="preserve">   장기</t>
  </si>
  <si>
    <r>
      <rPr>
        <b val="true"/>
        <sz val="11"/>
        <color rgb="FF1F2A44"/>
        <rFont val="WenQuanYi Zen Hei"/>
        <family val="2"/>
      </rPr>
      <t xml:space="preserve">구성원별 현황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보기 선택과 무관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</si>
  <si>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투자</t>
    </r>
    <r>
      <rPr>
        <b val="true"/>
        <sz val="10"/>
        <color rgb="FFFFFFFF"/>
        <rFont val="맑은 고딕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연금</t>
    </r>
  </si>
  <si>
    <r>
      <rPr>
        <b val="true"/>
        <sz val="11"/>
        <color rgb="FF1F2A44"/>
        <rFont val="WenQuanYi Zen Hei"/>
        <family val="2"/>
      </rPr>
      <t xml:space="preserve">순자산 추이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최근 </t>
    </r>
    <r>
      <rPr>
        <b val="true"/>
        <sz val="11"/>
        <color rgb="FF1F2A44"/>
        <rFont val="맑은 고딕"/>
        <family val="0"/>
        <charset val="1"/>
      </rPr>
      <t xml:space="preserve">12</t>
    </r>
    <r>
      <rPr>
        <b val="true"/>
        <sz val="11"/>
        <color rgb="FF1F2A44"/>
        <rFont val="WenQuanYi Zen Hei"/>
        <family val="2"/>
      </rPr>
      <t xml:space="preserve">개월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보기 기준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</si>
  <si>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총자산</t>
  </si>
  <si>
    <t xml:space="preserve">총부채</t>
  </si>
  <si>
    <r>
      <rPr>
        <b val="true"/>
        <sz val="11"/>
        <color rgb="FF1F2A44"/>
        <rFont val="WenQuanYi Zen Hei"/>
        <family val="2"/>
      </rPr>
      <t xml:space="preserve">계좌별 잔액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전체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</si>
  <si>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기준월</t>
  </si>
  <si>
    <t xml:space="preserve">전월</t>
  </si>
  <si>
    <r>
      <rPr>
        <b val="true"/>
        <sz val="16"/>
        <color rgb="FF1F2A44"/>
        <rFont val="WenQuanYi Zen Hei"/>
        <family val="2"/>
      </rPr>
      <t xml:space="preserve">💧 현금흐름 예측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향후 </t>
    </r>
    <r>
      <rPr>
        <b val="true"/>
        <sz val="16"/>
        <color rgb="FF1F2A44"/>
        <rFont val="맑은 고딕"/>
        <family val="0"/>
        <charset val="1"/>
      </rPr>
      <t xml:space="preserve">6</t>
    </r>
    <r>
      <rPr>
        <b val="true"/>
        <sz val="16"/>
        <color rgb="FF1F2A44"/>
        <rFont val="WenQuanYi Zen Hei"/>
        <family val="2"/>
      </rPr>
      <t xml:space="preserve">개월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</si>
  <si>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정기 유입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유출은 손익 평균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비정기 항목은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일정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시트의 유입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유출을 반영합니다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</si>
  <si>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가정</t>
  </si>
  <si>
    <r>
      <rPr>
        <sz val="10"/>
        <rFont val="WenQuanYi Zen Hei"/>
        <family val="2"/>
      </rPr>
      <t xml:space="preserve">기초 가용현금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기준월 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즉시 현금성 − 즉시 부채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</si>
  <si>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정기 유입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급여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이자배당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부수입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</si>
  <si>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정기 유출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고정비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변동비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</si>
  <si>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자본이동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원금상환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</si>
  <si>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최소 유지잔고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)</t>
    </r>
  </si>
  <si>
    <t xml:space="preserve">정기 유입</t>
  </si>
  <si>
    <t xml:space="preserve">일정 유입</t>
  </si>
  <si>
    <t xml:space="preserve">정기 유출</t>
  </si>
  <si>
    <t xml:space="preserve">자본이동</t>
  </si>
  <si>
    <t xml:space="preserve">일정 유출</t>
  </si>
  <si>
    <t xml:space="preserve">순현금흐름</t>
  </si>
  <si>
    <t xml:space="preserve">예상 잔고</t>
  </si>
  <si>
    <t xml:space="preserve">⚙ 설정</t>
  </si>
  <si>
    <t xml:space="preserve">값</t>
  </si>
  <si>
    <t xml:space="preserve">설명</t>
  </si>
  <si>
    <t xml:space="preserve">계좌유형</t>
  </si>
  <si>
    <t xml:space="preserve">예산기준</t>
  </si>
  <si>
    <t xml:space="preserve">일정구분</t>
  </si>
  <si>
    <t xml:space="preserve">소유</t>
  </si>
  <si>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C4</t>
    </r>
    <r>
      <rPr>
        <i val="true"/>
        <sz val="9"/>
        <color rgb="FF666666"/>
        <rFont val="WenQuanYi Zen Hei"/>
        <family val="2"/>
      </rPr>
      <t xml:space="preserve">에서 입력 </t>
    </r>
    <r>
      <rPr>
        <i val="true"/>
        <sz val="9"/>
        <color rgb="FF666666"/>
        <rFont val="맑은 고딕"/>
        <family val="0"/>
        <charset val="1"/>
      </rPr>
      <t xml:space="preserve">(yyyy-mm)</t>
    </r>
  </si>
  <si>
    <t xml:space="preserve">즉시</t>
  </si>
  <si>
    <t xml:space="preserve">유입</t>
  </si>
  <si>
    <t xml:space="preserve">보기 구성원</t>
  </si>
  <si>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E4</t>
    </r>
    <r>
      <rPr>
        <i val="true"/>
        <sz val="9"/>
        <color rgb="FF666666"/>
        <rFont val="WenQuanYi Zen Hei"/>
        <family val="2"/>
      </rPr>
      <t xml:space="preserve">에서 선택</t>
    </r>
  </si>
  <si>
    <t xml:space="preserve">투자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</si>
  <si>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년내</t>
    </r>
  </si>
  <si>
    <t xml:space="preserve">유출</t>
  </si>
  <si>
    <t xml:space="preserve">조회 조건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</si>
  <si>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전체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모든 구성원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</si>
  <si>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연금</t>
  </si>
  <si>
    <t xml:space="preserve">장기</t>
  </si>
  <si>
    <t xml:space="preserve">내부 계산용</t>
  </si>
  <si>
    <t xml:space="preserve">부동산</t>
  </si>
  <si>
    <t xml:space="preserve">기준월 번호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</si>
  <si>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예</t>
    </r>
    <r>
      <rPr>
        <i val="true"/>
        <sz val="9"/>
        <color rgb="FF666666"/>
        <rFont val="맑은 고딕"/>
        <family val="0"/>
        <charset val="1"/>
      </rPr>
      <t xml:space="preserve">: 202609)</t>
    </r>
  </si>
  <si>
    <t xml:space="preserve">기타자산</t>
  </si>
  <si>
    <t xml:space="preserve">연초 번호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</si>
  <si>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예</t>
    </r>
    <r>
      <rPr>
        <i val="true"/>
        <sz val="9"/>
        <color rgb="FF666666"/>
        <rFont val="맑은 고딕"/>
        <family val="0"/>
        <charset val="1"/>
      </rPr>
      <t xml:space="preserve">: 202601)</t>
    </r>
  </si>
  <si>
    <r>
      <rPr>
        <sz val="10"/>
        <rFont val="WenQuanYi Zen Hei"/>
        <family val="2"/>
      </rPr>
      <t xml:space="preserve">기준월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</si>
  <si>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비정기비 연간 예산 안분용</t>
  </si>
  <si>
    <r>
      <rPr>
        <i val="true"/>
        <sz val="9"/>
        <color rgb="FF666666"/>
        <rFont val="WenQuanYi Zen Hei"/>
        <family val="2"/>
      </rPr>
      <t xml:space="preserve">일정 </t>
    </r>
    <r>
      <rPr>
        <i val="true"/>
        <sz val="9"/>
        <color rgb="FF666666"/>
        <rFont val="맑은 고딕"/>
        <family val="0"/>
        <charset val="1"/>
      </rPr>
      <t xml:space="preserve">D-day·</t>
    </r>
    <r>
      <rPr>
        <i val="true"/>
        <sz val="9"/>
        <color rgb="FF666666"/>
        <rFont val="WenQuanYi Zen Hei"/>
        <family val="2"/>
      </rPr>
      <t xml:space="preserve">목표 계획 진척률 계산</t>
    </r>
  </si>
  <si>
    <r>
      <rPr>
        <b val="true"/>
        <sz val="11"/>
        <color rgb="FF1F2A44"/>
        <rFont val="WenQuanYi Zen Hei"/>
        <family val="2"/>
      </rPr>
      <t xml:space="preserve">경영 목표 </t>
    </r>
    <r>
      <rPr>
        <b val="true"/>
        <sz val="11"/>
        <color rgb="FF1F2A44"/>
        <rFont val="맑은 고딕"/>
        <family val="0"/>
        <charset val="1"/>
      </rPr>
      <t xml:space="preserve">(KPI </t>
    </r>
    <r>
      <rPr>
        <b val="true"/>
        <sz val="11"/>
        <color rgb="FF1F2A44"/>
        <rFont val="WenQuanYi Zen Hei"/>
        <family val="2"/>
      </rPr>
      <t xml:space="preserve">기준값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</si>
  <si>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목표 저축률</t>
  </si>
  <si>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-</t>
    </r>
    <r>
      <rPr>
        <i val="true"/>
        <sz val="9"/>
        <color rgb="FF666666"/>
        <rFont val="WenQuanYi Zen Hei"/>
        <family val="2"/>
      </rPr>
      <t xml:space="preserve">소비지출</t>
    </r>
    <r>
      <rPr>
        <i val="true"/>
        <sz val="9"/>
        <color rgb="FF666666"/>
        <rFont val="맑은 고딕"/>
        <family val="0"/>
        <charset val="1"/>
      </rPr>
      <t xml:space="preserve">)/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일반적 권장 </t>
    </r>
    <r>
      <rPr>
        <i val="true"/>
        <sz val="9"/>
        <color rgb="FF666666"/>
        <rFont val="맑은 고딕"/>
        <family val="0"/>
        <charset val="1"/>
      </rPr>
      <t xml:space="preserve">30% </t>
    </r>
    <r>
      <rPr>
        <i val="true"/>
        <sz val="9"/>
        <color rgb="FF666666"/>
        <rFont val="WenQuanYi Zen Hei"/>
        <family val="2"/>
      </rPr>
      <t xml:space="preserve">이상</t>
    </r>
  </si>
  <si>
    <r>
      <rPr>
        <sz val="10"/>
        <rFont val="WenQuanYi Zen Hei"/>
        <family val="2"/>
      </rPr>
      <t xml:space="preserve">비상자금 목표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</si>
  <si>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t xml:space="preserve">필수지출 몇 개월분을 즉시 현금으로 보유할지</t>
  </si>
  <si>
    <t xml:space="preserve">부채비율 상한</t>
  </si>
  <si>
    <r>
      <rPr>
        <i val="true"/>
        <sz val="9"/>
        <color rgb="FF666666"/>
        <rFont val="WenQuanYi Zen Hei"/>
        <family val="2"/>
      </rPr>
      <t xml:space="preserve">총부채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총자산</t>
    </r>
  </si>
  <si>
    <r>
      <rPr>
        <sz val="10"/>
        <rFont val="맑은 고딕"/>
        <family val="0"/>
        <charset val="1"/>
      </rPr>
      <t xml:space="preserve">DSR </t>
    </r>
    <r>
      <rPr>
        <sz val="10"/>
        <rFont val="WenQuanYi Zen Hei"/>
        <family val="2"/>
      </rPr>
      <t xml:space="preserve">상한</t>
    </r>
  </si>
  <si>
    <r>
      <rPr>
        <i val="true"/>
        <sz val="9"/>
        <color rgb="FF666666"/>
        <rFont val="WenQuanYi Zen Hei"/>
        <family val="2"/>
      </rPr>
      <t xml:space="preserve">연간 원리금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연소득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가정 자체 목표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</si>
  <si>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리밸런싱 밴드</t>
  </si>
  <si>
    <r>
      <rPr>
        <i val="true"/>
        <sz val="9"/>
        <color rgb="FF666666"/>
        <rFont val="WenQuanYi Zen Hei"/>
        <family val="2"/>
      </rPr>
      <t xml:space="preserve">목표 비중에서 </t>
    </r>
    <r>
      <rPr>
        <i val="true"/>
        <sz val="9"/>
        <color rgb="FF666666"/>
        <rFont val="맑은 고딕"/>
        <family val="0"/>
        <charset val="1"/>
      </rPr>
      <t xml:space="preserve">±</t>
    </r>
    <r>
      <rPr>
        <i val="true"/>
        <sz val="9"/>
        <color rgb="FF666666"/>
        <rFont val="WenQuanYi Zen Hei"/>
        <family val="2"/>
      </rPr>
      <t xml:space="preserve">이 값 이상 벗어나면 알림</t>
    </r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</si>
  <si>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가계 합계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</si>
  <si>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투자이체</t>
    </r>
    <r>
      <rPr>
        <i val="true"/>
        <sz val="9"/>
        <color rgb="FF666666"/>
        <rFont val="맑은 고딕"/>
        <family val="0"/>
        <charset val="1"/>
      </rPr>
      <t xml:space="preserve">+</t>
    </r>
    <r>
      <rPr>
        <i val="true"/>
        <sz val="9"/>
        <color rgb="FF666666"/>
        <rFont val="WenQuanYi Zen Hei"/>
        <family val="2"/>
      </rPr>
      <t xml:space="preserve">연금납입 합계 목표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아래 구성원별 목표의 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투자금 확대 핵심 지표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</si>
  <si>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최소 유지잔고</t>
  </si>
  <si>
    <t xml:space="preserve">예상 가용현금이 이 아래로 내려가면 경고</t>
  </si>
  <si>
    <t xml:space="preserve">일정 알림 일수</t>
  </si>
  <si>
    <t xml:space="preserve">며칠 전부터 일정을 알릴지</t>
  </si>
  <si>
    <t xml:space="preserve">목표 지연 허용폭</t>
  </si>
  <si>
    <r>
      <rPr>
        <i val="true"/>
        <sz val="9"/>
        <color rgb="FF666666"/>
        <rFont val="WenQuanYi Zen Hei"/>
        <family val="2"/>
      </rPr>
      <t xml:space="preserve">계획 진척률보다 이만큼 뒤처지면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지연</t>
    </r>
    <r>
      <rPr>
        <i val="true"/>
        <sz val="9"/>
        <color rgb="FF666666"/>
        <rFont val="맑은 고딕"/>
        <family val="0"/>
        <charset val="1"/>
      </rPr>
      <t xml:space="preserve">'</t>
    </r>
  </si>
  <si>
    <r>
      <rPr>
        <b val="true"/>
        <sz val="11"/>
        <color rgb="FF1F2A44"/>
        <rFont val="WenQuanYi Zen Hei"/>
        <family val="2"/>
      </rPr>
      <t xml:space="preserve">절세 계좌 연간 한도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세법 개정 시 수정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</si>
  <si>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연금계좌 세액공제 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합산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</si>
  <si>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연금저축</t>
    </r>
    <r>
      <rPr>
        <i val="true"/>
        <sz val="9"/>
        <color rgb="FF666666"/>
        <rFont val="맑은 고딕"/>
        <family val="0"/>
        <charset val="1"/>
      </rPr>
      <t xml:space="preserve">+IRP </t>
    </r>
    <r>
      <rPr>
        <i val="true"/>
        <sz val="9"/>
        <color rgb="FF666666"/>
        <rFont val="WenQuanYi Zen Hei"/>
        <family val="2"/>
      </rPr>
      <t xml:space="preserve">합산 세액공제 대상 한도</t>
    </r>
  </si>
  <si>
    <t xml:space="preserve">연금저축 세액공제 한도</t>
  </si>
  <si>
    <t xml:space="preserve">연금저축 단독 한도</t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</si>
  <si>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연간 납입한도</t>
    </r>
  </si>
  <si>
    <r>
      <rPr>
        <i val="true"/>
        <sz val="9"/>
        <color rgb="FF666666"/>
        <rFont val="맑은 고딕"/>
        <family val="0"/>
        <charset val="1"/>
      </rPr>
      <t xml:space="preserve">ISA </t>
    </r>
    <r>
      <rPr>
        <i val="true"/>
        <sz val="9"/>
        <color rgb="FF666666"/>
        <rFont val="WenQuanYi Zen Hei"/>
        <family val="2"/>
      </rPr>
      <t xml:space="preserve">연간 납입 한도</t>
    </r>
  </si>
  <si>
    <r>
      <rPr>
        <b val="true"/>
        <sz val="11"/>
        <color rgb="FF1F2A44"/>
        <rFont val="WenQuanYi Zen Hei"/>
        <family val="2"/>
      </rPr>
      <t xml:space="preserve">구성원별 월 투자 납입 목표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부부가 각자 책임지는 몫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</si>
  <si>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본인</t>
    </r>
  </si>
  <si>
    <t xml:space="preserve">본인 보기에서 비교하는 목표</t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</si>
  <si>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배우자</t>
    </r>
  </si>
  <si>
    <t xml:space="preserve">배우자 보기에서 비교하는 목표</t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</si>
  <si>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공동</t>
    </r>
  </si>
  <si>
    <t xml:space="preserve">공동 보기에서 비교하는 목표</t>
  </si>
  <si>
    <t xml:space="preserve">현재 보기의 투자 목표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</si>
  <si>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대시보드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투자 시트가 이 값과 비교</t>
    </r>
  </si>
  <si>
    <r>
      <rPr>
        <b val="true"/>
        <sz val="10"/>
        <color rgb="FFFFFFFF"/>
        <rFont val="WenQuanYi Zen Hei"/>
        <family val="2"/>
      </rPr>
      <t xml:space="preserve">필수지출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</si>
  <si>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급여</t>
  </si>
  <si>
    <t xml:space="preserve">소득</t>
  </si>
  <si>
    <t xml:space="preserve">N</t>
  </si>
  <si>
    <t xml:space="preserve">상여</t>
  </si>
  <si>
    <t xml:space="preserve">이자배당</t>
  </si>
  <si>
    <t xml:space="preserve">부수입</t>
  </si>
  <si>
    <t xml:space="preserve">고정비</t>
  </si>
  <si>
    <t xml:space="preserve">Y</t>
  </si>
  <si>
    <t xml:space="preserve">변동비</t>
  </si>
  <si>
    <t xml:space="preserve">비정기비</t>
  </si>
  <si>
    <t xml:space="preserve">연간 예산으로 관리</t>
  </si>
  <si>
    <t xml:space="preserve">투자이체</t>
  </si>
  <si>
    <r>
      <rPr>
        <i val="true"/>
        <sz val="9"/>
        <color rgb="FF666666"/>
        <rFont val="WenQuanYi Zen Hei"/>
        <family val="2"/>
      </rPr>
      <t xml:space="preserve">소비 아님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자산 간 이동</t>
    </r>
  </si>
  <si>
    <t xml:space="preserve">연금납입</t>
  </si>
  <si>
    <t xml:space="preserve">저축이체</t>
  </si>
  <si>
    <t xml:space="preserve">대출원금상환</t>
  </si>
  <si>
    <r>
      <rPr>
        <b val="true"/>
        <sz val="10"/>
        <color rgb="FFFFFFFF"/>
        <rFont val="WenQuanYi Zen Hei"/>
        <family val="2"/>
      </rPr>
      <t xml:space="preserve">키워드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내용에 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</si>
  <si>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맑은 고딕"/>
        <family val="0"/>
        <charset val="1"/>
      </rPr>
      <t xml:space="preserve">CSV </t>
    </r>
    <r>
      <rPr>
        <i val="true"/>
        <sz val="9"/>
        <color rgb="FF666666"/>
        <rFont val="WenQuanYi Zen Hei"/>
        <family val="2"/>
      </rPr>
      <t xml:space="preserve">가져오기 시 위에서부터 먼저 맞는 규칙으로 자동 분류됩니다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대소문자 무시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</si>
  <si>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성과급</t>
  </si>
  <si>
    <t xml:space="preserve">대출 이자</t>
  </si>
  <si>
    <t xml:space="preserve">배당</t>
  </si>
  <si>
    <t xml:space="preserve">이자</t>
  </si>
  <si>
    <t xml:space="preserve">강의료</t>
  </si>
  <si>
    <t xml:space="preserve">관리비</t>
  </si>
  <si>
    <t xml:space="preserve">어린이보험</t>
  </si>
  <si>
    <t xml:space="preserve">SKT</t>
  </si>
  <si>
    <r>
      <rPr>
        <sz val="10"/>
        <color rgb="FF0000FF"/>
        <rFont val="맑은 고딕"/>
        <family val="0"/>
        <charset val="1"/>
      </rPr>
      <t xml:space="preserve">KT </t>
    </r>
    <r>
      <rPr>
        <sz val="10"/>
        <color rgb="FF0000FF"/>
        <rFont val="WenQuanYi Zen Hei"/>
        <family val="2"/>
      </rPr>
      <t xml:space="preserve">통신</t>
    </r>
  </si>
  <si>
    <t xml:space="preserve">LG U+</t>
  </si>
  <si>
    <t xml:space="preserve">인터넷</t>
  </si>
  <si>
    <t xml:space="preserve">학원</t>
  </si>
  <si>
    <t xml:space="preserve">학습지</t>
  </si>
  <si>
    <t xml:space="preserve">넷플릭스</t>
  </si>
  <si>
    <t xml:space="preserve">유튜브</t>
  </si>
  <si>
    <t xml:space="preserve">쿠팡와우</t>
  </si>
  <si>
    <t xml:space="preserve">멜론</t>
  </si>
  <si>
    <t xml:space="preserve">이마트</t>
  </si>
  <si>
    <t xml:space="preserve">홈플러스</t>
  </si>
  <si>
    <t xml:space="preserve">롯데마트</t>
  </si>
  <si>
    <t xml:space="preserve">마켓컬리</t>
  </si>
  <si>
    <t xml:space="preserve">로켓프레시</t>
  </si>
  <si>
    <t xml:space="preserve">동네마트</t>
  </si>
  <si>
    <t xml:space="preserve">하나로마트</t>
  </si>
  <si>
    <t xml:space="preserve">배달의민족</t>
  </si>
  <si>
    <t xml:space="preserve">요기요</t>
  </si>
  <si>
    <t xml:space="preserve">쿠팡이츠</t>
  </si>
  <si>
    <t xml:space="preserve">스타벅스</t>
  </si>
  <si>
    <t xml:space="preserve">식당</t>
  </si>
  <si>
    <t xml:space="preserve">카페</t>
  </si>
  <si>
    <t xml:space="preserve">다이소</t>
  </si>
  <si>
    <t xml:space="preserve">쿠팡</t>
  </si>
  <si>
    <t xml:space="preserve">주유</t>
  </si>
  <si>
    <t xml:space="preserve">칼텍스</t>
  </si>
  <si>
    <r>
      <rPr>
        <sz val="10"/>
        <color rgb="FF0000FF"/>
        <rFont val="WenQuanYi Zen Hei"/>
        <family val="2"/>
      </rPr>
      <t xml:space="preserve">카카오</t>
    </r>
    <r>
      <rPr>
        <sz val="10"/>
        <color rgb="FF0000FF"/>
        <rFont val="맑은 고딕"/>
        <family val="0"/>
        <charset val="1"/>
      </rPr>
      <t xml:space="preserve">T</t>
    </r>
  </si>
  <si>
    <t xml:space="preserve">티머니</t>
  </si>
  <si>
    <t xml:space="preserve">하이패스</t>
  </si>
  <si>
    <t xml:space="preserve">무신사</t>
  </si>
  <si>
    <t xml:space="preserve">백화점</t>
  </si>
  <si>
    <t xml:space="preserve">올리브영</t>
  </si>
  <si>
    <t xml:space="preserve">병원</t>
  </si>
  <si>
    <t xml:space="preserve">의원</t>
  </si>
  <si>
    <t xml:space="preserve">소아과</t>
  </si>
  <si>
    <t xml:space="preserve">약국</t>
  </si>
  <si>
    <t xml:space="preserve">CGV</t>
  </si>
  <si>
    <t xml:space="preserve">메가박스</t>
  </si>
  <si>
    <t xml:space="preserve">교보문고</t>
  </si>
  <si>
    <t xml:space="preserve">골프</t>
  </si>
  <si>
    <t xml:space="preserve">축의금</t>
  </si>
  <si>
    <t xml:space="preserve">조의금</t>
  </si>
  <si>
    <t xml:space="preserve">항공</t>
  </si>
  <si>
    <t xml:space="preserve">호텔</t>
  </si>
  <si>
    <t xml:space="preserve">자동차세</t>
  </si>
  <si>
    <t xml:space="preserve">재산세</t>
  </si>
  <si>
    <t xml:space="preserve">지방세</t>
  </si>
  <si>
    <t xml:space="preserve">추석</t>
  </si>
  <si>
    <t xml:space="preserve">설날</t>
  </si>
  <si>
    <t xml:space="preserve">IRP</t>
  </si>
  <si>
    <t xml:space="preserve">증권</t>
  </si>
  <si>
    <t xml:space="preserve">적금</t>
  </si>
  <si>
    <t xml:space="preserve">청약</t>
  </si>
  <si>
    <t xml:space="preserve">원금상환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</si>
</sst>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@"/>
    <numFmt numFmtId="166" formatCode="yyyy\-mm\-dd"/>
    <numFmt numFmtId="167" formatCode="#,##0;[RED]\-#,##0;\-"/>
    <numFmt numFmtId="168" formatCode="0.0%;[RED]\-0.0%;\-"/>
    <numFmt numFmtId="169" formatCode="0.0&quot;개월&quot;"/>
    <numFmt numFmtId="170" formatCode="General"/>
    <numFmt numFmtId="171" formatCode="#,##0,,&quot;백만&quot;"/>
    <numFmt numFmtId="172" formatCode="#,##0,\천"/>
    <numFmt numFmtId="173" formatCode="0%"/>
    <numFmt numFmtId="174" formatCode="0.00%"/>
    <numFmt numFmtId="175" formatCode="0&quot;개월&quot;"/>
    <numFmt numFmtId="176" formatCode="0&quot;순위&quot;"/>
    <numFmt numFmtId="177" formatCode="0\건"/>
    <numFmt numFmtId="178" formatCode="&quot;D-&quot;0;&quot;D+&quot;0;&quot;D-day&quot;"/>
    <numFmt numFmtId="179" formatCode="0"/>
    <numFmt numFmtId="180" formatCode="0\일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WenQuanYi Zen Hei"/>
      <family val="2"/>
    </font>
    <font>
      <b val="true"/>
      <sz val="20"/>
      <color rgb="FF1F2A44"/>
      <name val="맑은 고딕"/>
      <family val="0"/>
      <charset val="1"/>
    </font>
    <font>
      <i val="true"/>
      <sz val="9"/>
      <color rgb="FF666666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1"/>
      <color rgb="FF0000FF"/>
      <name val="맑은 고딕"/>
      <family val="0"/>
      <charset val="1"/>
    </font>
    <font>
      <b val="true"/>
      <sz val="11"/>
      <color rgb="FF0000FF"/>
      <name val="WenQuanYi Zen Hei"/>
      <family val="2"/>
    </font>
    <font>
      <sz val="10"/>
      <name val="맑은 고딕"/>
      <family val="0"/>
      <charset val="1"/>
    </font>
    <font>
      <b val="true"/>
      <sz val="10"/>
      <color rgb="FF475467"/>
      <name val="WenQuanYi Zen Hei"/>
      <family val="2"/>
    </font>
    <font>
      <b val="true"/>
      <sz val="10"/>
      <color rgb="FF475467"/>
      <name val="맑은 고딕"/>
      <family val="0"/>
      <charset val="1"/>
    </font>
    <font>
      <b val="true"/>
      <sz val="17"/>
      <color rgb="FF1F2A44"/>
      <name val="맑은 고딕"/>
      <family val="0"/>
      <charset val="1"/>
    </font>
    <font>
      <sz val="8"/>
      <color rgb="FF667085"/>
      <name val="WenQuanYi Zen Hei"/>
      <family val="2"/>
    </font>
    <font>
      <b val="true"/>
      <sz val="9"/>
      <name val="WenQuanYi Zen Hei"/>
      <family val="2"/>
    </font>
    <font>
      <b val="true"/>
      <sz val="9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9"/>
      <name val="WenQuanYi Zen Hei"/>
      <family val="2"/>
    </font>
    <font>
      <sz val="1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A44"/>
      <name val="WenQuanYi Zen Hei"/>
      <family val="2"/>
    </font>
    <font>
      <b val="true"/>
      <sz val="16"/>
      <color rgb="FF1F2A44"/>
      <name val="맑은 고딕"/>
      <family val="0"/>
      <charset val="1"/>
    </font>
    <font>
      <i val="true"/>
      <sz val="9"/>
      <color rgb="FF666666"/>
      <name val="맑은 고딕"/>
      <family val="0"/>
      <charset val="1"/>
    </font>
    <font>
      <b val="true"/>
      <sz val="11"/>
      <color rgb="FF1F2A44"/>
      <name val="WenQuanYi Zen Hei"/>
      <family val="2"/>
    </font>
    <font>
      <b val="true"/>
      <sz val="11"/>
      <color rgb="FF1F2A44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WenQuanYi Zen He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F9F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E8ECF4"/>
        <bgColor rgb="FFF2F2F2"/>
      </patternFill>
    </fill>
    <fill>
      <patternFill patternType="solid">
        <fgColor rgb="FF2F5597"/>
        <bgColor rgb="FF475467"/>
      </patternFill>
    </fill>
    <fill>
      <patternFill patternType="solid">
        <fgColor rgb="FFF2F2F2"/>
        <bgColor rgb="FFF7F9F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 style="thin">
        <color rgb="FFD0D5DD"/>
      </right>
      <top/>
      <bottom/>
      <diagonal/>
    </border>
    <border diagonalUp="false" diagonalDown="false"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9B1C1C"/>
      </font>
      <fill>
        <patternFill>
          <bgColor rgb="FFFDE2E1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A4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C1C"/>
      <rgbColor rgb="FF166534"/>
      <rgbColor rgb="FF000080"/>
      <rgbColor rgb="FF548235"/>
      <rgbColor rgb="FF800080"/>
      <rgbColor rgb="FF666666"/>
      <rgbColor rgb="FFD9D9D9"/>
      <rgbColor rgb="FF7F7F7F"/>
      <rgbColor rgb="FF9999FF"/>
      <rgbColor rgb="FFBE4B48"/>
      <rgbColor rgb="FFFEF3C7"/>
      <rgbColor rgb="FFDCFC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F2F2F2"/>
      <rgbColor rgb="FFF7F9FC"/>
      <rgbColor rgb="FF99CCFF"/>
      <rgbColor rgb="FFFF99CC"/>
      <rgbColor rgb="FFCC99FF"/>
      <rgbColor rgb="FFFDE2E1"/>
      <rgbColor rgb="FF4A7EBB"/>
      <rgbColor rgb="FF33CCCC"/>
      <rgbColor rgb="FF9BBB59"/>
      <rgbColor rgb="FFFFCC00"/>
      <rgbColor rgb="FFBF8F00"/>
      <rgbColor rgb="FFFF6600"/>
      <rgbColor rgb="FF667085"/>
      <rgbColor rgb="FF878787"/>
      <rgbColor rgb="FF003366"/>
      <rgbColor rgb="FF4F81BD"/>
      <rgbColor rgb="FF003300"/>
      <rgbColor rgb="FF475467"/>
      <rgbColor rgb="FF92400E"/>
      <rgbColor rgb="FFC0504D"/>
      <rgbColor rgb="FF2F559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순자산·투자자산 추이 (12개월)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재무상태표!D30</c:f>
              <c:strCache>
                <c:ptCount val="1"/>
                <c:pt idx="0">
                  <c:v>순자산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재무상태표!$A$31:$A$42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재무상태표!$D$31:$D$42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재무상태표!E30</c:f>
              <c:strCache>
                <c:ptCount val="1"/>
                <c:pt idx="0">
                  <c:v>투자+연금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재무상태표!$A$31:$A$42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재무상태표!$E$31:$E$42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076308"/>
        <c:axId val="74543385"/>
      </c:lineChart>
      <c:catAx>
        <c:axId val="61076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43385"/>
        <c:crosses val="autoZero"/>
        <c:auto val="1"/>
        <c:lblAlgn val="ctr"/>
        <c:lblOffset val="100"/>
        <c:noMultiLvlLbl val="0"/>
      </c:catAx>
      <c:valAx>
        <c:axId val="74543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76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소득 · 소비 · 투자 납입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손익!A9</c:f>
              <c:strCache>
                <c:ptCount val="1"/>
                <c:pt idx="0">
                  <c:v>소득 합계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손익!$B$9:$M$9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손익!A35</c:f>
              <c:strCache>
                <c:ptCount val="1"/>
                <c:pt idx="0">
                  <c:v>소비지출 합계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손익!$B$35:$M$35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손익!A45</c:f>
              <c:strCache>
                <c:ptCount val="1"/>
                <c:pt idx="0">
                  <c:v>투자 납입액 (투자+연금)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손익!$B$45:$M$45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5872045"/>
        <c:axId val="30732915"/>
      </c:barChart>
      <c:catAx>
        <c:axId val="85872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32915"/>
        <c:crosses val="autoZero"/>
        <c:auto val="1"/>
        <c:lblAlgn val="ctr"/>
        <c:lblOffset val="100"/>
        <c:noMultiLvlLbl val="0"/>
      </c:catAx>
      <c:valAx>
        <c:axId val="30732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72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이번 달 예산 vs 실적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예산!E3</c:f>
              <c:strCache>
                <c:ptCount val="1"/>
                <c:pt idx="0">
                  <c:v>경과 예산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예산!$A$4:$A$17</c:f>
              <c:strCache>
                <c:ptCount val="14"/>
                <c:pt idx="0">
                  <c:v>주거관리비</c:v>
                </c:pt>
                <c:pt idx="1">
                  <c:v>대출이자</c:v>
                </c:pt>
                <c:pt idx="2">
                  <c:v>보험료</c:v>
                </c:pt>
                <c:pt idx="3">
                  <c:v>통신비</c:v>
                </c:pt>
                <c:pt idx="4">
                  <c:v>교육비</c:v>
                </c:pt>
                <c:pt idx="5">
                  <c:v>구독료</c:v>
                </c:pt>
                <c:pt idx="6">
                  <c:v>식비</c:v>
                </c:pt>
                <c:pt idx="7">
                  <c:v>외식</c:v>
                </c:pt>
                <c:pt idx="8">
                  <c:v>생활용품</c:v>
                </c:pt>
                <c:pt idx="9">
                  <c:v>교통</c:v>
                </c:pt>
                <c:pt idx="10">
                  <c:v>쇼핑</c:v>
                </c:pt>
                <c:pt idx="11">
                  <c:v>의료</c:v>
                </c:pt>
                <c:pt idx="12">
                  <c:v>여가</c:v>
                </c:pt>
                <c:pt idx="13">
                  <c:v>용돈</c:v>
                </c:pt>
              </c:strCache>
            </c:strRef>
          </c:cat>
          <c:val>
            <c:numRef>
              <c:f>예산!$E$4:$E$17</c:f>
              <c:numCache>
                <c:formatCode>#,##0;[RED]\-#,##0;\-</c:formatCode>
                <c:ptCount val="14"/>
                <c:pt idx="0">
                  <c:v>320000</c:v>
                </c:pt>
                <c:pt idx="1">
                  <c:v>1100000</c:v>
                </c:pt>
                <c:pt idx="2">
                  <c:v>400000</c:v>
                </c:pt>
                <c:pt idx="3">
                  <c:v>160000</c:v>
                </c:pt>
                <c:pt idx="4">
                  <c:v>550000</c:v>
                </c:pt>
                <c:pt idx="5">
                  <c:v>50000</c:v>
                </c:pt>
                <c:pt idx="6">
                  <c:v>900000</c:v>
                </c:pt>
                <c:pt idx="7">
                  <c:v>400000</c:v>
                </c:pt>
                <c:pt idx="8">
                  <c:v>250000</c:v>
                </c:pt>
                <c:pt idx="9">
                  <c:v>330000</c:v>
                </c:pt>
                <c:pt idx="10">
                  <c:v>300000</c:v>
                </c:pt>
                <c:pt idx="11">
                  <c:v>120000</c:v>
                </c:pt>
                <c:pt idx="12">
                  <c:v>200000</c:v>
                </c:pt>
                <c:pt idx="13">
                  <c:v>600000</c:v>
                </c:pt>
              </c:numCache>
            </c:numRef>
          </c:val>
        </c:ser>
        <c:ser>
          <c:idx val="1"/>
          <c:order val="1"/>
          <c:tx>
            <c:strRef>
              <c:f>예산!F3</c:f>
              <c:strCache>
                <c:ptCount val="1"/>
                <c:pt idx="0">
                  <c:v>실적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예산!$A$4:$A$17</c:f>
              <c:strCache>
                <c:ptCount val="14"/>
                <c:pt idx="0">
                  <c:v>주거관리비</c:v>
                </c:pt>
                <c:pt idx="1">
                  <c:v>대출이자</c:v>
                </c:pt>
                <c:pt idx="2">
                  <c:v>보험료</c:v>
                </c:pt>
                <c:pt idx="3">
                  <c:v>통신비</c:v>
                </c:pt>
                <c:pt idx="4">
                  <c:v>교육비</c:v>
                </c:pt>
                <c:pt idx="5">
                  <c:v>구독료</c:v>
                </c:pt>
                <c:pt idx="6">
                  <c:v>식비</c:v>
                </c:pt>
                <c:pt idx="7">
                  <c:v>외식</c:v>
                </c:pt>
                <c:pt idx="8">
                  <c:v>생활용품</c:v>
                </c:pt>
                <c:pt idx="9">
                  <c:v>교통</c:v>
                </c:pt>
                <c:pt idx="10">
                  <c:v>쇼핑</c:v>
                </c:pt>
                <c:pt idx="11">
                  <c:v>의료</c:v>
                </c:pt>
                <c:pt idx="12">
                  <c:v>여가</c:v>
                </c:pt>
                <c:pt idx="13">
                  <c:v>용돈</c:v>
                </c:pt>
              </c:strCache>
            </c:strRef>
          </c:cat>
          <c:val>
            <c:numRef>
              <c:f>예산!$F$4:$F$17</c:f>
              <c:numCache>
                <c:formatCode>#,##0;[RED]\-#,##0;\-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24455479"/>
        <c:axId val="5888192"/>
      </c:barChart>
      <c:catAx>
        <c:axId val="244554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8192"/>
        <c:crosses val="autoZero"/>
        <c:auto val="1"/>
        <c:lblAlgn val="ctr"/>
        <c:lblOffset val="100"/>
        <c:noMultiLvlLbl val="0"/>
      </c:catAx>
      <c:valAx>
        <c:axId val="588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천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55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자산배분: 목표 vs 현재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투자!B3</c:f>
              <c:strCache>
                <c:ptCount val="1"/>
                <c:pt idx="0">
                  <c:v>목표 비중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투자!$A$4:$A$8</c:f>
              <c:strCache>
                <c:ptCount val="5"/>
                <c:pt idx="0">
                  <c:v>국내주식</c:v>
                </c:pt>
                <c:pt idx="1">
                  <c:v>해외주식</c:v>
                </c:pt>
                <c:pt idx="2">
                  <c:v>채권</c:v>
                </c:pt>
                <c:pt idx="3">
                  <c:v>현금성</c:v>
                </c:pt>
                <c:pt idx="4">
                  <c:v>대체투자</c:v>
                </c:pt>
              </c:strCache>
            </c:strRef>
          </c:cat>
          <c:val>
            <c:numRef>
              <c:f>투자!$B$4:$B$8</c:f>
              <c:numCache>
                <c:formatCode>0.0%;[RED]\-0.0%;\-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</c:ser>
        <c:ser>
          <c:idx val="1"/>
          <c:order val="1"/>
          <c:tx>
            <c:strRef>
              <c:f>투자!D3</c:f>
              <c:strCache>
                <c:ptCount val="1"/>
                <c:pt idx="0">
                  <c:v>현재 비중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투자!$A$4:$A$8</c:f>
              <c:strCache>
                <c:ptCount val="5"/>
                <c:pt idx="0">
                  <c:v>국내주식</c:v>
                </c:pt>
                <c:pt idx="1">
                  <c:v>해외주식</c:v>
                </c:pt>
                <c:pt idx="2">
                  <c:v>채권</c:v>
                </c:pt>
                <c:pt idx="3">
                  <c:v>현금성</c:v>
                </c:pt>
                <c:pt idx="4">
                  <c:v>대체투자</c:v>
                </c:pt>
              </c:strCache>
            </c:strRef>
          </c:cat>
          <c:val>
            <c:numRef>
              <c:f>투자!$D$4:$D$8</c:f>
              <c:numCache>
                <c:formatCode>0.0%;[RED]\-0.0%;\-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8529319"/>
        <c:axId val="412568"/>
      </c:barChart>
      <c:catAx>
        <c:axId val="5852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568"/>
        <c:crosses val="autoZero"/>
        <c:auto val="1"/>
        <c:lblAlgn val="ctr"/>
        <c:lblOffset val="100"/>
        <c:noMultiLvlLbl val="0"/>
      </c:catAx>
      <c:valAx>
        <c:axId val="412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29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118440</xdr:rowOff>
    </xdr:from>
    <xdr:to>
      <xdr:col>5</xdr:col>
      <xdr:colOff>804600</xdr:colOff>
      <xdr:row>43</xdr:row>
      <xdr:rowOff>150840</xdr:rowOff>
    </xdr:to>
    <xdr:graphicFrame>
      <xdr:nvGraphicFramePr>
        <xdr:cNvPr id="0" name="Chart 1"/>
        <xdr:cNvGraphicFramePr/>
      </xdr:nvGraphicFramePr>
      <xdr:xfrm>
        <a:off x="141120" y="7991640"/>
        <a:ext cx="475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118440</xdr:rowOff>
    </xdr:from>
    <xdr:to>
      <xdr:col>15</xdr:col>
      <xdr:colOff>51840</xdr:colOff>
      <xdr:row>43</xdr:row>
      <xdr:rowOff>150840</xdr:rowOff>
    </xdr:to>
    <xdr:graphicFrame>
      <xdr:nvGraphicFramePr>
        <xdr:cNvPr id="1" name="Chart 2"/>
        <xdr:cNvGraphicFramePr/>
      </xdr:nvGraphicFramePr>
      <xdr:xfrm>
        <a:off x="6061680" y="7991640"/>
        <a:ext cx="475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118080</xdr:rowOff>
    </xdr:from>
    <xdr:to>
      <xdr:col>5</xdr:col>
      <xdr:colOff>804600</xdr:colOff>
      <xdr:row>63</xdr:row>
      <xdr:rowOff>108720</xdr:rowOff>
    </xdr:to>
    <xdr:graphicFrame>
      <xdr:nvGraphicFramePr>
        <xdr:cNvPr id="2" name="Chart 3"/>
        <xdr:cNvGraphicFramePr/>
      </xdr:nvGraphicFramePr>
      <xdr:xfrm>
        <a:off x="141120" y="11039400"/>
        <a:ext cx="4751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118080</xdr:rowOff>
    </xdr:from>
    <xdr:to>
      <xdr:col>15</xdr:col>
      <xdr:colOff>51840</xdr:colOff>
      <xdr:row>63</xdr:row>
      <xdr:rowOff>108720</xdr:rowOff>
    </xdr:to>
    <xdr:graphicFrame>
      <xdr:nvGraphicFramePr>
        <xdr:cNvPr id="3" name="Chart 4"/>
        <xdr:cNvGraphicFramePr/>
      </xdr:nvGraphicFramePr>
      <xdr:xfrm>
        <a:off x="6061680" y="11039400"/>
        <a:ext cx="4751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O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4"/>
    <col collapsed="false" customWidth="true" hidden="false" outlineLevel="0" max="12" min="12" style="0" width="2"/>
    <col collapsed="false" customWidth="true" hidden="true" outlineLevel="0" max="15" min="14" style="0" width="13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tr">
        <f aca="false">"기준월 "&amp;설정!$B$3&amp;" 결산  ·  보기: "&amp;설정!$B$4&amp;"  ·  금액 단위: 원"</f>
        <v>기준월 2026-09 결산  ·  보기: 전체  ·  금액 단위: 원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6.1" hidden="false" customHeight="false" outlineLevel="0" collapsed="false">
      <c r="B4" s="3" t="s">
        <v>1</v>
      </c>
      <c r="C4" s="4" t="s">
        <v>2</v>
      </c>
      <c r="D4" s="3" t="s">
        <v>3</v>
      </c>
      <c r="E4" s="5" t="s">
        <v>4</v>
      </c>
      <c r="G4" s="3" t="s">
        <v>5</v>
      </c>
      <c r="H4" s="6" t="n">
        <f aca="false">설정!$B$10</f>
        <v>46306</v>
      </c>
      <c r="I4" s="2" t="s">
        <v>6</v>
      </c>
      <c r="J4" s="2"/>
      <c r="K4" s="2"/>
    </row>
    <row r="6" customFormat="false" ht="15" hidden="false" customHeight="true" outlineLevel="0" collapsed="false">
      <c r="B6" s="7" t="s">
        <v>7</v>
      </c>
      <c r="C6" s="7"/>
      <c r="D6" s="7" t="s">
        <v>8</v>
      </c>
      <c r="E6" s="7"/>
      <c r="F6" s="7" t="s">
        <v>9</v>
      </c>
      <c r="G6" s="7"/>
      <c r="H6" s="7" t="s">
        <v>10</v>
      </c>
      <c r="I6" s="7"/>
      <c r="J6" s="7" t="s">
        <v>11</v>
      </c>
      <c r="K6" s="7"/>
    </row>
    <row r="7" customFormat="false" ht="30" hidden="false" customHeight="true" outlineLevel="0" collapsed="false">
      <c r="B7" s="8" t="n">
        <f aca="false">재무상태표!B11</f>
        <v>0</v>
      </c>
      <c r="C7" s="8"/>
      <c r="D7" s="9" t="n">
        <f aca="false">IF(설정!$B$4="공동","",손익!M37)</f>
        <v>0</v>
      </c>
      <c r="E7" s="9"/>
      <c r="F7" s="8" t="n">
        <f aca="false">손익!M45</f>
        <v>0</v>
      </c>
      <c r="G7" s="8"/>
      <c r="H7" s="8" t="n">
        <f aca="false">재무상태표!B13</f>
        <v>0</v>
      </c>
      <c r="I7" s="8"/>
      <c r="J7" s="9" t="n">
        <f aca="false">예산!G45</f>
        <v>0</v>
      </c>
      <c r="K7" s="9"/>
    </row>
    <row r="8" customFormat="false" ht="15" hidden="false" customHeight="false" outlineLevel="0" collapsed="false">
      <c r="B8" s="10" t="str">
        <f aca="false">"약 "&amp;TEXT(재무상태표!B11/100000000,"0.00")&amp;"억원"</f>
        <v>약 0.00억원</v>
      </c>
      <c r="C8" s="10"/>
      <c r="D8" s="10" t="str">
        <f aca="false">IF(설정!$B$4="공동","공동 보기는 직접 소득이 없어 계산하지 않음","목표 "&amp;TEXT(설정!$B$12,"0%")&amp;" · 12개월 "&amp;TEXT(손익!N37,"0.0%"))</f>
        <v>목표 30% · 12개월 0.0%</v>
      </c>
      <c r="E8" s="10"/>
      <c r="F8" s="10" t="str">
        <f aca="false">"목표 "&amp;TEXT(설정!$B$29,"#,##0")&amp;" · 납입률 "&amp;TEXT(손익!M51,"0%")</f>
        <v>목표 2,200,000 · 납입률 0%</v>
      </c>
      <c r="G8" s="10"/>
      <c r="H8" s="10" t="str">
        <f aca="false">"총자산의 "&amp;TEXT(IF(재무상태표!B9=0,0,재무상태표!B13/재무상태표!B9),"0.0%")</f>
        <v>총자산의 0.0%</v>
      </c>
      <c r="I8" s="10"/>
      <c r="J8" s="10" t="str">
        <f aca="false">IF(설정!$B$4="전체","실적 "&amp;TEXT(예산!F45,"#,##0")&amp;" / 예산 "&amp;TEXT(예산!E45,"#,##0"),"가계 예산 중 "&amp;설정!$B$4&amp;" 사용분 "&amp;TEXT(예산!F45,"#,##0"))</f>
        <v>실적 0 / 예산 5,680,000</v>
      </c>
      <c r="K8" s="10"/>
    </row>
    <row r="9" customFormat="false" ht="15" hidden="false" customHeight="false" outlineLevel="0" collapsed="false">
      <c r="B9" s="11" t="str">
        <f aca="false">IF(재무상태표!D11&gt;=0,"✅ 전월 대비 증가 ","⚠ 전월 대비 감소 ")&amp;TEXT(재무상태표!D11,"+#,##0;-#,##0")</f>
        <v>✅ 전월 대비 증가 +0</v>
      </c>
      <c r="C9" s="11"/>
      <c r="D9" s="12" t="str">
        <f aca="false">IF(설정!$B$4="공동","- 해당 없음",IF(손익!M9=0,"- 소득 데이터 없음",IF(손익!M37&gt;=설정!$B$12,"✅ 달성","⚠ 미달")))</f>
        <v>- 소득 데이터 없음</v>
      </c>
      <c r="E9" s="12"/>
      <c r="F9" s="11" t="str">
        <f aca="false">IF(손익!M45&gt;=설정!$B$29,"✅ 달성","⚠ 미달 "&amp;TEXT(설정!$B$29-손익!M45,"#,##0"))</f>
        <v>⚠ 미달 2,200,000</v>
      </c>
      <c r="G9" s="11"/>
      <c r="H9" s="11" t="str">
        <f aca="false">IF(재무상태표!D13&gt;=0,"✅ 증가 ","⚠ 감소 ")&amp;TEXT(재무상태표!D13,"+#,##0;-#,##0")</f>
        <v>✅ 증가 +0</v>
      </c>
      <c r="I9" s="11"/>
      <c r="J9" s="11" t="str">
        <f aca="false">IF(COUNTIF(예산!I4:I43,"*초과*")&gt;0,"🔴 초과 카테고리 "&amp;COUNTIF(예산!I4:I43,"*초과*")&amp;"개",IF(예산!G45&gt;=0.9,"⚠ 주의","✅ 양호"))</f>
        <v>✅ 양호</v>
      </c>
      <c r="K9" s="11"/>
    </row>
    <row r="11" customFormat="false" ht="15" hidden="false" customHeight="true" outlineLevel="0" collapsed="false">
      <c r="B11" s="7" t="s">
        <v>12</v>
      </c>
      <c r="C11" s="7"/>
      <c r="D11" s="7" t="s">
        <v>13</v>
      </c>
      <c r="E11" s="7"/>
      <c r="F11" s="13" t="s">
        <v>14</v>
      </c>
      <c r="G11" s="13"/>
      <c r="H11" s="7" t="s">
        <v>15</v>
      </c>
      <c r="I11" s="7"/>
      <c r="J11" s="7" t="s">
        <v>16</v>
      </c>
      <c r="K11" s="7"/>
    </row>
    <row r="12" customFormat="false" ht="30" hidden="false" customHeight="true" outlineLevel="0" collapsed="false">
      <c r="B12" s="14" t="n">
        <f aca="false">IF(손익!P49=0,0,재무상태표!B15/손익!P49)</f>
        <v>0</v>
      </c>
      <c r="C12" s="14"/>
      <c r="D12" s="9" t="n">
        <f aca="false">재무상태표!B14</f>
        <v>0</v>
      </c>
      <c r="E12" s="9"/>
      <c r="F12" s="9" t="n">
        <f aca="false">부채!B20</f>
        <v>0</v>
      </c>
      <c r="G12" s="9"/>
      <c r="H12" s="9" t="n">
        <f aca="false">목표!B16</f>
        <v>0</v>
      </c>
      <c r="I12" s="9"/>
      <c r="J12" s="9" t="n">
        <f aca="false">IF(손익!O35=0,0,손익!O7/손익!O35)</f>
        <v>0</v>
      </c>
      <c r="K12" s="9"/>
    </row>
    <row r="13" customFormat="false" ht="15" hidden="false" customHeight="false" outlineLevel="0" collapsed="false">
      <c r="B13" s="10" t="str">
        <f aca="false">"목표 "&amp;설정!$B$13&amp;"개월 · "&amp;TEXT(재무상태표!B15,"#,##0")&amp;"원"</f>
        <v>목표 6개월 · 0원</v>
      </c>
      <c r="C13" s="10"/>
      <c r="D13" s="10" t="str">
        <f aca="false">"상한 "&amp;TEXT(설정!$B$14,"0%")&amp;" · 부채 "&amp;TEXT(재무상태표!B10/100000000,"0.00")&amp;"억"</f>
        <v>상한 40% · 부채 0.00억</v>
      </c>
      <c r="E13" s="10"/>
      <c r="F13" s="10" t="str">
        <f aca="false">"상한 "&amp;TEXT(설정!$B$15,"0%")&amp;" · 월 원리금 "&amp;TEXT(부채!B17,"#,##0")</f>
        <v>상한 30% · 월 원리금 0</v>
      </c>
      <c r="G13" s="10"/>
      <c r="H13" s="10" t="str">
        <f aca="false">"노후 준비율 "&amp;TEXT(목표!B17,"0%")</f>
        <v>노후 준비율 0%</v>
      </c>
      <c r="I13" s="10"/>
      <c r="J13" s="10" t="str">
        <f aca="false">"월 수동소득 "&amp;TEXT(손익!O7,"#,##0")&amp;"원"</f>
        <v>월 수동소득 0원</v>
      </c>
      <c r="K13" s="10"/>
    </row>
    <row r="14" customFormat="false" ht="24.6" hidden="false" customHeight="false" outlineLevel="0" collapsed="false">
      <c r="B14" s="11" t="str">
        <f aca="false">IF(IF(손익!P49=0,0,재무상태표!B15/손익!P49)&gt;=설정!$B$13,"✅ 달성","⚠ 미달")</f>
        <v>⚠ 미달</v>
      </c>
      <c r="C14" s="11"/>
      <c r="D14" s="11" t="str">
        <f aca="false">IF(재무상태표!B14&lt;=설정!$B$14,"✅ 양호","⚠ 주의")</f>
        <v>✅ 양호</v>
      </c>
      <c r="E14" s="11"/>
      <c r="F14" s="11" t="str">
        <f aca="false">IF(부채!B20&lt;=설정!$B$15,"✅ 양호","⚠ 주의")</f>
        <v>✅ 양호</v>
      </c>
      <c r="G14" s="11"/>
      <c r="H14" s="11" t="str">
        <f aca="false">IF(목표!B18=0,"✅ 모두 순항","⚠ 지연 "&amp;목표!B18&amp;"건")</f>
        <v>✅ 모두 순항</v>
      </c>
      <c r="I14" s="11"/>
      <c r="J14" s="11" t="str">
        <f aca="false">"장기 목표 100% (수동소득 ≥ 생활비)"</f>
        <v>장기 목표 100% (수동소득 ≥ 생활비)</v>
      </c>
      <c r="K14" s="11"/>
    </row>
    <row r="16" customFormat="false" ht="15" hidden="false" customHeight="false" outlineLevel="0" collapsed="false">
      <c r="B16" s="15" t="s">
        <v>17</v>
      </c>
      <c r="C16" s="15"/>
      <c r="D16" s="15"/>
      <c r="E16" s="15"/>
      <c r="F16" s="15"/>
      <c r="H16" s="15" t="s">
        <v>18</v>
      </c>
      <c r="I16" s="15"/>
      <c r="J16" s="15"/>
      <c r="K16" s="15"/>
    </row>
    <row r="17" customFormat="false" ht="25.5" hidden="false" customHeight="true" outlineLevel="0" collapsed="false">
      <c r="B17" s="16" t="str">
        <f aca="false">IFERROR(INDEX($N$17:$N$27,MATCH(1,$O$17:$O$27,0)),"")</f>
        <v>⚠ 투자 납입 2,200,000원 부족 (목표 2,200,000)</v>
      </c>
      <c r="C17" s="16"/>
      <c r="D17" s="16"/>
      <c r="E17" s="16"/>
      <c r="F17" s="16"/>
      <c r="H17" s="17" t="s">
        <v>19</v>
      </c>
      <c r="I17" s="17" t="s">
        <v>20</v>
      </c>
      <c r="J17" s="17" t="s">
        <v>21</v>
      </c>
      <c r="K17" s="17" t="s">
        <v>7</v>
      </c>
      <c r="N17" s="0" t="str">
        <f aca="false">IF(COUNTIF(예산!I4:I43,"*초과*")&gt;0,"🔴 예산 초과: "&amp;_xlfn.TEXTJOIN(", ",TRUE(),예산!M4:M43),"")</f>
        <v/>
      </c>
      <c r="O17" s="18" t="n">
        <f aca="false">IF(N17="",0,1)+N(O16)</f>
        <v>0</v>
      </c>
    </row>
    <row r="18" customFormat="false" ht="25.5" hidden="false" customHeight="true" outlineLevel="0" collapsed="false">
      <c r="B18" s="16" t="str">
        <f aca="false">IFERROR(INDEX($N$17:$N$27,MATCH(2,$O$17:$O$27,0)),"")</f>
        <v/>
      </c>
      <c r="C18" s="16"/>
      <c r="D18" s="16"/>
      <c r="E18" s="16"/>
      <c r="F18" s="16"/>
      <c r="H18" s="19" t="str">
        <f aca="false">재무상태표!A24</f>
        <v>본인</v>
      </c>
      <c r="I18" s="20" t="n">
        <f aca="false">재무상태표!B24</f>
        <v>0</v>
      </c>
      <c r="J18" s="20" t="n">
        <f aca="false">재무상태표!C24</f>
        <v>0</v>
      </c>
      <c r="K18" s="20" t="n">
        <f aca="false">재무상태표!D24</f>
        <v>0</v>
      </c>
      <c r="N18" s="0" t="str">
        <f aca="false">IF(AND(NOT(설정!$B$4="공동"),손익!M9&gt;0,손익!M37&lt;설정!$B$12),"⚠ 저축률 "&amp;TEXT(손익!M37,"0.0%")&amp;" — 목표 "&amp;TEXT(설정!$B$12,"0%")&amp;" 미달","")</f>
        <v/>
      </c>
      <c r="O18" s="18" t="n">
        <f aca="false">IF(N18="",0,1)+N(O17)</f>
        <v>0</v>
      </c>
    </row>
    <row r="19" customFormat="false" ht="25.5" hidden="false" customHeight="true" outlineLevel="0" collapsed="false">
      <c r="B19" s="16" t="str">
        <f aca="false">IFERROR(INDEX($N$17:$N$27,MATCH(3,$O$17:$O$27,0)),"")</f>
        <v/>
      </c>
      <c r="C19" s="16"/>
      <c r="D19" s="16"/>
      <c r="E19" s="16"/>
      <c r="F19" s="16"/>
      <c r="H19" s="19" t="str">
        <f aca="false">재무상태표!A25</f>
        <v>배우자</v>
      </c>
      <c r="I19" s="20" t="n">
        <f aca="false">재무상태표!B25</f>
        <v>0</v>
      </c>
      <c r="J19" s="20" t="n">
        <f aca="false">재무상태표!C25</f>
        <v>0</v>
      </c>
      <c r="K19" s="20" t="n">
        <f aca="false">재무상태표!D25</f>
        <v>0</v>
      </c>
      <c r="N19" s="0" t="str">
        <f aca="false">IF(손익!M45&lt;설정!$B$29,"⚠ 투자 납입 "&amp;TEXT(설정!$B$29-손익!M45,"#,##0")&amp;"원 부족 (목표 "&amp;TEXT(설정!$B$29,"#,##0")&amp;")","")</f>
        <v>⚠ 투자 납입 2,200,000원 부족 (목표 2,200,000)</v>
      </c>
      <c r="O19" s="18" t="n">
        <f aca="false">IF(N19="",0,1)+N(O18)</f>
        <v>1</v>
      </c>
    </row>
    <row r="20" customFormat="false" ht="25.5" hidden="false" customHeight="true" outlineLevel="0" collapsed="false">
      <c r="B20" s="16" t="str">
        <f aca="false">IFERROR(INDEX($N$17:$N$27,MATCH(4,$O$17:$O$27,0)),"")</f>
        <v/>
      </c>
      <c r="C20" s="16"/>
      <c r="D20" s="16"/>
      <c r="E20" s="16"/>
      <c r="F20" s="16"/>
      <c r="H20" s="19" t="str">
        <f aca="false">재무상태표!A26</f>
        <v>공동</v>
      </c>
      <c r="I20" s="20" t="n">
        <f aca="false">재무상태표!B26</f>
        <v>0</v>
      </c>
      <c r="J20" s="20" t="n">
        <f aca="false">재무상태표!C26</f>
        <v>0</v>
      </c>
      <c r="K20" s="20" t="n">
        <f aca="false">재무상태표!D26</f>
        <v>0</v>
      </c>
      <c r="N20" s="0" t="str">
        <f aca="false">IF(AND(손익!P49&gt;0,IF(손익!P49=0,0,재무상태표!B15/손익!P49)&lt;설정!$B$13),"⚠ 비상자금 "&amp;TEXT(IF(손익!P49=0,0,재무상태표!B15/손익!P49),"0.0")&amp;"개월 — 목표까지 "&amp;TEXT((설정!$B$13-IF(손익!P49=0,0,재무상태표!B15/손익!P49))*손익!P49,"#,##0")&amp;"원 더 필요","")</f>
        <v/>
      </c>
      <c r="O20" s="18" t="n">
        <f aca="false">IF(N20="",0,1)+N(O19)</f>
        <v>1</v>
      </c>
    </row>
    <row r="21" customFormat="false" ht="25.5" hidden="false" customHeight="true" outlineLevel="0" collapsed="false">
      <c r="B21" s="16" t="str">
        <f aca="false">IFERROR(INDEX($N$17:$N$27,MATCH(5,$O$17:$O$27,0)),"")</f>
        <v/>
      </c>
      <c r="C21" s="16"/>
      <c r="D21" s="16"/>
      <c r="E21" s="16"/>
      <c r="F21" s="16"/>
      <c r="H21" s="3" t="str">
        <f aca="false">재무상태표!A27</f>
        <v>합계</v>
      </c>
      <c r="I21" s="21" t="n">
        <f aca="false">재무상태표!B27</f>
        <v>0</v>
      </c>
      <c r="J21" s="21" t="n">
        <f aca="false">재무상태표!C27</f>
        <v>0</v>
      </c>
      <c r="K21" s="21" t="n">
        <f aca="false">재무상태표!D27</f>
        <v>0</v>
      </c>
      <c r="N21" s="0" t="str">
        <f aca="false">IF(AND(설정!$B$4="전체",COUNTIF(투자!F4:F8,"*리밸런싱*")&gt;0),"⚖ 리밸런싱 검토: "&amp;_xlfn.TEXTJOIN(", ",TRUE(),투자!H4:H8),"")</f>
        <v/>
      </c>
      <c r="O21" s="18" t="n">
        <f aca="false">IF(N21="",0,1)+N(O20)</f>
        <v>1</v>
      </c>
    </row>
    <row r="22" customFormat="false" ht="25.5" hidden="false" customHeight="true" outlineLevel="0" collapsed="false">
      <c r="B22" s="16" t="str">
        <f aca="false">IFERROR(INDEX($N$17:$N$27,MATCH(6,$O$17:$O$27,0)),"")</f>
        <v/>
      </c>
      <c r="C22" s="16"/>
      <c r="D22" s="16"/>
      <c r="E22" s="16"/>
      <c r="F22" s="16"/>
      <c r="N22" s="0" t="str">
        <f aca="false">IF(OR(재무상태표!B14&gt;설정!$B$14,부채!B20&gt;설정!$B$15),"⚠ 부채 관리: 부채비율 "&amp;TEXT(재무상태표!B14,"0%")&amp;" · DSR "&amp;TEXT(부채!B20,"0%"),"")</f>
        <v/>
      </c>
      <c r="O22" s="18" t="n">
        <f aca="false">IF(N22="",0,1)+N(O21)</f>
        <v>1</v>
      </c>
    </row>
    <row r="23" customFormat="false" ht="25.5" hidden="false" customHeight="true" outlineLevel="0" collapsed="false">
      <c r="B23" s="16" t="str">
        <f aca="false">IFERROR(INDEX($N$17:$N$27,MATCH(7,$O$17:$O$27,0)),"")</f>
        <v/>
      </c>
      <c r="C23" s="16"/>
      <c r="D23" s="16"/>
      <c r="E23" s="16"/>
      <c r="F23" s="16"/>
      <c r="H23" s="15" t="s">
        <v>22</v>
      </c>
      <c r="I23" s="15"/>
      <c r="J23" s="15"/>
      <c r="K23" s="15"/>
      <c r="N23" s="0" t="str">
        <f aca="false">IF(COUNTIF(일정!H4:H63,"?*")&gt;0,"🗓 다가오는 일정: "&amp;_xlfn.TEXTJOIN(", ",TRUE(),일정!H4:H63),"")</f>
        <v/>
      </c>
      <c r="O23" s="18" t="n">
        <f aca="false">IF(N23="",0,1)+N(O22)</f>
        <v>1</v>
      </c>
    </row>
    <row r="24" customFormat="false" ht="25.5" hidden="false" customHeight="true" outlineLevel="0" collapsed="false">
      <c r="B24" s="16" t="str">
        <f aca="false">IFERROR(INDEX($N$17:$N$27,MATCH(8,$O$17:$O$27,0)),"")</f>
        <v/>
      </c>
      <c r="C24" s="16"/>
      <c r="D24" s="16"/>
      <c r="E24" s="16"/>
      <c r="F24" s="16"/>
      <c r="H24" s="17" t="s">
        <v>23</v>
      </c>
      <c r="I24" s="17" t="s">
        <v>24</v>
      </c>
      <c r="J24" s="17" t="s">
        <v>25</v>
      </c>
      <c r="K24" s="17" t="s">
        <v>26</v>
      </c>
      <c r="N24" s="0" t="str">
        <f aca="false">IF(목표!B18&gt;0,"🎯 목표 지연: "&amp;_xlfn.TEXTJOIN(", ",TRUE(),목표!P4:P13),"")</f>
        <v/>
      </c>
      <c r="O24" s="18" t="n">
        <f aca="false">IF(N24="",0,1)+N(O23)</f>
        <v>1</v>
      </c>
    </row>
    <row r="25" customFormat="false" ht="25.5" hidden="false" customHeight="true" outlineLevel="0" collapsed="false">
      <c r="B25" s="16" t="str">
        <f aca="false">IFERROR(INDEX($N$17:$N$27,MATCH(9,$O$17:$O$27,0)),"")</f>
        <v/>
      </c>
      <c r="C25" s="16"/>
      <c r="D25" s="16"/>
      <c r="E25" s="16"/>
      <c r="F25" s="16"/>
      <c r="H25" s="22" t="str">
        <f aca="false">IF(목표!A4="","",목표!A4)</f>
        <v>비상자금</v>
      </c>
      <c r="I25" s="23" t="str">
        <f aca="false">IF(H25="","",목표!J4)</f>
        <v/>
      </c>
      <c r="J25" s="24" t="str">
        <f aca="false">IF(H25="","",목표!L4)</f>
        <v/>
      </c>
      <c r="K25" s="20" t="n">
        <f aca="false">IF(H25="","",목표!N4)</f>
        <v>0</v>
      </c>
      <c r="N25" s="0" t="str">
        <f aca="false">IF(AND(현금흐름!$B$5&gt;0,COUNTIF(현금흐름!I11:I16,"*부족*")&gt;0),"🔴 잔고 부족 예상: "&amp;_xlfn.TEXTJOIN(", ",TRUE(),현금흐름!J11:J16),"")</f>
        <v/>
      </c>
      <c r="O25" s="18" t="n">
        <f aca="false">IF(N25="",0,1)+N(O24)</f>
        <v>1</v>
      </c>
    </row>
    <row r="26" customFormat="false" ht="25.5" hidden="false" customHeight="true" outlineLevel="0" collapsed="false">
      <c r="B26" s="16" t="str">
        <f aca="false">IFERROR(INDEX($N$17:$N$27,MATCH(10,$O$17:$O$27,0)),"")</f>
        <v/>
      </c>
      <c r="C26" s="16"/>
      <c r="D26" s="16"/>
      <c r="E26" s="16"/>
      <c r="F26" s="16"/>
      <c r="H26" s="22" t="str">
        <f aca="false">IF(목표!A5="","",목표!A5)</f>
        <v/>
      </c>
      <c r="I26" s="23" t="str">
        <f aca="false">IF(H26="","",목표!J5)</f>
        <v/>
      </c>
      <c r="J26" s="24" t="str">
        <f aca="false">IF(H26="","",목표!L5)</f>
        <v/>
      </c>
      <c r="K26" s="20" t="str">
        <f aca="false">IF(H26="","",목표!N5)</f>
        <v/>
      </c>
      <c r="N26" s="0" t="str">
        <f aca="false">IF(AND(COUNTA(보험!A4:A13)&gt;0,보험!B24&gt;0),"🛡 보장 공백 "&amp;보험!B24&amp;"건 — 보험 탭 확인","")</f>
        <v/>
      </c>
      <c r="O26" s="18" t="n">
        <f aca="false">IF(N26="",0,1)+N(O25)</f>
        <v>1</v>
      </c>
    </row>
    <row r="27" customFormat="false" ht="25.5" hidden="false" customHeight="true" outlineLevel="0" collapsed="false">
      <c r="B27" s="16" t="str">
        <f aca="false">IFERROR(INDEX($N$17:$N$27,MATCH(11,$O$17:$O$27,0)),"")</f>
        <v/>
      </c>
      <c r="C27" s="16"/>
      <c r="D27" s="16"/>
      <c r="E27" s="16"/>
      <c r="F27" s="16"/>
      <c r="H27" s="22" t="str">
        <f aca="false">IF(목표!A6="","",목표!A6)</f>
        <v/>
      </c>
      <c r="I27" s="23" t="str">
        <f aca="false">IF(H27="","",목표!J6)</f>
        <v/>
      </c>
      <c r="J27" s="24" t="str">
        <f aca="false">IF(H27="","",목표!L6)</f>
        <v/>
      </c>
      <c r="K27" s="20" t="str">
        <f aca="false">IF(H27="","",목표!N6)</f>
        <v/>
      </c>
      <c r="N27" s="0" t="str">
        <f aca="false">IF(손익!M52&gt;0,"❓ 미분류 거래 "&amp;TEXT(손익!M52,"#,##0")&amp;"원 — 카테고리 지정 필요","")</f>
        <v/>
      </c>
      <c r="O27" s="18" t="n">
        <f aca="false">IF(N27="",0,1)+N(O26)</f>
        <v>1</v>
      </c>
    </row>
    <row r="28" customFormat="false" ht="15" hidden="false" customHeight="false" outlineLevel="0" collapsed="false">
      <c r="B28" s="25" t="str">
        <f aca="false">IF(MAX(O17:O27)=0,"✅ 이상 없음 — 이번 달도 잘 운영되었습니다","")</f>
        <v/>
      </c>
      <c r="C28" s="25"/>
      <c r="D28" s="25"/>
      <c r="E28" s="25"/>
      <c r="F28" s="25"/>
      <c r="H28" s="22" t="str">
        <f aca="false">IF(목표!A7="","",목표!A7)</f>
        <v/>
      </c>
      <c r="I28" s="23" t="str">
        <f aca="false">IF(H28="","",목표!J7)</f>
        <v/>
      </c>
      <c r="J28" s="24" t="str">
        <f aca="false">IF(H28="","",목표!L7)</f>
        <v/>
      </c>
      <c r="K28" s="20" t="str">
        <f aca="false">IF(H28="","",목표!N7)</f>
        <v/>
      </c>
    </row>
    <row r="29" customFormat="false" ht="15" hidden="false" customHeight="false" outlineLevel="0" collapsed="false">
      <c r="H29" s="22" t="str">
        <f aca="false">IF(목표!A8="","",목표!A8)</f>
        <v/>
      </c>
      <c r="I29" s="23" t="str">
        <f aca="false">IF(H29="","",목표!J8)</f>
        <v/>
      </c>
      <c r="J29" s="24" t="str">
        <f aca="false">IF(H29="","",목표!L8)</f>
        <v/>
      </c>
      <c r="K29" s="20" t="str">
        <f aca="false">IF(H29="","",목표!N8)</f>
        <v/>
      </c>
    </row>
  </sheetData>
  <mergeCells count="58">
    <mergeCell ref="B1:K1"/>
    <mergeCell ref="B2:K2"/>
    <mergeCell ref="I4:K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6:F16"/>
    <mergeCell ref="H16:K16"/>
    <mergeCell ref="B17:F17"/>
    <mergeCell ref="B18:F18"/>
    <mergeCell ref="B19:F19"/>
    <mergeCell ref="B20:F20"/>
    <mergeCell ref="B21:F21"/>
    <mergeCell ref="B22:F22"/>
    <mergeCell ref="B23:F23"/>
    <mergeCell ref="H23:K23"/>
    <mergeCell ref="B24:F24"/>
    <mergeCell ref="B25:F25"/>
    <mergeCell ref="B26:F26"/>
    <mergeCell ref="B27:F27"/>
    <mergeCell ref="B28:F28"/>
  </mergeCells>
  <conditionalFormatting sqref="B9">
    <cfRule type="expression" priority="2" aboveAverage="0" equalAverage="0" bottom="0" percent="0" rank="0" text="" dxfId="0">
      <formula>OR(ISNUMBER(SEARCH("초과",B9)),ISNUMBER(SEARCH("부족",B9)),ISNUMBER(SEARCH("공백",B9)))</formula>
    </cfRule>
    <cfRule type="expression" priority="3" aboveAverage="0" equalAverage="0" bottom="0" percent="0" rank="0" text="" dxfId="1">
      <formula>OR(ISNUMBER(SEARCH("주의",B9)),ISNUMBER(SEARCH("미달",B9)),ISNUMBER(SEARCH("지연",B9)),ISNUMBER(SEARCH("리밸런싱",B9)),ISNUMBER(SEARCH("감소",B9)))</formula>
    </cfRule>
    <cfRule type="expression" priority="4" aboveAverage="0" equalAverage="0" bottom="0" percent="0" rank="0" text="" dxfId="2">
      <formula>OR(ISNUMBER(SEARCH("양호",B9)),ISNUMBER(SEARCH("달성",B9)),ISNUMBER(SEARCH("순항",B9)),ISNUMBER(SEARCH("정상",B9)),ISNUMBER(SEARCH("증가",B9)),ISNUMBER(SEARCH("보장",B9)),ISNUMBER(SEARCH("적정",B9)))</formula>
    </cfRule>
  </conditionalFormatting>
  <conditionalFormatting sqref="D9">
    <cfRule type="expression" priority="5" aboveAverage="0" equalAverage="0" bottom="0" percent="0" rank="0" text="" dxfId="0">
      <formula>OR(ISNUMBER(SEARCH("초과",D9)),ISNUMBER(SEARCH("부족",D9)),ISNUMBER(SEARCH("공백",D9)))</formula>
    </cfRule>
    <cfRule type="expression" priority="6" aboveAverage="0" equalAverage="0" bottom="0" percent="0" rank="0" text="" dxfId="1">
      <formula>OR(ISNUMBER(SEARCH("주의",D9)),ISNUMBER(SEARCH("미달",D9)),ISNUMBER(SEARCH("지연",D9)),ISNUMBER(SEARCH("리밸런싱",D9)),ISNUMBER(SEARCH("감소",D9)))</formula>
    </cfRule>
    <cfRule type="expression" priority="7" aboveAverage="0" equalAverage="0" bottom="0" percent="0" rank="0" text="" dxfId="2">
      <formula>OR(ISNUMBER(SEARCH("양호",D9)),ISNUMBER(SEARCH("달성",D9)),ISNUMBER(SEARCH("순항",D9)),ISNUMBER(SEARCH("정상",D9)),ISNUMBER(SEARCH("증가",D9)),ISNUMBER(SEARCH("보장",D9)),ISNUMBER(SEARCH("적정",D9)))</formula>
    </cfRule>
  </conditionalFormatting>
  <conditionalFormatting sqref="F9">
    <cfRule type="expression" priority="8" aboveAverage="0" equalAverage="0" bottom="0" percent="0" rank="0" text="" dxfId="0">
      <formula>OR(ISNUMBER(SEARCH("초과",F9)),ISNUMBER(SEARCH("부족",F9)),ISNUMBER(SEARCH("공백",F9)))</formula>
    </cfRule>
    <cfRule type="expression" priority="9" aboveAverage="0" equalAverage="0" bottom="0" percent="0" rank="0" text="" dxfId="1">
      <formula>OR(ISNUMBER(SEARCH("주의",F9)),ISNUMBER(SEARCH("미달",F9)),ISNUMBER(SEARCH("지연",F9)),ISNUMBER(SEARCH("리밸런싱",F9)),ISNUMBER(SEARCH("감소",F9)))</formula>
    </cfRule>
    <cfRule type="expression" priority="10" aboveAverage="0" equalAverage="0" bottom="0" percent="0" rank="0" text="" dxfId="2">
      <formula>OR(ISNUMBER(SEARCH("양호",F9)),ISNUMBER(SEARCH("달성",F9)),ISNUMBER(SEARCH("순항",F9)),ISNUMBER(SEARCH("정상",F9)),ISNUMBER(SEARCH("증가",F9)),ISNUMBER(SEARCH("보장",F9)),ISNUMBER(SEARCH("적정",F9)))</formula>
    </cfRule>
  </conditionalFormatting>
  <conditionalFormatting sqref="H9">
    <cfRule type="expression" priority="11" aboveAverage="0" equalAverage="0" bottom="0" percent="0" rank="0" text="" dxfId="0">
      <formula>OR(ISNUMBER(SEARCH("초과",H9)),ISNUMBER(SEARCH("부족",H9)),ISNUMBER(SEARCH("공백",H9)))</formula>
    </cfRule>
    <cfRule type="expression" priority="12" aboveAverage="0" equalAverage="0" bottom="0" percent="0" rank="0" text="" dxfId="1">
      <formula>OR(ISNUMBER(SEARCH("주의",H9)),ISNUMBER(SEARCH("미달",H9)),ISNUMBER(SEARCH("지연",H9)),ISNUMBER(SEARCH("리밸런싱",H9)),ISNUMBER(SEARCH("감소",H9)))</formula>
    </cfRule>
    <cfRule type="expression" priority="13" aboveAverage="0" equalAverage="0" bottom="0" percent="0" rank="0" text="" dxfId="2">
      <formula>OR(ISNUMBER(SEARCH("양호",H9)),ISNUMBER(SEARCH("달성",H9)),ISNUMBER(SEARCH("순항",H9)),ISNUMBER(SEARCH("정상",H9)),ISNUMBER(SEARCH("증가",H9)),ISNUMBER(SEARCH("보장",H9)),ISNUMBER(SEARCH("적정",H9)))</formula>
    </cfRule>
  </conditionalFormatting>
  <conditionalFormatting sqref="J9">
    <cfRule type="expression" priority="14" aboveAverage="0" equalAverage="0" bottom="0" percent="0" rank="0" text="" dxfId="0">
      <formula>OR(ISNUMBER(SEARCH("초과",J9)),ISNUMBER(SEARCH("부족",J9)),ISNUMBER(SEARCH("공백",J9)))</formula>
    </cfRule>
    <cfRule type="expression" priority="15" aboveAverage="0" equalAverage="0" bottom="0" percent="0" rank="0" text="" dxfId="1">
      <formula>OR(ISNUMBER(SEARCH("주의",J9)),ISNUMBER(SEARCH("미달",J9)),ISNUMBER(SEARCH("지연",J9)),ISNUMBER(SEARCH("리밸런싱",J9)),ISNUMBER(SEARCH("감소",J9)))</formula>
    </cfRule>
    <cfRule type="expression" priority="16" aboveAverage="0" equalAverage="0" bottom="0" percent="0" rank="0" text="" dxfId="2">
      <formula>OR(ISNUMBER(SEARCH("양호",J9)),ISNUMBER(SEARCH("달성",J9)),ISNUMBER(SEARCH("순항",J9)),ISNUMBER(SEARCH("정상",J9)),ISNUMBER(SEARCH("증가",J9)),ISNUMBER(SEARCH("보장",J9)),ISNUMBER(SEARCH("적정",J9)))</formula>
    </cfRule>
  </conditionalFormatting>
  <conditionalFormatting sqref="B14">
    <cfRule type="expression" priority="17" aboveAverage="0" equalAverage="0" bottom="0" percent="0" rank="0" text="" dxfId="0">
      <formula>OR(ISNUMBER(SEARCH("초과",B14)),ISNUMBER(SEARCH("부족",B14)),ISNUMBER(SEARCH("공백",B14)))</formula>
    </cfRule>
    <cfRule type="expression" priority="18" aboveAverage="0" equalAverage="0" bottom="0" percent="0" rank="0" text="" dxfId="1">
      <formula>OR(ISNUMBER(SEARCH("주의",B14)),ISNUMBER(SEARCH("미달",B14)),ISNUMBER(SEARCH("지연",B14)),ISNUMBER(SEARCH("리밸런싱",B14)),ISNUMBER(SEARCH("감소",B14)))</formula>
    </cfRule>
    <cfRule type="expression" priority="19" aboveAverage="0" equalAverage="0" bottom="0" percent="0" rank="0" text="" dxfId="2">
      <formula>OR(ISNUMBER(SEARCH("양호",B14)),ISNUMBER(SEARCH("달성",B14)),ISNUMBER(SEARCH("순항",B14)),ISNUMBER(SEARCH("정상",B14)),ISNUMBER(SEARCH("증가",B14)),ISNUMBER(SEARCH("보장",B14)),ISNUMBER(SEARCH("적정",B14)))</formula>
    </cfRule>
  </conditionalFormatting>
  <conditionalFormatting sqref="D14">
    <cfRule type="expression" priority="20" aboveAverage="0" equalAverage="0" bottom="0" percent="0" rank="0" text="" dxfId="0">
      <formula>OR(ISNUMBER(SEARCH("초과",D14)),ISNUMBER(SEARCH("부족",D14)),ISNUMBER(SEARCH("공백",D14)))</formula>
    </cfRule>
    <cfRule type="expression" priority="21" aboveAverage="0" equalAverage="0" bottom="0" percent="0" rank="0" text="" dxfId="1">
      <formula>OR(ISNUMBER(SEARCH("주의",D14)),ISNUMBER(SEARCH("미달",D14)),ISNUMBER(SEARCH("지연",D14)),ISNUMBER(SEARCH("리밸런싱",D14)),ISNUMBER(SEARCH("감소",D14)))</formula>
    </cfRule>
    <cfRule type="expression" priority="22" aboveAverage="0" equalAverage="0" bottom="0" percent="0" rank="0" text="" dxfId="2">
      <formula>OR(ISNUMBER(SEARCH("양호",D14)),ISNUMBER(SEARCH("달성",D14)),ISNUMBER(SEARCH("순항",D14)),ISNUMBER(SEARCH("정상",D14)),ISNUMBER(SEARCH("증가",D14)),ISNUMBER(SEARCH("보장",D14)),ISNUMBER(SEARCH("적정",D14)))</formula>
    </cfRule>
  </conditionalFormatting>
  <conditionalFormatting sqref="F14">
    <cfRule type="expression" priority="23" aboveAverage="0" equalAverage="0" bottom="0" percent="0" rank="0" text="" dxfId="0">
      <formula>OR(ISNUMBER(SEARCH("초과",F14)),ISNUMBER(SEARCH("부족",F14)),ISNUMBER(SEARCH("공백",F14)))</formula>
    </cfRule>
    <cfRule type="expression" priority="24" aboveAverage="0" equalAverage="0" bottom="0" percent="0" rank="0" text="" dxfId="1">
      <formula>OR(ISNUMBER(SEARCH("주의",F14)),ISNUMBER(SEARCH("미달",F14)),ISNUMBER(SEARCH("지연",F14)),ISNUMBER(SEARCH("리밸런싱",F14)),ISNUMBER(SEARCH("감소",F14)))</formula>
    </cfRule>
    <cfRule type="expression" priority="25" aboveAverage="0" equalAverage="0" bottom="0" percent="0" rank="0" text="" dxfId="2">
      <formula>OR(ISNUMBER(SEARCH("양호",F14)),ISNUMBER(SEARCH("달성",F14)),ISNUMBER(SEARCH("순항",F14)),ISNUMBER(SEARCH("정상",F14)),ISNUMBER(SEARCH("증가",F14)),ISNUMBER(SEARCH("보장",F14)),ISNUMBER(SEARCH("적정",F14)))</formula>
    </cfRule>
  </conditionalFormatting>
  <conditionalFormatting sqref="H14">
    <cfRule type="expression" priority="26" aboveAverage="0" equalAverage="0" bottom="0" percent="0" rank="0" text="" dxfId="0">
      <formula>OR(ISNUMBER(SEARCH("초과",H14)),ISNUMBER(SEARCH("부족",H14)),ISNUMBER(SEARCH("공백",H14)))</formula>
    </cfRule>
    <cfRule type="expression" priority="27" aboveAverage="0" equalAverage="0" bottom="0" percent="0" rank="0" text="" dxfId="1">
      <formula>OR(ISNUMBER(SEARCH("주의",H14)),ISNUMBER(SEARCH("미달",H14)),ISNUMBER(SEARCH("지연",H14)),ISNUMBER(SEARCH("리밸런싱",H14)),ISNUMBER(SEARCH("감소",H14)))</formula>
    </cfRule>
    <cfRule type="expression" priority="28" aboveAverage="0" equalAverage="0" bottom="0" percent="0" rank="0" text="" dxfId="2">
      <formula>OR(ISNUMBER(SEARCH("양호",H14)),ISNUMBER(SEARCH("달성",H14)),ISNUMBER(SEARCH("순항",H14)),ISNUMBER(SEARCH("정상",H14)),ISNUMBER(SEARCH("증가",H14)),ISNUMBER(SEARCH("보장",H14)),ISNUMBER(SEARCH("적정",H14)))</formula>
    </cfRule>
  </conditionalFormatting>
  <conditionalFormatting sqref="J14">
    <cfRule type="expression" priority="29" aboveAverage="0" equalAverage="0" bottom="0" percent="0" rank="0" text="" dxfId="0">
      <formula>OR(ISNUMBER(SEARCH("초과",J14)),ISNUMBER(SEARCH("부족",J14)),ISNUMBER(SEARCH("공백",J14)))</formula>
    </cfRule>
    <cfRule type="expression" priority="30" aboveAverage="0" equalAverage="0" bottom="0" percent="0" rank="0" text="" dxfId="1">
      <formula>OR(ISNUMBER(SEARCH("주의",J14)),ISNUMBER(SEARCH("미달",J14)),ISNUMBER(SEARCH("지연",J14)),ISNUMBER(SEARCH("리밸런싱",J14)),ISNUMBER(SEARCH("감소",J14)))</formula>
    </cfRule>
    <cfRule type="expression" priority="31" aboveAverage="0" equalAverage="0" bottom="0" percent="0" rank="0" text="" dxfId="2">
      <formula>OR(ISNUMBER(SEARCH("양호",J14)),ISNUMBER(SEARCH("달성",J14)),ISNUMBER(SEARCH("순항",J14)),ISNUMBER(SEARCH("정상",J14)),ISNUMBER(SEARCH("증가",J14)),ISNUMBER(SEARCH("보장",J14)),ISNUMBER(SEARCH("적정",J14)))</formula>
    </cfRule>
  </conditionalFormatting>
  <conditionalFormatting sqref="J25:J29">
    <cfRule type="expression" priority="32" aboveAverage="0" equalAverage="0" bottom="0" percent="0" rank="0" text="" dxfId="0">
      <formula>OR(ISNUMBER(SEARCH("초과",J25)),ISNUMBER(SEARCH("부족",J25)),ISNUMBER(SEARCH("공백",J25)))</formula>
    </cfRule>
    <cfRule type="expression" priority="33" aboveAverage="0" equalAverage="0" bottom="0" percent="0" rank="0" text="" dxfId="1">
      <formula>OR(ISNUMBER(SEARCH("주의",J25)),ISNUMBER(SEARCH("미달",J25)),ISNUMBER(SEARCH("지연",J25)),ISNUMBER(SEARCH("리밸런싱",J25)),ISNUMBER(SEARCH("감소",J25)))</formula>
    </cfRule>
    <cfRule type="expression" priority="34" aboveAverage="0" equalAverage="0" bottom="0" percent="0" rank="0" text="" dxfId="2">
      <formula>OR(ISNUMBER(SEARCH("양호",J25)),ISNUMBER(SEARCH("달성",J25)),ISNUMBER(SEARCH("순항",J25)),ISNUMBER(SEARCH("정상",J25)),ISNUMBER(SEARCH("증가",J25)),ISNUMBER(SEARCH("보장",J25)),ISNUMBER(SEARCH("적정",J25)))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E4" type="list">
      <formula1>설정!$F$3:$F$6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0"/>
  </cols>
  <sheetData>
    <row r="1" customFormat="false" ht="20.85" hidden="false" customHeight="false" outlineLevel="0" collapsed="false">
      <c r="B1" s="26" t="s">
        <v>27</v>
      </c>
    </row>
    <row r="2" customFormat="false" ht="15" hidden="false" customHeight="false" outlineLevel="0" collapsed="false">
      <c r="B2" s="27" t="s">
        <v>28</v>
      </c>
    </row>
    <row r="3" customFormat="false" ht="15" hidden="false" customHeight="false" outlineLevel="0" collapsed="false">
      <c r="B3" s="28"/>
    </row>
    <row r="4" customFormat="false" ht="15" hidden="false" customHeight="false" outlineLevel="0" collapsed="false">
      <c r="B4" s="29" t="s">
        <v>29</v>
      </c>
    </row>
    <row r="5" customFormat="false" ht="15" hidden="false" customHeight="false" outlineLevel="0" collapsed="false">
      <c r="B5" s="30" t="s">
        <v>30</v>
      </c>
    </row>
    <row r="6" customFormat="false" ht="15" hidden="false" customHeight="false" outlineLevel="0" collapsed="false">
      <c r="B6" s="28"/>
    </row>
    <row r="7" customFormat="false" ht="15" hidden="false" customHeight="false" outlineLevel="0" collapsed="false">
      <c r="B7" s="29" t="s">
        <v>31</v>
      </c>
    </row>
    <row r="8" customFormat="false" ht="15" hidden="false" customHeight="false" outlineLevel="0" collapsed="false">
      <c r="B8" s="28" t="s">
        <v>32</v>
      </c>
    </row>
    <row r="9" customFormat="false" ht="15" hidden="false" customHeight="false" outlineLevel="0" collapsed="false">
      <c r="B9" s="28" t="s">
        <v>33</v>
      </c>
    </row>
    <row r="10" customFormat="false" ht="15" hidden="false" customHeight="false" outlineLevel="0" collapsed="false">
      <c r="B10" s="28" t="s">
        <v>34</v>
      </c>
    </row>
    <row r="11" customFormat="false" ht="15" hidden="false" customHeight="false" outlineLevel="0" collapsed="false">
      <c r="B11" s="28" t="s">
        <v>35</v>
      </c>
    </row>
    <row r="12" customFormat="false" ht="15" hidden="false" customHeight="false" outlineLevel="0" collapsed="false">
      <c r="B12" s="28" t="s">
        <v>36</v>
      </c>
    </row>
    <row r="13" customFormat="false" ht="15" hidden="false" customHeight="false" outlineLevel="0" collapsed="false">
      <c r="B13" s="28"/>
    </row>
    <row r="14" customFormat="false" ht="15" hidden="false" customHeight="false" outlineLevel="0" collapsed="false">
      <c r="B14" s="29" t="s">
        <v>37</v>
      </c>
    </row>
    <row r="15" customFormat="false" ht="15" hidden="false" customHeight="false" outlineLevel="0" collapsed="false">
      <c r="B15" s="30" t="s">
        <v>38</v>
      </c>
    </row>
    <row r="16" customFormat="false" ht="15" hidden="false" customHeight="false" outlineLevel="0" collapsed="false">
      <c r="B16" s="30" t="s">
        <v>39</v>
      </c>
    </row>
    <row r="17" customFormat="false" ht="15" hidden="false" customHeight="false" outlineLevel="0" collapsed="false">
      <c r="B17" s="30" t="s">
        <v>40</v>
      </c>
    </row>
    <row r="18" customFormat="false" ht="15" hidden="false" customHeight="false" outlineLevel="0" collapsed="false">
      <c r="B18" s="30" t="s">
        <v>41</v>
      </c>
    </row>
    <row r="19" customFormat="false" ht="15" hidden="false" customHeight="false" outlineLevel="0" collapsed="false">
      <c r="B19" s="28"/>
    </row>
    <row r="20" customFormat="false" ht="15" hidden="false" customHeight="false" outlineLevel="0" collapsed="false">
      <c r="B20" s="29" t="s">
        <v>42</v>
      </c>
    </row>
    <row r="21" customFormat="false" ht="15" hidden="false" customHeight="false" outlineLevel="0" collapsed="false">
      <c r="B21" s="28" t="s">
        <v>43</v>
      </c>
    </row>
    <row r="22" customFormat="false" ht="15" hidden="false" customHeight="false" outlineLevel="0" collapsed="false">
      <c r="B22" s="28" t="s">
        <v>44</v>
      </c>
    </row>
    <row r="23" customFormat="false" ht="15" hidden="false" customHeight="false" outlineLevel="0" collapsed="false">
      <c r="B23" s="28" t="s">
        <v>45</v>
      </c>
    </row>
    <row r="24" customFormat="false" ht="15" hidden="false" customHeight="false" outlineLevel="0" collapsed="false">
      <c r="B24" s="30" t="s">
        <v>46</v>
      </c>
    </row>
    <row r="25" customFormat="false" ht="15" hidden="false" customHeight="false" outlineLevel="0" collapsed="false">
      <c r="B25" s="27" t="s">
        <v>47</v>
      </c>
    </row>
    <row r="26" customFormat="false" ht="15" hidden="false" customHeight="false" outlineLevel="0" collapsed="false">
      <c r="B26" s="28"/>
    </row>
    <row r="27" customFormat="false" ht="15" hidden="false" customHeight="false" outlineLevel="0" collapsed="false">
      <c r="B27" s="29" t="s">
        <v>48</v>
      </c>
    </row>
    <row r="28" customFormat="false" ht="15" hidden="false" customHeight="false" outlineLevel="0" collapsed="false">
      <c r="B28" s="30" t="s">
        <v>49</v>
      </c>
    </row>
    <row r="29" customFormat="false" ht="15" hidden="false" customHeight="false" outlineLevel="0" collapsed="false">
      <c r="B29" s="30" t="s">
        <v>50</v>
      </c>
    </row>
    <row r="30" customFormat="false" ht="15" hidden="false" customHeight="false" outlineLevel="0" collapsed="false">
      <c r="B30" s="28"/>
    </row>
    <row r="31" customFormat="false" ht="15" hidden="false" customHeight="false" outlineLevel="0" collapsed="false">
      <c r="B31" s="29" t="s">
        <v>51</v>
      </c>
    </row>
    <row r="32" customFormat="false" ht="15" hidden="false" customHeight="false" outlineLevel="0" collapsed="false">
      <c r="B32" s="30" t="s">
        <v>52</v>
      </c>
    </row>
    <row r="33" customFormat="false" ht="15" hidden="false" customHeight="false" outlineLevel="0" collapsed="false">
      <c r="B33" s="30" t="s">
        <v>53</v>
      </c>
    </row>
    <row r="34" customFormat="false" ht="15" hidden="false" customHeight="false" outlineLevel="0" collapsed="false">
      <c r="B34" s="30" t="s">
        <v>54</v>
      </c>
    </row>
    <row r="35" customFormat="false" ht="15" hidden="false" customHeight="false" outlineLevel="0" collapsed="false">
      <c r="B35" s="30" t="s">
        <v>55</v>
      </c>
    </row>
    <row r="36" customFormat="false" ht="15" hidden="false" customHeight="false" outlineLevel="0" collapsed="false">
      <c r="B36" s="30" t="s">
        <v>56</v>
      </c>
    </row>
    <row r="37" customFormat="false" ht="15" hidden="false" customHeight="false" outlineLevel="0" collapsed="false">
      <c r="B37" s="2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true" outlineLevel="0" max="12" min="12" style="0" width="9"/>
  </cols>
  <sheetData>
    <row r="1" customFormat="false" ht="15" hidden="false" customHeight="false" outlineLevel="0" collapsed="false">
      <c r="A1" s="31" t="s">
        <v>58</v>
      </c>
      <c r="B1" s="32" t="s">
        <v>59</v>
      </c>
      <c r="C1" s="31" t="s">
        <v>60</v>
      </c>
      <c r="D1" s="31" t="s">
        <v>61</v>
      </c>
      <c r="E1" s="31" t="s">
        <v>62</v>
      </c>
      <c r="F1" s="32" t="s">
        <v>63</v>
      </c>
      <c r="G1" s="32" t="s">
        <v>64</v>
      </c>
      <c r="H1" s="31" t="s">
        <v>19</v>
      </c>
      <c r="I1" s="31" t="s">
        <v>65</v>
      </c>
      <c r="J1" s="31" t="s">
        <v>66</v>
      </c>
      <c r="K1" s="31" t="s">
        <v>67</v>
      </c>
      <c r="L1" s="32" t="s">
        <v>68</v>
      </c>
      <c r="N1" s="33" t="s">
        <v>69</v>
      </c>
    </row>
    <row r="2" customFormat="false" ht="15" hidden="false" customHeight="false" outlineLevel="0" collapsed="false">
      <c r="N2" s="33" t="s">
        <v>70</v>
      </c>
    </row>
  </sheetData>
  <autoFilter ref="A1:K2"/>
  <dataValidations count="2">
    <dataValidation allowBlank="true" error="목록에서 선택하세요." errorStyle="stop" errorTitle="입력 확인" operator="between" showDropDown="false" showErrorMessage="false" showInputMessage="false" sqref="E2:E1002" type="list">
      <formula1>카테고리!$A$2:$A$200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H2:H1002" type="list">
      <formula1>설정!$L$3:$L$5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9"/>
  </cols>
  <sheetData>
    <row r="1" customFormat="false" ht="15" hidden="false" customHeight="false" outlineLevel="0" collapsed="false">
      <c r="A1" s="31" t="s">
        <v>59</v>
      </c>
      <c r="B1" s="31" t="s">
        <v>71</v>
      </c>
      <c r="C1" s="31" t="s">
        <v>61</v>
      </c>
      <c r="D1" s="32" t="s">
        <v>72</v>
      </c>
      <c r="E1" s="32" t="s">
        <v>73</v>
      </c>
      <c r="F1" s="32" t="s">
        <v>74</v>
      </c>
      <c r="G1" s="32" t="s">
        <v>75</v>
      </c>
      <c r="I1" s="33" t="s">
        <v>76</v>
      </c>
    </row>
  </sheetData>
  <autoFilter ref="A1:G2"/>
  <dataValidations count="1">
    <dataValidation allowBlank="true" error="목록에서 선택하세요." errorStyle="stop" errorTitle="입력 확인" operator="between" showDropDown="false" showErrorMessage="false" showInputMessage="false" sqref="B2:B1001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31" t="s">
        <v>71</v>
      </c>
      <c r="B1" s="31" t="s">
        <v>72</v>
      </c>
      <c r="C1" s="31" t="s">
        <v>77</v>
      </c>
      <c r="D1" s="31" t="s">
        <v>73</v>
      </c>
      <c r="E1" s="31" t="s">
        <v>74</v>
      </c>
      <c r="F1" s="31" t="s">
        <v>75</v>
      </c>
      <c r="G1" s="31" t="s">
        <v>67</v>
      </c>
      <c r="I1" s="33" t="s">
        <v>78</v>
      </c>
    </row>
  </sheetData>
  <dataValidations count="3">
    <dataValidation allowBlank="true" error="목록에서 선택하세요." errorStyle="stop" errorTitle="입력 확인" operator="between" showDropDown="false" showErrorMessage="false" showInputMessage="false" sqref="D2:D41" type="list">
      <formula1>설정!$G$3:$G$8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E2:E41" type="list">
      <formula1>설정!$L$3:$L$5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2:F41" type="list">
      <formula1>설정!$H$3:$H$5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34" t="s">
        <v>79</v>
      </c>
    </row>
    <row r="2" customFormat="false" ht="15" hidden="false" customHeight="false" outlineLevel="0" collapsed="false">
      <c r="A2" s="33" t="s">
        <v>80</v>
      </c>
    </row>
    <row r="3" customFormat="false" ht="26.85" hidden="false" customHeight="false" outlineLevel="0" collapsed="false">
      <c r="A3" s="32" t="s">
        <v>81</v>
      </c>
      <c r="B3" s="31" t="s">
        <v>82</v>
      </c>
      <c r="C3" s="32" t="s">
        <v>83</v>
      </c>
      <c r="D3" s="32" t="s">
        <v>84</v>
      </c>
      <c r="E3" s="32" t="s">
        <v>85</v>
      </c>
      <c r="F3" s="32" t="s">
        <v>25</v>
      </c>
      <c r="G3" s="32" t="s">
        <v>86</v>
      </c>
      <c r="H3" s="35" t="s">
        <v>87</v>
      </c>
      <c r="I3" s="33" t="s">
        <v>88</v>
      </c>
    </row>
    <row r="4" customFormat="false" ht="15" hidden="false" customHeight="false" outlineLevel="0" collapsed="false">
      <c r="A4" s="36" t="s">
        <v>89</v>
      </c>
      <c r="B4" s="37" t="n">
        <v>0.2</v>
      </c>
      <c r="C4" s="20" t="n">
        <f aca="false">SUMIFS($K$27:$K$126,$F$27:$F$126,A4,$C$27:$C$126,설정!$B$5)</f>
        <v>0</v>
      </c>
      <c r="D4" s="38" t="n">
        <f aca="false">IF($C$9=0,0,C4/$C$9)</f>
        <v>0</v>
      </c>
      <c r="E4" s="38" t="n">
        <f aca="false">D4-B4</f>
        <v>-0.2</v>
      </c>
      <c r="F4" s="24" t="str">
        <f aca="false">IF($C$9=0,"",IF(ABS(E4)&gt;설정!$B$16,"⚠ 리밸런싱","✅ 적정"))</f>
        <v/>
      </c>
      <c r="G4" s="20" t="n">
        <f aca="false">B4*$C$9-C4</f>
        <v>0</v>
      </c>
      <c r="H4" s="39" t="str">
        <f aca="false">IF(ISNUMBER(SEARCH("리밸런싱",F4)),A4&amp;" "&amp;TEXT(E4,"+0%;-0%"),"")</f>
        <v/>
      </c>
    </row>
    <row r="5" customFormat="false" ht="15" hidden="false" customHeight="false" outlineLevel="0" collapsed="false">
      <c r="A5" s="36" t="s">
        <v>90</v>
      </c>
      <c r="B5" s="37" t="n">
        <v>0.45</v>
      </c>
      <c r="C5" s="20" t="n">
        <f aca="false">SUMIFS($K$27:$K$126,$F$27:$F$126,A5,$C$27:$C$126,설정!$B$5)</f>
        <v>0</v>
      </c>
      <c r="D5" s="38" t="n">
        <f aca="false">IF($C$9=0,0,C5/$C$9)</f>
        <v>0</v>
      </c>
      <c r="E5" s="38" t="n">
        <f aca="false">D5-B5</f>
        <v>-0.45</v>
      </c>
      <c r="F5" s="24" t="str">
        <f aca="false">IF($C$9=0,"",IF(ABS(E5)&gt;설정!$B$16,"⚠ 리밸런싱","✅ 적정"))</f>
        <v/>
      </c>
      <c r="G5" s="20" t="n">
        <f aca="false">B5*$C$9-C5</f>
        <v>0</v>
      </c>
      <c r="H5" s="39" t="str">
        <f aca="false">IF(ISNUMBER(SEARCH("리밸런싱",F5)),A5&amp;" "&amp;TEXT(E5,"+0%;-0%"),"")</f>
        <v/>
      </c>
    </row>
    <row r="6" customFormat="false" ht="15" hidden="false" customHeight="false" outlineLevel="0" collapsed="false">
      <c r="A6" s="36" t="s">
        <v>91</v>
      </c>
      <c r="B6" s="37" t="n">
        <v>0.2</v>
      </c>
      <c r="C6" s="20" t="n">
        <f aca="false">SUMIFS($K$27:$K$126,$F$27:$F$126,A6,$C$27:$C$126,설정!$B$5)</f>
        <v>0</v>
      </c>
      <c r="D6" s="38" t="n">
        <f aca="false">IF($C$9=0,0,C6/$C$9)</f>
        <v>0</v>
      </c>
      <c r="E6" s="38" t="n">
        <f aca="false">D6-B6</f>
        <v>-0.2</v>
      </c>
      <c r="F6" s="24" t="str">
        <f aca="false">IF($C$9=0,"",IF(ABS(E6)&gt;설정!$B$16,"⚠ 리밸런싱","✅ 적정"))</f>
        <v/>
      </c>
      <c r="G6" s="20" t="n">
        <f aca="false">B6*$C$9-C6</f>
        <v>0</v>
      </c>
      <c r="H6" s="39" t="str">
        <f aca="false">IF(ISNUMBER(SEARCH("리밸런싱",F6)),A6&amp;" "&amp;TEXT(E6,"+0%;-0%"),"")</f>
        <v/>
      </c>
    </row>
    <row r="7" customFormat="false" ht="15" hidden="false" customHeight="false" outlineLevel="0" collapsed="false">
      <c r="A7" s="36" t="s">
        <v>92</v>
      </c>
      <c r="B7" s="37" t="n">
        <v>0.1</v>
      </c>
      <c r="C7" s="20" t="n">
        <f aca="false">SUMIFS($K$27:$K$126,$F$27:$F$126,A7,$C$27:$C$126,설정!$B$5)</f>
        <v>0</v>
      </c>
      <c r="D7" s="38" t="n">
        <f aca="false">IF($C$9=0,0,C7/$C$9)</f>
        <v>0</v>
      </c>
      <c r="E7" s="38" t="n">
        <f aca="false">D7-B7</f>
        <v>-0.1</v>
      </c>
      <c r="F7" s="24" t="str">
        <f aca="false">IF($C$9=0,"",IF(ABS(E7)&gt;설정!$B$16,"⚠ 리밸런싱","✅ 적정"))</f>
        <v/>
      </c>
      <c r="G7" s="20" t="n">
        <f aca="false">B7*$C$9-C7</f>
        <v>0</v>
      </c>
      <c r="H7" s="39" t="str">
        <f aca="false">IF(ISNUMBER(SEARCH("리밸런싱",F7)),A7&amp;" "&amp;TEXT(E7,"+0%;-0%"),"")</f>
        <v/>
      </c>
    </row>
    <row r="8" customFormat="false" ht="15" hidden="false" customHeight="false" outlineLevel="0" collapsed="false">
      <c r="A8" s="36" t="s">
        <v>93</v>
      </c>
      <c r="B8" s="37" t="n">
        <v>0.05</v>
      </c>
      <c r="C8" s="20" t="n">
        <f aca="false">SUMIFS($K$27:$K$126,$F$27:$F$126,A8,$C$27:$C$126,설정!$B$5)</f>
        <v>0</v>
      </c>
      <c r="D8" s="38" t="n">
        <f aca="false">IF($C$9=0,0,C8/$C$9)</f>
        <v>0</v>
      </c>
      <c r="E8" s="38" t="n">
        <f aca="false">D8-B8</f>
        <v>-0.05</v>
      </c>
      <c r="F8" s="24" t="str">
        <f aca="false">IF($C$9=0,"",IF(ABS(E8)&gt;설정!$B$16,"⚠ 리밸런싱","✅ 적정"))</f>
        <v/>
      </c>
      <c r="G8" s="20" t="n">
        <f aca="false">B8*$C$9-C8</f>
        <v>0</v>
      </c>
      <c r="H8" s="39" t="str">
        <f aca="false">IF(ISNUMBER(SEARCH("리밸런싱",F8)),A8&amp;" "&amp;TEXT(E8,"+0%;-0%"),"")</f>
        <v/>
      </c>
    </row>
    <row r="9" customFormat="false" ht="15" hidden="false" customHeight="false" outlineLevel="0" collapsed="false">
      <c r="A9" s="40" t="s">
        <v>94</v>
      </c>
      <c r="B9" s="41" t="n">
        <f aca="false">SUM(B4:B8)</f>
        <v>1</v>
      </c>
      <c r="C9" s="42" t="n">
        <f aca="false">SUM(C4:C8)</f>
        <v>0</v>
      </c>
      <c r="D9" s="41" t="n">
        <f aca="false">SUM(D4:D8)</f>
        <v>0</v>
      </c>
      <c r="E9" s="39" t="str">
        <f aca="false">IF(ROUND(B9,4)&lt;&gt;1,"⚠ 목표 비중 합이 100%가 아님","")</f>
        <v/>
      </c>
    </row>
    <row r="11" customFormat="false" ht="15" hidden="false" customHeight="false" outlineLevel="0" collapsed="false">
      <c r="A11" s="43" t="s">
        <v>95</v>
      </c>
      <c r="B11" s="32" t="s">
        <v>96</v>
      </c>
      <c r="C11" s="32" t="s">
        <v>97</v>
      </c>
      <c r="D11" s="32" t="s">
        <v>98</v>
      </c>
      <c r="E11" s="44"/>
      <c r="F11" s="44"/>
    </row>
    <row r="12" customFormat="false" ht="15" hidden="false" customHeight="false" outlineLevel="0" collapsed="false">
      <c r="A12" s="36" t="s">
        <v>99</v>
      </c>
      <c r="B12" s="20" t="n">
        <f aca="false">손익!M45</f>
        <v>0</v>
      </c>
      <c r="C12" s="20" t="n">
        <f aca="false">설정!$B$29</f>
        <v>2200000</v>
      </c>
      <c r="D12" s="38" t="n">
        <f aca="false">IF(C12=0,0,B12/C12)</f>
        <v>0</v>
      </c>
    </row>
    <row r="13" customFormat="false" ht="15" hidden="false" customHeight="false" outlineLevel="0" collapsed="false">
      <c r="A13" s="36" t="s">
        <v>100</v>
      </c>
      <c r="B13" s="20" t="n">
        <f aca="false">손익!N45</f>
        <v>0</v>
      </c>
      <c r="C13" s="20" t="n">
        <f aca="false">설정!$B$29*12</f>
        <v>26400000</v>
      </c>
      <c r="D13" s="38" t="n">
        <f aca="false">IF(C13=0,0,B13/C13)</f>
        <v>0</v>
      </c>
    </row>
    <row r="14" customFormat="false" ht="15" hidden="false" customHeight="false" outlineLevel="0" collapsed="false">
      <c r="A14" s="36" t="s">
        <v>101</v>
      </c>
      <c r="B14" s="20" t="n">
        <f aca="false">손익!O45</f>
        <v>0</v>
      </c>
      <c r="C14" s="20" t="n">
        <f aca="false">설정!$B$29</f>
        <v>2200000</v>
      </c>
      <c r="D14" s="38" t="n">
        <f aca="false">IF(C14=0,0,B14/C14)</f>
        <v>0</v>
      </c>
    </row>
    <row r="15" customFormat="false" ht="15" hidden="false" customHeight="false" outlineLevel="0" collapsed="false">
      <c r="A15" s="36" t="s">
        <v>102</v>
      </c>
      <c r="B15" s="20" t="n">
        <f aca="false">재무상태표!B13</f>
        <v>0</v>
      </c>
      <c r="C15" s="20" t="n">
        <f aca="false">재무상태표!C13</f>
        <v>0</v>
      </c>
      <c r="D15" s="38" t="n">
        <f aca="false">IF(C15=0,0,B15/C15-1)</f>
        <v>0</v>
      </c>
    </row>
    <row r="16" customFormat="false" ht="15" hidden="false" customHeight="false" outlineLevel="0" collapsed="false">
      <c r="A16" s="36" t="s">
        <v>103</v>
      </c>
      <c r="B16" s="20" t="n">
        <f aca="false">재무상태표!D13-B12</f>
        <v>0</v>
      </c>
      <c r="C16" s="20"/>
      <c r="D16" s="38"/>
      <c r="E16" s="33" t="s">
        <v>104</v>
      </c>
    </row>
    <row r="18" customFormat="false" ht="15" hidden="false" customHeight="false" outlineLevel="0" collapsed="false">
      <c r="A18" s="43" t="s">
        <v>105</v>
      </c>
      <c r="B18" s="44"/>
      <c r="C18" s="44"/>
      <c r="D18" s="44"/>
      <c r="E18" s="44"/>
      <c r="F18" s="44"/>
    </row>
    <row r="19" customFormat="false" ht="26.85" hidden="false" customHeight="false" outlineLevel="0" collapsed="false">
      <c r="A19" s="32" t="s">
        <v>106</v>
      </c>
      <c r="B19" s="32" t="s">
        <v>107</v>
      </c>
      <c r="C19" s="32" t="s">
        <v>108</v>
      </c>
      <c r="D19" s="32" t="s">
        <v>109</v>
      </c>
      <c r="E19" s="32" t="s">
        <v>110</v>
      </c>
      <c r="F19" s="31" t="s">
        <v>111</v>
      </c>
    </row>
    <row r="20" customFormat="false" ht="15" hidden="false" customHeight="false" outlineLevel="0" collapsed="false">
      <c r="A20" s="36" t="s">
        <v>112</v>
      </c>
      <c r="B20" s="20" t="n">
        <f aca="false">설정!$B$23</f>
        <v>6000000</v>
      </c>
      <c r="C20" s="20" t="n">
        <f aca="false">SUMIFS(거래내역!$D$2:$D$5000,거래내역!$L$2:$L$5000,"&gt;="&amp;설정!$B$8,거래내역!$L$2:$L$5000,"&lt;="&amp;설정!$B$7,거래내역!$C$2:$C$5000,F20,거래내역!$H$2:$H$5000,설정!$B$5)</f>
        <v>0</v>
      </c>
      <c r="D20" s="20" t="n">
        <f aca="false">MAX(0,B20-C20)</f>
        <v>6000000</v>
      </c>
      <c r="E20" s="38" t="n">
        <f aca="false">IF(B20=0,0,C20/B20)</f>
        <v>0</v>
      </c>
      <c r="F20" s="45" t="s">
        <v>113</v>
      </c>
    </row>
    <row r="21" customFormat="false" ht="15" hidden="false" customHeight="false" outlineLevel="0" collapsed="false">
      <c r="A21" s="36" t="s">
        <v>114</v>
      </c>
      <c r="B21" s="20" t="n">
        <f aca="false">설정!$B$22</f>
        <v>9000000</v>
      </c>
      <c r="C21" s="20" t="n">
        <f aca="false">C20+SUMIFS(거래내역!$D$2:$D$5000,거래내역!$L$2:$L$5000,"&gt;="&amp;설정!$B$8,거래내역!$L$2:$L$5000,"&lt;="&amp;설정!$B$7,거래내역!$C$2:$C$5000,F21,거래내역!$H$2:$H$5000,설정!$B$5)</f>
        <v>0</v>
      </c>
      <c r="D21" s="20" t="n">
        <f aca="false">MAX(0,B21-C21)</f>
        <v>9000000</v>
      </c>
      <c r="E21" s="38" t="n">
        <f aca="false">IF(B21=0,0,C21/B21)</f>
        <v>0</v>
      </c>
      <c r="F21" s="45" t="s">
        <v>115</v>
      </c>
    </row>
    <row r="22" customFormat="false" ht="15" hidden="false" customHeight="false" outlineLevel="0" collapsed="false">
      <c r="A22" s="46" t="s">
        <v>116</v>
      </c>
      <c r="B22" s="20" t="n">
        <f aca="false">설정!$B$24</f>
        <v>20000000</v>
      </c>
      <c r="C22" s="20" t="n">
        <f aca="false">SUMIFS(거래내역!$D$2:$D$5000,거래내역!$L$2:$L$5000,"&gt;="&amp;설정!$B$8,거래내역!$L$2:$L$5000,"&lt;="&amp;설정!$B$7,거래내역!$C$2:$C$5000,F22,거래내역!$H$2:$H$5000,설정!$B$5)</f>
        <v>0</v>
      </c>
      <c r="D22" s="20" t="n">
        <f aca="false">MAX(0,B22-C22)</f>
        <v>20000000</v>
      </c>
      <c r="E22" s="38" t="n">
        <f aca="false">IF(B22=0,0,C22/B22)</f>
        <v>0</v>
      </c>
      <c r="F22" s="45" t="s">
        <v>117</v>
      </c>
    </row>
    <row r="23" customFormat="false" ht="15" hidden="false" customHeight="false" outlineLevel="0" collapsed="false">
      <c r="A23" s="47" t="s">
        <v>118</v>
      </c>
    </row>
    <row r="24" customFormat="false" ht="15" hidden="false" customHeight="false" outlineLevel="0" collapsed="false">
      <c r="A24" s="43" t="s">
        <v>119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  <row r="25" customFormat="false" ht="15" hidden="false" customHeight="false" outlineLevel="0" collapsed="false">
      <c r="A25" s="31" t="s">
        <v>71</v>
      </c>
      <c r="B25" s="32" t="s">
        <v>72</v>
      </c>
      <c r="C25" s="32" t="s">
        <v>74</v>
      </c>
      <c r="D25" s="31" t="s">
        <v>120</v>
      </c>
      <c r="E25" s="31" t="s">
        <v>121</v>
      </c>
      <c r="F25" s="31" t="s">
        <v>81</v>
      </c>
      <c r="G25" s="31" t="s">
        <v>122</v>
      </c>
      <c r="H25" s="31" t="s">
        <v>123</v>
      </c>
      <c r="I25" s="31" t="s">
        <v>124</v>
      </c>
      <c r="J25" s="32" t="s">
        <v>125</v>
      </c>
      <c r="K25" s="32" t="s">
        <v>83</v>
      </c>
      <c r="L25" s="32" t="s">
        <v>126</v>
      </c>
      <c r="M25" s="32" t="s">
        <v>127</v>
      </c>
    </row>
    <row r="26" customFormat="false" ht="15" hidden="false" customHeight="false" outlineLevel="0" collapsed="false">
      <c r="A26" s="40" t="s">
        <v>128</v>
      </c>
      <c r="J26" s="42" t="n">
        <f aca="false">SUMIFS(J27:J126,$C$27:$C$126,설정!$B$5)</f>
        <v>0</v>
      </c>
      <c r="K26" s="42" t="n">
        <f aca="false">SUMIFS(K27:K126,$C$27:$C$126,설정!$B$5)</f>
        <v>0</v>
      </c>
      <c r="L26" s="42" t="n">
        <f aca="false">SUMIFS(L27:L126,$C$27:$C$126,설정!$B$5)</f>
        <v>0</v>
      </c>
      <c r="M26" s="41" t="n">
        <f aca="false">IF(J26=0,0,L26/J26)</f>
        <v>0</v>
      </c>
    </row>
    <row r="27" customFormat="false" ht="15" hidden="false" customHeight="false" outlineLevel="0" collapsed="false">
      <c r="A27" s="45"/>
      <c r="B27" s="46" t="str">
        <f aca="false">IF(A27="","",IFERROR(INDEX(계좌!$B$2:$B$41,MATCH(A27,계좌!$A$2:$A$41,0)),"?"))</f>
        <v/>
      </c>
      <c r="C27" s="46" t="str">
        <f aca="false">IF(A27="","",IFERROR(INDEX(계좌!$E$2:$E$41,MATCH(A27,계좌!$A$2:$A$41,0)),"?"))</f>
        <v/>
      </c>
      <c r="D27" s="45"/>
      <c r="E27" s="45"/>
      <c r="F27" s="45"/>
      <c r="G27" s="48"/>
      <c r="H27" s="48"/>
      <c r="I27" s="48"/>
      <c r="J27" s="20" t="str">
        <f aca="false">IF(A27="","",G27*H27)</f>
        <v/>
      </c>
      <c r="K27" s="20" t="str">
        <f aca="false">IF(A27="","",G27*I27)</f>
        <v/>
      </c>
      <c r="L27" s="20" t="str">
        <f aca="false">IF(A27="","",K27-J27)</f>
        <v/>
      </c>
      <c r="M27" s="38" t="str">
        <f aca="false">IF(OR(A27="",N(J27)=0),"",L27/J27)</f>
        <v/>
      </c>
    </row>
    <row r="28" customFormat="false" ht="15" hidden="false" customHeight="false" outlineLevel="0" collapsed="false">
      <c r="A28" s="45"/>
      <c r="B28" s="46" t="str">
        <f aca="false">IF(A28="","",IFERROR(INDEX(계좌!$B$2:$B$41,MATCH(A28,계좌!$A$2:$A$41,0)),"?"))</f>
        <v/>
      </c>
      <c r="C28" s="46" t="str">
        <f aca="false">IF(A28="","",IFERROR(INDEX(계좌!$E$2:$E$41,MATCH(A28,계좌!$A$2:$A$41,0)),"?"))</f>
        <v/>
      </c>
      <c r="D28" s="45"/>
      <c r="E28" s="45"/>
      <c r="F28" s="45"/>
      <c r="G28" s="48"/>
      <c r="H28" s="48"/>
      <c r="I28" s="48"/>
      <c r="J28" s="20" t="str">
        <f aca="false">IF(A28="","",G28*H28)</f>
        <v/>
      </c>
      <c r="K28" s="20" t="str">
        <f aca="false">IF(A28="","",G28*I28)</f>
        <v/>
      </c>
      <c r="L28" s="20" t="str">
        <f aca="false">IF(A28="","",K28-J28)</f>
        <v/>
      </c>
      <c r="M28" s="38" t="str">
        <f aca="false">IF(OR(A28="",N(J28)=0),"",L28/J28)</f>
        <v/>
      </c>
    </row>
    <row r="29" customFormat="false" ht="15" hidden="false" customHeight="false" outlineLevel="0" collapsed="false">
      <c r="A29" s="45"/>
      <c r="B29" s="46" t="str">
        <f aca="false">IF(A29="","",IFERROR(INDEX(계좌!$B$2:$B$41,MATCH(A29,계좌!$A$2:$A$41,0)),"?"))</f>
        <v/>
      </c>
      <c r="C29" s="46" t="str">
        <f aca="false">IF(A29="","",IFERROR(INDEX(계좌!$E$2:$E$41,MATCH(A29,계좌!$A$2:$A$41,0)),"?"))</f>
        <v/>
      </c>
      <c r="D29" s="45"/>
      <c r="E29" s="45"/>
      <c r="F29" s="45"/>
      <c r="G29" s="48"/>
      <c r="H29" s="48"/>
      <c r="I29" s="48"/>
      <c r="J29" s="20" t="str">
        <f aca="false">IF(A29="","",G29*H29)</f>
        <v/>
      </c>
      <c r="K29" s="20" t="str">
        <f aca="false">IF(A29="","",G29*I29)</f>
        <v/>
      </c>
      <c r="L29" s="20" t="str">
        <f aca="false">IF(A29="","",K29-J29)</f>
        <v/>
      </c>
      <c r="M29" s="38" t="str">
        <f aca="false">IF(OR(A29="",N(J29)=0),"",L29/J29)</f>
        <v/>
      </c>
    </row>
    <row r="30" customFormat="false" ht="15" hidden="false" customHeight="false" outlineLevel="0" collapsed="false">
      <c r="A30" s="45"/>
      <c r="B30" s="46" t="str">
        <f aca="false">IF(A30="","",IFERROR(INDEX(계좌!$B$2:$B$41,MATCH(A30,계좌!$A$2:$A$41,0)),"?"))</f>
        <v/>
      </c>
      <c r="C30" s="46" t="str">
        <f aca="false">IF(A30="","",IFERROR(INDEX(계좌!$E$2:$E$41,MATCH(A30,계좌!$A$2:$A$41,0)),"?"))</f>
        <v/>
      </c>
      <c r="D30" s="45"/>
      <c r="E30" s="45"/>
      <c r="F30" s="45"/>
      <c r="G30" s="48"/>
      <c r="H30" s="48"/>
      <c r="I30" s="48"/>
      <c r="J30" s="20" t="str">
        <f aca="false">IF(A30="","",G30*H30)</f>
        <v/>
      </c>
      <c r="K30" s="20" t="str">
        <f aca="false">IF(A30="","",G30*I30)</f>
        <v/>
      </c>
      <c r="L30" s="20" t="str">
        <f aca="false">IF(A30="","",K30-J30)</f>
        <v/>
      </c>
      <c r="M30" s="38" t="str">
        <f aca="false">IF(OR(A30="",N(J30)=0),"",L30/J30)</f>
        <v/>
      </c>
    </row>
    <row r="31" customFormat="false" ht="15" hidden="false" customHeight="false" outlineLevel="0" collapsed="false">
      <c r="A31" s="45"/>
      <c r="B31" s="46" t="str">
        <f aca="false">IF(A31="","",IFERROR(INDEX(계좌!$B$2:$B$41,MATCH(A31,계좌!$A$2:$A$41,0)),"?"))</f>
        <v/>
      </c>
      <c r="C31" s="46" t="str">
        <f aca="false">IF(A31="","",IFERROR(INDEX(계좌!$E$2:$E$41,MATCH(A31,계좌!$A$2:$A$41,0)),"?"))</f>
        <v/>
      </c>
      <c r="D31" s="45"/>
      <c r="E31" s="45"/>
      <c r="F31" s="45"/>
      <c r="G31" s="48"/>
      <c r="H31" s="48"/>
      <c r="I31" s="48"/>
      <c r="J31" s="20" t="str">
        <f aca="false">IF(A31="","",G31*H31)</f>
        <v/>
      </c>
      <c r="K31" s="20" t="str">
        <f aca="false">IF(A31="","",G31*I31)</f>
        <v/>
      </c>
      <c r="L31" s="20" t="str">
        <f aca="false">IF(A31="","",K31-J31)</f>
        <v/>
      </c>
      <c r="M31" s="38" t="str">
        <f aca="false">IF(OR(A31="",N(J31)=0),"",L31/J31)</f>
        <v/>
      </c>
    </row>
    <row r="32" customFormat="false" ht="15" hidden="false" customHeight="false" outlineLevel="0" collapsed="false">
      <c r="A32" s="45"/>
      <c r="B32" s="46" t="str">
        <f aca="false">IF(A32="","",IFERROR(INDEX(계좌!$B$2:$B$41,MATCH(A32,계좌!$A$2:$A$41,0)),"?"))</f>
        <v/>
      </c>
      <c r="C32" s="46" t="str">
        <f aca="false">IF(A32="","",IFERROR(INDEX(계좌!$E$2:$E$41,MATCH(A32,계좌!$A$2:$A$41,0)),"?"))</f>
        <v/>
      </c>
      <c r="D32" s="45"/>
      <c r="E32" s="45"/>
      <c r="F32" s="45"/>
      <c r="G32" s="48"/>
      <c r="H32" s="48"/>
      <c r="I32" s="48"/>
      <c r="J32" s="20" t="str">
        <f aca="false">IF(A32="","",G32*H32)</f>
        <v/>
      </c>
      <c r="K32" s="20" t="str">
        <f aca="false">IF(A32="","",G32*I32)</f>
        <v/>
      </c>
      <c r="L32" s="20" t="str">
        <f aca="false">IF(A32="","",K32-J32)</f>
        <v/>
      </c>
      <c r="M32" s="38" t="str">
        <f aca="false">IF(OR(A32="",N(J32)=0),"",L32/J32)</f>
        <v/>
      </c>
    </row>
    <row r="33" customFormat="false" ht="15" hidden="false" customHeight="false" outlineLevel="0" collapsed="false">
      <c r="A33" s="45"/>
      <c r="B33" s="46" t="str">
        <f aca="false">IF(A33="","",IFERROR(INDEX(계좌!$B$2:$B$41,MATCH(A33,계좌!$A$2:$A$41,0)),"?"))</f>
        <v/>
      </c>
      <c r="C33" s="46" t="str">
        <f aca="false">IF(A33="","",IFERROR(INDEX(계좌!$E$2:$E$41,MATCH(A33,계좌!$A$2:$A$41,0)),"?"))</f>
        <v/>
      </c>
      <c r="D33" s="45"/>
      <c r="E33" s="45"/>
      <c r="F33" s="45"/>
      <c r="G33" s="48"/>
      <c r="H33" s="48"/>
      <c r="I33" s="48"/>
      <c r="J33" s="20" t="str">
        <f aca="false">IF(A33="","",G33*H33)</f>
        <v/>
      </c>
      <c r="K33" s="20" t="str">
        <f aca="false">IF(A33="","",G33*I33)</f>
        <v/>
      </c>
      <c r="L33" s="20" t="str">
        <f aca="false">IF(A33="","",K33-J33)</f>
        <v/>
      </c>
      <c r="M33" s="38" t="str">
        <f aca="false">IF(OR(A33="",N(J33)=0),"",L33/J33)</f>
        <v/>
      </c>
    </row>
    <row r="34" customFormat="false" ht="15" hidden="false" customHeight="false" outlineLevel="0" collapsed="false">
      <c r="A34" s="45"/>
      <c r="B34" s="46" t="str">
        <f aca="false">IF(A34="","",IFERROR(INDEX(계좌!$B$2:$B$41,MATCH(A34,계좌!$A$2:$A$41,0)),"?"))</f>
        <v/>
      </c>
      <c r="C34" s="46" t="str">
        <f aca="false">IF(A34="","",IFERROR(INDEX(계좌!$E$2:$E$41,MATCH(A34,계좌!$A$2:$A$41,0)),"?"))</f>
        <v/>
      </c>
      <c r="D34" s="45"/>
      <c r="E34" s="45"/>
      <c r="F34" s="45"/>
      <c r="G34" s="48"/>
      <c r="H34" s="48"/>
      <c r="I34" s="48"/>
      <c r="J34" s="20" t="str">
        <f aca="false">IF(A34="","",G34*H34)</f>
        <v/>
      </c>
      <c r="K34" s="20" t="str">
        <f aca="false">IF(A34="","",G34*I34)</f>
        <v/>
      </c>
      <c r="L34" s="20" t="str">
        <f aca="false">IF(A34="","",K34-J34)</f>
        <v/>
      </c>
      <c r="M34" s="38" t="str">
        <f aca="false">IF(OR(A34="",N(J34)=0),"",L34/J34)</f>
        <v/>
      </c>
    </row>
    <row r="35" customFormat="false" ht="15" hidden="false" customHeight="false" outlineLevel="0" collapsed="false">
      <c r="A35" s="45"/>
      <c r="B35" s="46" t="str">
        <f aca="false">IF(A35="","",IFERROR(INDEX(계좌!$B$2:$B$41,MATCH(A35,계좌!$A$2:$A$41,0)),"?"))</f>
        <v/>
      </c>
      <c r="C35" s="46" t="str">
        <f aca="false">IF(A35="","",IFERROR(INDEX(계좌!$E$2:$E$41,MATCH(A35,계좌!$A$2:$A$41,0)),"?"))</f>
        <v/>
      </c>
      <c r="D35" s="45"/>
      <c r="E35" s="45"/>
      <c r="F35" s="45"/>
      <c r="G35" s="48"/>
      <c r="H35" s="48"/>
      <c r="I35" s="48"/>
      <c r="J35" s="20" t="str">
        <f aca="false">IF(A35="","",G35*H35)</f>
        <v/>
      </c>
      <c r="K35" s="20" t="str">
        <f aca="false">IF(A35="","",G35*I35)</f>
        <v/>
      </c>
      <c r="L35" s="20" t="str">
        <f aca="false">IF(A35="","",K35-J35)</f>
        <v/>
      </c>
      <c r="M35" s="38" t="str">
        <f aca="false">IF(OR(A35="",N(J35)=0),"",L35/J35)</f>
        <v/>
      </c>
    </row>
    <row r="36" customFormat="false" ht="15" hidden="false" customHeight="false" outlineLevel="0" collapsed="false">
      <c r="A36" s="45"/>
      <c r="B36" s="46" t="str">
        <f aca="false">IF(A36="","",IFERROR(INDEX(계좌!$B$2:$B$41,MATCH(A36,계좌!$A$2:$A$41,0)),"?"))</f>
        <v/>
      </c>
      <c r="C36" s="46" t="str">
        <f aca="false">IF(A36="","",IFERROR(INDEX(계좌!$E$2:$E$41,MATCH(A36,계좌!$A$2:$A$41,0)),"?"))</f>
        <v/>
      </c>
      <c r="D36" s="45"/>
      <c r="E36" s="45"/>
      <c r="F36" s="45"/>
      <c r="G36" s="48"/>
      <c r="H36" s="48"/>
      <c r="I36" s="48"/>
      <c r="J36" s="20" t="str">
        <f aca="false">IF(A36="","",G36*H36)</f>
        <v/>
      </c>
      <c r="K36" s="20" t="str">
        <f aca="false">IF(A36="","",G36*I36)</f>
        <v/>
      </c>
      <c r="L36" s="20" t="str">
        <f aca="false">IF(A36="","",K36-J36)</f>
        <v/>
      </c>
      <c r="M36" s="38" t="str">
        <f aca="false">IF(OR(A36="",N(J36)=0),"",L36/J36)</f>
        <v/>
      </c>
    </row>
    <row r="37" customFormat="false" ht="15" hidden="false" customHeight="false" outlineLevel="0" collapsed="false">
      <c r="A37" s="45"/>
      <c r="B37" s="46" t="str">
        <f aca="false">IF(A37="","",IFERROR(INDEX(계좌!$B$2:$B$41,MATCH(A37,계좌!$A$2:$A$41,0)),"?"))</f>
        <v/>
      </c>
      <c r="C37" s="46" t="str">
        <f aca="false">IF(A37="","",IFERROR(INDEX(계좌!$E$2:$E$41,MATCH(A37,계좌!$A$2:$A$41,0)),"?"))</f>
        <v/>
      </c>
      <c r="D37" s="45"/>
      <c r="E37" s="45"/>
      <c r="F37" s="45"/>
      <c r="G37" s="48"/>
      <c r="H37" s="48"/>
      <c r="I37" s="48"/>
      <c r="J37" s="20" t="str">
        <f aca="false">IF(A37="","",G37*H37)</f>
        <v/>
      </c>
      <c r="K37" s="20" t="str">
        <f aca="false">IF(A37="","",G37*I37)</f>
        <v/>
      </c>
      <c r="L37" s="20" t="str">
        <f aca="false">IF(A37="","",K37-J37)</f>
        <v/>
      </c>
      <c r="M37" s="38" t="str">
        <f aca="false">IF(OR(A37="",N(J37)=0),"",L37/J37)</f>
        <v/>
      </c>
    </row>
    <row r="38" customFormat="false" ht="15" hidden="false" customHeight="false" outlineLevel="0" collapsed="false">
      <c r="A38" s="45"/>
      <c r="B38" s="46" t="str">
        <f aca="false">IF(A38="","",IFERROR(INDEX(계좌!$B$2:$B$41,MATCH(A38,계좌!$A$2:$A$41,0)),"?"))</f>
        <v/>
      </c>
      <c r="C38" s="46" t="str">
        <f aca="false">IF(A38="","",IFERROR(INDEX(계좌!$E$2:$E$41,MATCH(A38,계좌!$A$2:$A$41,0)),"?"))</f>
        <v/>
      </c>
      <c r="D38" s="45"/>
      <c r="E38" s="45"/>
      <c r="F38" s="45"/>
      <c r="G38" s="48"/>
      <c r="H38" s="48"/>
      <c r="I38" s="48"/>
      <c r="J38" s="20" t="str">
        <f aca="false">IF(A38="","",G38*H38)</f>
        <v/>
      </c>
      <c r="K38" s="20" t="str">
        <f aca="false">IF(A38="","",G38*I38)</f>
        <v/>
      </c>
      <c r="L38" s="20" t="str">
        <f aca="false">IF(A38="","",K38-J38)</f>
        <v/>
      </c>
      <c r="M38" s="38" t="str">
        <f aca="false">IF(OR(A38="",N(J38)=0),"",L38/J38)</f>
        <v/>
      </c>
    </row>
    <row r="39" customFormat="false" ht="15" hidden="false" customHeight="false" outlineLevel="0" collapsed="false">
      <c r="A39" s="45"/>
      <c r="B39" s="46" t="str">
        <f aca="false">IF(A39="","",IFERROR(INDEX(계좌!$B$2:$B$41,MATCH(A39,계좌!$A$2:$A$41,0)),"?"))</f>
        <v/>
      </c>
      <c r="C39" s="46" t="str">
        <f aca="false">IF(A39="","",IFERROR(INDEX(계좌!$E$2:$E$41,MATCH(A39,계좌!$A$2:$A$41,0)),"?"))</f>
        <v/>
      </c>
      <c r="D39" s="45"/>
      <c r="E39" s="45"/>
      <c r="F39" s="45"/>
      <c r="G39" s="48"/>
      <c r="H39" s="48"/>
      <c r="I39" s="48"/>
      <c r="J39" s="20" t="str">
        <f aca="false">IF(A39="","",G39*H39)</f>
        <v/>
      </c>
      <c r="K39" s="20" t="str">
        <f aca="false">IF(A39="","",G39*I39)</f>
        <v/>
      </c>
      <c r="L39" s="20" t="str">
        <f aca="false">IF(A39="","",K39-J39)</f>
        <v/>
      </c>
      <c r="M39" s="38" t="str">
        <f aca="false">IF(OR(A39="",N(J39)=0),"",L39/J39)</f>
        <v/>
      </c>
    </row>
    <row r="40" customFormat="false" ht="15" hidden="false" customHeight="false" outlineLevel="0" collapsed="false">
      <c r="A40" s="45"/>
      <c r="B40" s="46" t="str">
        <f aca="false">IF(A40="","",IFERROR(INDEX(계좌!$B$2:$B$41,MATCH(A40,계좌!$A$2:$A$41,0)),"?"))</f>
        <v/>
      </c>
      <c r="C40" s="46" t="str">
        <f aca="false">IF(A40="","",IFERROR(INDEX(계좌!$E$2:$E$41,MATCH(A40,계좌!$A$2:$A$41,0)),"?"))</f>
        <v/>
      </c>
      <c r="D40" s="45"/>
      <c r="E40" s="45"/>
      <c r="F40" s="45"/>
      <c r="G40" s="48"/>
      <c r="H40" s="48"/>
      <c r="I40" s="48"/>
      <c r="J40" s="20" t="str">
        <f aca="false">IF(A40="","",G40*H40)</f>
        <v/>
      </c>
      <c r="K40" s="20" t="str">
        <f aca="false">IF(A40="","",G40*I40)</f>
        <v/>
      </c>
      <c r="L40" s="20" t="str">
        <f aca="false">IF(A40="","",K40-J40)</f>
        <v/>
      </c>
      <c r="M40" s="38" t="str">
        <f aca="false">IF(OR(A40="",N(J40)=0),"",L40/J40)</f>
        <v/>
      </c>
    </row>
    <row r="41" customFormat="false" ht="15" hidden="false" customHeight="false" outlineLevel="0" collapsed="false">
      <c r="A41" s="45"/>
      <c r="B41" s="46" t="str">
        <f aca="false">IF(A41="","",IFERROR(INDEX(계좌!$B$2:$B$41,MATCH(A41,계좌!$A$2:$A$41,0)),"?"))</f>
        <v/>
      </c>
      <c r="C41" s="46" t="str">
        <f aca="false">IF(A41="","",IFERROR(INDEX(계좌!$E$2:$E$41,MATCH(A41,계좌!$A$2:$A$41,0)),"?"))</f>
        <v/>
      </c>
      <c r="D41" s="45"/>
      <c r="E41" s="45"/>
      <c r="F41" s="45"/>
      <c r="G41" s="48"/>
      <c r="H41" s="48"/>
      <c r="I41" s="48"/>
      <c r="J41" s="20" t="str">
        <f aca="false">IF(A41="","",G41*H41)</f>
        <v/>
      </c>
      <c r="K41" s="20" t="str">
        <f aca="false">IF(A41="","",G41*I41)</f>
        <v/>
      </c>
      <c r="L41" s="20" t="str">
        <f aca="false">IF(A41="","",K41-J41)</f>
        <v/>
      </c>
      <c r="M41" s="38" t="str">
        <f aca="false">IF(OR(A41="",N(J41)=0),"",L41/J41)</f>
        <v/>
      </c>
    </row>
    <row r="42" customFormat="false" ht="15" hidden="false" customHeight="false" outlineLevel="0" collapsed="false">
      <c r="A42" s="45"/>
      <c r="B42" s="46" t="str">
        <f aca="false">IF(A42="","",IFERROR(INDEX(계좌!$B$2:$B$41,MATCH(A42,계좌!$A$2:$A$41,0)),"?"))</f>
        <v/>
      </c>
      <c r="C42" s="46" t="str">
        <f aca="false">IF(A42="","",IFERROR(INDEX(계좌!$E$2:$E$41,MATCH(A42,계좌!$A$2:$A$41,0)),"?"))</f>
        <v/>
      </c>
      <c r="D42" s="45"/>
      <c r="E42" s="45"/>
      <c r="F42" s="45"/>
      <c r="G42" s="48"/>
      <c r="H42" s="48"/>
      <c r="I42" s="48"/>
      <c r="J42" s="20" t="str">
        <f aca="false">IF(A42="","",G42*H42)</f>
        <v/>
      </c>
      <c r="K42" s="20" t="str">
        <f aca="false">IF(A42="","",G42*I42)</f>
        <v/>
      </c>
      <c r="L42" s="20" t="str">
        <f aca="false">IF(A42="","",K42-J42)</f>
        <v/>
      </c>
      <c r="M42" s="38" t="str">
        <f aca="false">IF(OR(A42="",N(J42)=0),"",L42/J42)</f>
        <v/>
      </c>
    </row>
    <row r="43" customFormat="false" ht="15" hidden="false" customHeight="false" outlineLevel="0" collapsed="false">
      <c r="A43" s="45"/>
      <c r="B43" s="46" t="str">
        <f aca="false">IF(A43="","",IFERROR(INDEX(계좌!$B$2:$B$41,MATCH(A43,계좌!$A$2:$A$41,0)),"?"))</f>
        <v/>
      </c>
      <c r="C43" s="46" t="str">
        <f aca="false">IF(A43="","",IFERROR(INDEX(계좌!$E$2:$E$41,MATCH(A43,계좌!$A$2:$A$41,0)),"?"))</f>
        <v/>
      </c>
      <c r="D43" s="45"/>
      <c r="E43" s="45"/>
      <c r="F43" s="45"/>
      <c r="G43" s="48"/>
      <c r="H43" s="48"/>
      <c r="I43" s="48"/>
      <c r="J43" s="20" t="str">
        <f aca="false">IF(A43="","",G43*H43)</f>
        <v/>
      </c>
      <c r="K43" s="20" t="str">
        <f aca="false">IF(A43="","",G43*I43)</f>
        <v/>
      </c>
      <c r="L43" s="20" t="str">
        <f aca="false">IF(A43="","",K43-J43)</f>
        <v/>
      </c>
      <c r="M43" s="38" t="str">
        <f aca="false">IF(OR(A43="",N(J43)=0),"",L43/J43)</f>
        <v/>
      </c>
    </row>
    <row r="44" customFormat="false" ht="15" hidden="false" customHeight="false" outlineLevel="0" collapsed="false">
      <c r="A44" s="45"/>
      <c r="B44" s="46" t="str">
        <f aca="false">IF(A44="","",IFERROR(INDEX(계좌!$B$2:$B$41,MATCH(A44,계좌!$A$2:$A$41,0)),"?"))</f>
        <v/>
      </c>
      <c r="C44" s="46" t="str">
        <f aca="false">IF(A44="","",IFERROR(INDEX(계좌!$E$2:$E$41,MATCH(A44,계좌!$A$2:$A$41,0)),"?"))</f>
        <v/>
      </c>
      <c r="D44" s="45"/>
      <c r="E44" s="45"/>
      <c r="F44" s="45"/>
      <c r="G44" s="48"/>
      <c r="H44" s="48"/>
      <c r="I44" s="48"/>
      <c r="J44" s="20" t="str">
        <f aca="false">IF(A44="","",G44*H44)</f>
        <v/>
      </c>
      <c r="K44" s="20" t="str">
        <f aca="false">IF(A44="","",G44*I44)</f>
        <v/>
      </c>
      <c r="L44" s="20" t="str">
        <f aca="false">IF(A44="","",K44-J44)</f>
        <v/>
      </c>
      <c r="M44" s="38" t="str">
        <f aca="false">IF(OR(A44="",N(J44)=0),"",L44/J44)</f>
        <v/>
      </c>
    </row>
    <row r="45" customFormat="false" ht="15" hidden="false" customHeight="false" outlineLevel="0" collapsed="false">
      <c r="A45" s="45"/>
      <c r="B45" s="46" t="str">
        <f aca="false">IF(A45="","",IFERROR(INDEX(계좌!$B$2:$B$41,MATCH(A45,계좌!$A$2:$A$41,0)),"?"))</f>
        <v/>
      </c>
      <c r="C45" s="46" t="str">
        <f aca="false">IF(A45="","",IFERROR(INDEX(계좌!$E$2:$E$41,MATCH(A45,계좌!$A$2:$A$41,0)),"?"))</f>
        <v/>
      </c>
      <c r="D45" s="45"/>
      <c r="E45" s="45"/>
      <c r="F45" s="45"/>
      <c r="G45" s="48"/>
      <c r="H45" s="48"/>
      <c r="I45" s="48"/>
      <c r="J45" s="20" t="str">
        <f aca="false">IF(A45="","",G45*H45)</f>
        <v/>
      </c>
      <c r="K45" s="20" t="str">
        <f aca="false">IF(A45="","",G45*I45)</f>
        <v/>
      </c>
      <c r="L45" s="20" t="str">
        <f aca="false">IF(A45="","",K45-J45)</f>
        <v/>
      </c>
      <c r="M45" s="38" t="str">
        <f aca="false">IF(OR(A45="",N(J45)=0),"",L45/J45)</f>
        <v/>
      </c>
    </row>
    <row r="46" customFormat="false" ht="15" hidden="false" customHeight="false" outlineLevel="0" collapsed="false">
      <c r="A46" s="45"/>
      <c r="B46" s="46" t="str">
        <f aca="false">IF(A46="","",IFERROR(INDEX(계좌!$B$2:$B$41,MATCH(A46,계좌!$A$2:$A$41,0)),"?"))</f>
        <v/>
      </c>
      <c r="C46" s="46" t="str">
        <f aca="false">IF(A46="","",IFERROR(INDEX(계좌!$E$2:$E$41,MATCH(A46,계좌!$A$2:$A$41,0)),"?"))</f>
        <v/>
      </c>
      <c r="D46" s="45"/>
      <c r="E46" s="45"/>
      <c r="F46" s="45"/>
      <c r="G46" s="48"/>
      <c r="H46" s="48"/>
      <c r="I46" s="48"/>
      <c r="J46" s="20" t="str">
        <f aca="false">IF(A46="","",G46*H46)</f>
        <v/>
      </c>
      <c r="K46" s="20" t="str">
        <f aca="false">IF(A46="","",G46*I46)</f>
        <v/>
      </c>
      <c r="L46" s="20" t="str">
        <f aca="false">IF(A46="","",K46-J46)</f>
        <v/>
      </c>
      <c r="M46" s="38" t="str">
        <f aca="false">IF(OR(A46="",N(J46)=0),"",L46/J46)</f>
        <v/>
      </c>
    </row>
    <row r="47" customFormat="false" ht="15" hidden="false" customHeight="false" outlineLevel="0" collapsed="false">
      <c r="A47" s="45"/>
      <c r="B47" s="46" t="str">
        <f aca="false">IF(A47="","",IFERROR(INDEX(계좌!$B$2:$B$41,MATCH(A47,계좌!$A$2:$A$41,0)),"?"))</f>
        <v/>
      </c>
      <c r="C47" s="46" t="str">
        <f aca="false">IF(A47="","",IFERROR(INDEX(계좌!$E$2:$E$41,MATCH(A47,계좌!$A$2:$A$41,0)),"?"))</f>
        <v/>
      </c>
      <c r="D47" s="45"/>
      <c r="E47" s="45"/>
      <c r="F47" s="45"/>
      <c r="G47" s="48"/>
      <c r="H47" s="48"/>
      <c r="I47" s="48"/>
      <c r="J47" s="20" t="str">
        <f aca="false">IF(A47="","",G47*H47)</f>
        <v/>
      </c>
      <c r="K47" s="20" t="str">
        <f aca="false">IF(A47="","",G47*I47)</f>
        <v/>
      </c>
      <c r="L47" s="20" t="str">
        <f aca="false">IF(A47="","",K47-J47)</f>
        <v/>
      </c>
      <c r="M47" s="38" t="str">
        <f aca="false">IF(OR(A47="",N(J47)=0),"",L47/J47)</f>
        <v/>
      </c>
    </row>
    <row r="48" customFormat="false" ht="15" hidden="false" customHeight="false" outlineLevel="0" collapsed="false">
      <c r="A48" s="45"/>
      <c r="B48" s="46" t="str">
        <f aca="false">IF(A48="","",IFERROR(INDEX(계좌!$B$2:$B$41,MATCH(A48,계좌!$A$2:$A$41,0)),"?"))</f>
        <v/>
      </c>
      <c r="C48" s="46" t="str">
        <f aca="false">IF(A48="","",IFERROR(INDEX(계좌!$E$2:$E$41,MATCH(A48,계좌!$A$2:$A$41,0)),"?"))</f>
        <v/>
      </c>
      <c r="D48" s="45"/>
      <c r="E48" s="45"/>
      <c r="F48" s="45"/>
      <c r="G48" s="48"/>
      <c r="H48" s="48"/>
      <c r="I48" s="48"/>
      <c r="J48" s="20" t="str">
        <f aca="false">IF(A48="","",G48*H48)</f>
        <v/>
      </c>
      <c r="K48" s="20" t="str">
        <f aca="false">IF(A48="","",G48*I48)</f>
        <v/>
      </c>
      <c r="L48" s="20" t="str">
        <f aca="false">IF(A48="","",K48-J48)</f>
        <v/>
      </c>
      <c r="M48" s="38" t="str">
        <f aca="false">IF(OR(A48="",N(J48)=0),"",L48/J48)</f>
        <v/>
      </c>
    </row>
    <row r="49" customFormat="false" ht="15" hidden="false" customHeight="false" outlineLevel="0" collapsed="false">
      <c r="A49" s="45"/>
      <c r="B49" s="46" t="str">
        <f aca="false">IF(A49="","",IFERROR(INDEX(계좌!$B$2:$B$41,MATCH(A49,계좌!$A$2:$A$41,0)),"?"))</f>
        <v/>
      </c>
      <c r="C49" s="46" t="str">
        <f aca="false">IF(A49="","",IFERROR(INDEX(계좌!$E$2:$E$41,MATCH(A49,계좌!$A$2:$A$41,0)),"?"))</f>
        <v/>
      </c>
      <c r="D49" s="45"/>
      <c r="E49" s="45"/>
      <c r="F49" s="45"/>
      <c r="G49" s="48"/>
      <c r="H49" s="48"/>
      <c r="I49" s="48"/>
      <c r="J49" s="20" t="str">
        <f aca="false">IF(A49="","",G49*H49)</f>
        <v/>
      </c>
      <c r="K49" s="20" t="str">
        <f aca="false">IF(A49="","",G49*I49)</f>
        <v/>
      </c>
      <c r="L49" s="20" t="str">
        <f aca="false">IF(A49="","",K49-J49)</f>
        <v/>
      </c>
      <c r="M49" s="38" t="str">
        <f aca="false">IF(OR(A49="",N(J49)=0),"",L49/J49)</f>
        <v/>
      </c>
    </row>
    <row r="50" customFormat="false" ht="15" hidden="false" customHeight="false" outlineLevel="0" collapsed="false">
      <c r="A50" s="45"/>
      <c r="B50" s="46" t="str">
        <f aca="false">IF(A50="","",IFERROR(INDEX(계좌!$B$2:$B$41,MATCH(A50,계좌!$A$2:$A$41,0)),"?"))</f>
        <v/>
      </c>
      <c r="C50" s="46" t="str">
        <f aca="false">IF(A50="","",IFERROR(INDEX(계좌!$E$2:$E$41,MATCH(A50,계좌!$A$2:$A$41,0)),"?"))</f>
        <v/>
      </c>
      <c r="D50" s="45"/>
      <c r="E50" s="45"/>
      <c r="F50" s="45"/>
      <c r="G50" s="48"/>
      <c r="H50" s="48"/>
      <c r="I50" s="48"/>
      <c r="J50" s="20" t="str">
        <f aca="false">IF(A50="","",G50*H50)</f>
        <v/>
      </c>
      <c r="K50" s="20" t="str">
        <f aca="false">IF(A50="","",G50*I50)</f>
        <v/>
      </c>
      <c r="L50" s="20" t="str">
        <f aca="false">IF(A50="","",K50-J50)</f>
        <v/>
      </c>
      <c r="M50" s="38" t="str">
        <f aca="false">IF(OR(A50="",N(J50)=0),"",L50/J50)</f>
        <v/>
      </c>
    </row>
    <row r="51" customFormat="false" ht="15" hidden="false" customHeight="false" outlineLevel="0" collapsed="false">
      <c r="A51" s="45"/>
      <c r="B51" s="46" t="str">
        <f aca="false">IF(A51="","",IFERROR(INDEX(계좌!$B$2:$B$41,MATCH(A51,계좌!$A$2:$A$41,0)),"?"))</f>
        <v/>
      </c>
      <c r="C51" s="46" t="str">
        <f aca="false">IF(A51="","",IFERROR(INDEX(계좌!$E$2:$E$41,MATCH(A51,계좌!$A$2:$A$41,0)),"?"))</f>
        <v/>
      </c>
      <c r="D51" s="45"/>
      <c r="E51" s="45"/>
      <c r="F51" s="45"/>
      <c r="G51" s="48"/>
      <c r="H51" s="48"/>
      <c r="I51" s="48"/>
      <c r="J51" s="20" t="str">
        <f aca="false">IF(A51="","",G51*H51)</f>
        <v/>
      </c>
      <c r="K51" s="20" t="str">
        <f aca="false">IF(A51="","",G51*I51)</f>
        <v/>
      </c>
      <c r="L51" s="20" t="str">
        <f aca="false">IF(A51="","",K51-J51)</f>
        <v/>
      </c>
      <c r="M51" s="38" t="str">
        <f aca="false">IF(OR(A51="",N(J51)=0),"",L51/J51)</f>
        <v/>
      </c>
    </row>
    <row r="52" customFormat="false" ht="15" hidden="false" customHeight="false" outlineLevel="0" collapsed="false">
      <c r="A52" s="45"/>
      <c r="B52" s="46" t="str">
        <f aca="false">IF(A52="","",IFERROR(INDEX(계좌!$B$2:$B$41,MATCH(A52,계좌!$A$2:$A$41,0)),"?"))</f>
        <v/>
      </c>
      <c r="C52" s="46" t="str">
        <f aca="false">IF(A52="","",IFERROR(INDEX(계좌!$E$2:$E$41,MATCH(A52,계좌!$A$2:$A$41,0)),"?"))</f>
        <v/>
      </c>
      <c r="D52" s="45"/>
      <c r="E52" s="45"/>
      <c r="F52" s="45"/>
      <c r="G52" s="48"/>
      <c r="H52" s="48"/>
      <c r="I52" s="48"/>
      <c r="J52" s="20" t="str">
        <f aca="false">IF(A52="","",G52*H52)</f>
        <v/>
      </c>
      <c r="K52" s="20" t="str">
        <f aca="false">IF(A52="","",G52*I52)</f>
        <v/>
      </c>
      <c r="L52" s="20" t="str">
        <f aca="false">IF(A52="","",K52-J52)</f>
        <v/>
      </c>
      <c r="M52" s="38" t="str">
        <f aca="false">IF(OR(A52="",N(J52)=0),"",L52/J52)</f>
        <v/>
      </c>
    </row>
    <row r="53" customFormat="false" ht="15" hidden="false" customHeight="false" outlineLevel="0" collapsed="false">
      <c r="A53" s="45"/>
      <c r="B53" s="46" t="str">
        <f aca="false">IF(A53="","",IFERROR(INDEX(계좌!$B$2:$B$41,MATCH(A53,계좌!$A$2:$A$41,0)),"?"))</f>
        <v/>
      </c>
      <c r="C53" s="46" t="str">
        <f aca="false">IF(A53="","",IFERROR(INDEX(계좌!$E$2:$E$41,MATCH(A53,계좌!$A$2:$A$41,0)),"?"))</f>
        <v/>
      </c>
      <c r="D53" s="45"/>
      <c r="E53" s="45"/>
      <c r="F53" s="45"/>
      <c r="G53" s="48"/>
      <c r="H53" s="48"/>
      <c r="I53" s="48"/>
      <c r="J53" s="20" t="str">
        <f aca="false">IF(A53="","",G53*H53)</f>
        <v/>
      </c>
      <c r="K53" s="20" t="str">
        <f aca="false">IF(A53="","",G53*I53)</f>
        <v/>
      </c>
      <c r="L53" s="20" t="str">
        <f aca="false">IF(A53="","",K53-J53)</f>
        <v/>
      </c>
      <c r="M53" s="38" t="str">
        <f aca="false">IF(OR(A53="",N(J53)=0),"",L53/J53)</f>
        <v/>
      </c>
    </row>
    <row r="54" customFormat="false" ht="15" hidden="false" customHeight="false" outlineLevel="0" collapsed="false">
      <c r="A54" s="45"/>
      <c r="B54" s="46" t="str">
        <f aca="false">IF(A54="","",IFERROR(INDEX(계좌!$B$2:$B$41,MATCH(A54,계좌!$A$2:$A$41,0)),"?"))</f>
        <v/>
      </c>
      <c r="C54" s="46" t="str">
        <f aca="false">IF(A54="","",IFERROR(INDEX(계좌!$E$2:$E$41,MATCH(A54,계좌!$A$2:$A$41,0)),"?"))</f>
        <v/>
      </c>
      <c r="D54" s="45"/>
      <c r="E54" s="45"/>
      <c r="F54" s="45"/>
      <c r="G54" s="48"/>
      <c r="H54" s="48"/>
      <c r="I54" s="48"/>
      <c r="J54" s="20" t="str">
        <f aca="false">IF(A54="","",G54*H54)</f>
        <v/>
      </c>
      <c r="K54" s="20" t="str">
        <f aca="false">IF(A54="","",G54*I54)</f>
        <v/>
      </c>
      <c r="L54" s="20" t="str">
        <f aca="false">IF(A54="","",K54-J54)</f>
        <v/>
      </c>
      <c r="M54" s="38" t="str">
        <f aca="false">IF(OR(A54="",N(J54)=0),"",L54/J54)</f>
        <v/>
      </c>
    </row>
    <row r="55" customFormat="false" ht="15" hidden="false" customHeight="false" outlineLevel="0" collapsed="false">
      <c r="A55" s="45"/>
      <c r="B55" s="46" t="str">
        <f aca="false">IF(A55="","",IFERROR(INDEX(계좌!$B$2:$B$41,MATCH(A55,계좌!$A$2:$A$41,0)),"?"))</f>
        <v/>
      </c>
      <c r="C55" s="46" t="str">
        <f aca="false">IF(A55="","",IFERROR(INDEX(계좌!$E$2:$E$41,MATCH(A55,계좌!$A$2:$A$41,0)),"?"))</f>
        <v/>
      </c>
      <c r="D55" s="45"/>
      <c r="E55" s="45"/>
      <c r="F55" s="45"/>
      <c r="G55" s="48"/>
      <c r="H55" s="48"/>
      <c r="I55" s="48"/>
      <c r="J55" s="20" t="str">
        <f aca="false">IF(A55="","",G55*H55)</f>
        <v/>
      </c>
      <c r="K55" s="20" t="str">
        <f aca="false">IF(A55="","",G55*I55)</f>
        <v/>
      </c>
      <c r="L55" s="20" t="str">
        <f aca="false">IF(A55="","",K55-J55)</f>
        <v/>
      </c>
      <c r="M55" s="38" t="str">
        <f aca="false">IF(OR(A55="",N(J55)=0),"",L55/J55)</f>
        <v/>
      </c>
    </row>
    <row r="56" customFormat="false" ht="15" hidden="false" customHeight="false" outlineLevel="0" collapsed="false">
      <c r="A56" s="45"/>
      <c r="B56" s="46" t="str">
        <f aca="false">IF(A56="","",IFERROR(INDEX(계좌!$B$2:$B$41,MATCH(A56,계좌!$A$2:$A$41,0)),"?"))</f>
        <v/>
      </c>
      <c r="C56" s="46" t="str">
        <f aca="false">IF(A56="","",IFERROR(INDEX(계좌!$E$2:$E$41,MATCH(A56,계좌!$A$2:$A$41,0)),"?"))</f>
        <v/>
      </c>
      <c r="D56" s="45"/>
      <c r="E56" s="45"/>
      <c r="F56" s="45"/>
      <c r="G56" s="48"/>
      <c r="H56" s="48"/>
      <c r="I56" s="48"/>
      <c r="J56" s="20" t="str">
        <f aca="false">IF(A56="","",G56*H56)</f>
        <v/>
      </c>
      <c r="K56" s="20" t="str">
        <f aca="false">IF(A56="","",G56*I56)</f>
        <v/>
      </c>
      <c r="L56" s="20" t="str">
        <f aca="false">IF(A56="","",K56-J56)</f>
        <v/>
      </c>
      <c r="M56" s="38" t="str">
        <f aca="false">IF(OR(A56="",N(J56)=0),"",L56/J56)</f>
        <v/>
      </c>
    </row>
    <row r="57" customFormat="false" ht="15" hidden="false" customHeight="false" outlineLevel="0" collapsed="false">
      <c r="A57" s="45"/>
      <c r="B57" s="46" t="str">
        <f aca="false">IF(A57="","",IFERROR(INDEX(계좌!$B$2:$B$41,MATCH(A57,계좌!$A$2:$A$41,0)),"?"))</f>
        <v/>
      </c>
      <c r="C57" s="46" t="str">
        <f aca="false">IF(A57="","",IFERROR(INDEX(계좌!$E$2:$E$41,MATCH(A57,계좌!$A$2:$A$41,0)),"?"))</f>
        <v/>
      </c>
      <c r="D57" s="45"/>
      <c r="E57" s="45"/>
      <c r="F57" s="45"/>
      <c r="G57" s="48"/>
      <c r="H57" s="48"/>
      <c r="I57" s="48"/>
      <c r="J57" s="20" t="str">
        <f aca="false">IF(A57="","",G57*H57)</f>
        <v/>
      </c>
      <c r="K57" s="20" t="str">
        <f aca="false">IF(A57="","",G57*I57)</f>
        <v/>
      </c>
      <c r="L57" s="20" t="str">
        <f aca="false">IF(A57="","",K57-J57)</f>
        <v/>
      </c>
      <c r="M57" s="38" t="str">
        <f aca="false">IF(OR(A57="",N(J57)=0),"",L57/J57)</f>
        <v/>
      </c>
    </row>
    <row r="58" customFormat="false" ht="15" hidden="false" customHeight="false" outlineLevel="0" collapsed="false">
      <c r="A58" s="45"/>
      <c r="B58" s="46" t="str">
        <f aca="false">IF(A58="","",IFERROR(INDEX(계좌!$B$2:$B$41,MATCH(A58,계좌!$A$2:$A$41,0)),"?"))</f>
        <v/>
      </c>
      <c r="C58" s="46" t="str">
        <f aca="false">IF(A58="","",IFERROR(INDEX(계좌!$E$2:$E$41,MATCH(A58,계좌!$A$2:$A$41,0)),"?"))</f>
        <v/>
      </c>
      <c r="D58" s="45"/>
      <c r="E58" s="45"/>
      <c r="F58" s="45"/>
      <c r="G58" s="48"/>
      <c r="H58" s="48"/>
      <c r="I58" s="48"/>
      <c r="J58" s="20" t="str">
        <f aca="false">IF(A58="","",G58*H58)</f>
        <v/>
      </c>
      <c r="K58" s="20" t="str">
        <f aca="false">IF(A58="","",G58*I58)</f>
        <v/>
      </c>
      <c r="L58" s="20" t="str">
        <f aca="false">IF(A58="","",K58-J58)</f>
        <v/>
      </c>
      <c r="M58" s="38" t="str">
        <f aca="false">IF(OR(A58="",N(J58)=0),"",L58/J58)</f>
        <v/>
      </c>
    </row>
    <row r="59" customFormat="false" ht="15" hidden="false" customHeight="false" outlineLevel="0" collapsed="false">
      <c r="A59" s="45"/>
      <c r="B59" s="46" t="str">
        <f aca="false">IF(A59="","",IFERROR(INDEX(계좌!$B$2:$B$41,MATCH(A59,계좌!$A$2:$A$41,0)),"?"))</f>
        <v/>
      </c>
      <c r="C59" s="46" t="str">
        <f aca="false">IF(A59="","",IFERROR(INDEX(계좌!$E$2:$E$41,MATCH(A59,계좌!$A$2:$A$41,0)),"?"))</f>
        <v/>
      </c>
      <c r="D59" s="45"/>
      <c r="E59" s="45"/>
      <c r="F59" s="45"/>
      <c r="G59" s="48"/>
      <c r="H59" s="48"/>
      <c r="I59" s="48"/>
      <c r="J59" s="20" t="str">
        <f aca="false">IF(A59="","",G59*H59)</f>
        <v/>
      </c>
      <c r="K59" s="20" t="str">
        <f aca="false">IF(A59="","",G59*I59)</f>
        <v/>
      </c>
      <c r="L59" s="20" t="str">
        <f aca="false">IF(A59="","",K59-J59)</f>
        <v/>
      </c>
      <c r="M59" s="38" t="str">
        <f aca="false">IF(OR(A59="",N(J59)=0),"",L59/J59)</f>
        <v/>
      </c>
    </row>
    <row r="60" customFormat="false" ht="15" hidden="false" customHeight="false" outlineLevel="0" collapsed="false">
      <c r="A60" s="45"/>
      <c r="B60" s="46" t="str">
        <f aca="false">IF(A60="","",IFERROR(INDEX(계좌!$B$2:$B$41,MATCH(A60,계좌!$A$2:$A$41,0)),"?"))</f>
        <v/>
      </c>
      <c r="C60" s="46" t="str">
        <f aca="false">IF(A60="","",IFERROR(INDEX(계좌!$E$2:$E$41,MATCH(A60,계좌!$A$2:$A$41,0)),"?"))</f>
        <v/>
      </c>
      <c r="D60" s="45"/>
      <c r="E60" s="45"/>
      <c r="F60" s="45"/>
      <c r="G60" s="48"/>
      <c r="H60" s="48"/>
      <c r="I60" s="48"/>
      <c r="J60" s="20" t="str">
        <f aca="false">IF(A60="","",G60*H60)</f>
        <v/>
      </c>
      <c r="K60" s="20" t="str">
        <f aca="false">IF(A60="","",G60*I60)</f>
        <v/>
      </c>
      <c r="L60" s="20" t="str">
        <f aca="false">IF(A60="","",K60-J60)</f>
        <v/>
      </c>
      <c r="M60" s="38" t="str">
        <f aca="false">IF(OR(A60="",N(J60)=0),"",L60/J60)</f>
        <v/>
      </c>
    </row>
    <row r="61" customFormat="false" ht="15" hidden="false" customHeight="false" outlineLevel="0" collapsed="false">
      <c r="A61" s="45"/>
      <c r="B61" s="46" t="str">
        <f aca="false">IF(A61="","",IFERROR(INDEX(계좌!$B$2:$B$41,MATCH(A61,계좌!$A$2:$A$41,0)),"?"))</f>
        <v/>
      </c>
      <c r="C61" s="46" t="str">
        <f aca="false">IF(A61="","",IFERROR(INDEX(계좌!$E$2:$E$41,MATCH(A61,계좌!$A$2:$A$41,0)),"?"))</f>
        <v/>
      </c>
      <c r="D61" s="45"/>
      <c r="E61" s="45"/>
      <c r="F61" s="45"/>
      <c r="G61" s="48"/>
      <c r="H61" s="48"/>
      <c r="I61" s="48"/>
      <c r="J61" s="20" t="str">
        <f aca="false">IF(A61="","",G61*H61)</f>
        <v/>
      </c>
      <c r="K61" s="20" t="str">
        <f aca="false">IF(A61="","",G61*I61)</f>
        <v/>
      </c>
      <c r="L61" s="20" t="str">
        <f aca="false">IF(A61="","",K61-J61)</f>
        <v/>
      </c>
      <c r="M61" s="38" t="str">
        <f aca="false">IF(OR(A61="",N(J61)=0),"",L61/J61)</f>
        <v/>
      </c>
    </row>
    <row r="62" customFormat="false" ht="15" hidden="false" customHeight="false" outlineLevel="0" collapsed="false">
      <c r="A62" s="45"/>
      <c r="B62" s="46" t="str">
        <f aca="false">IF(A62="","",IFERROR(INDEX(계좌!$B$2:$B$41,MATCH(A62,계좌!$A$2:$A$41,0)),"?"))</f>
        <v/>
      </c>
      <c r="C62" s="46" t="str">
        <f aca="false">IF(A62="","",IFERROR(INDEX(계좌!$E$2:$E$41,MATCH(A62,계좌!$A$2:$A$41,0)),"?"))</f>
        <v/>
      </c>
      <c r="D62" s="45"/>
      <c r="E62" s="45"/>
      <c r="F62" s="45"/>
      <c r="G62" s="48"/>
      <c r="H62" s="48"/>
      <c r="I62" s="48"/>
      <c r="J62" s="20" t="str">
        <f aca="false">IF(A62="","",G62*H62)</f>
        <v/>
      </c>
      <c r="K62" s="20" t="str">
        <f aca="false">IF(A62="","",G62*I62)</f>
        <v/>
      </c>
      <c r="L62" s="20" t="str">
        <f aca="false">IF(A62="","",K62-J62)</f>
        <v/>
      </c>
      <c r="M62" s="38" t="str">
        <f aca="false">IF(OR(A62="",N(J62)=0),"",L62/J62)</f>
        <v/>
      </c>
    </row>
    <row r="63" customFormat="false" ht="15" hidden="false" customHeight="false" outlineLevel="0" collapsed="false">
      <c r="A63" s="45"/>
      <c r="B63" s="46" t="str">
        <f aca="false">IF(A63="","",IFERROR(INDEX(계좌!$B$2:$B$41,MATCH(A63,계좌!$A$2:$A$41,0)),"?"))</f>
        <v/>
      </c>
      <c r="C63" s="46" t="str">
        <f aca="false">IF(A63="","",IFERROR(INDEX(계좌!$E$2:$E$41,MATCH(A63,계좌!$A$2:$A$41,0)),"?"))</f>
        <v/>
      </c>
      <c r="D63" s="45"/>
      <c r="E63" s="45"/>
      <c r="F63" s="45"/>
      <c r="G63" s="48"/>
      <c r="H63" s="48"/>
      <c r="I63" s="48"/>
      <c r="J63" s="20" t="str">
        <f aca="false">IF(A63="","",G63*H63)</f>
        <v/>
      </c>
      <c r="K63" s="20" t="str">
        <f aca="false">IF(A63="","",G63*I63)</f>
        <v/>
      </c>
      <c r="L63" s="20" t="str">
        <f aca="false">IF(A63="","",K63-J63)</f>
        <v/>
      </c>
      <c r="M63" s="38" t="str">
        <f aca="false">IF(OR(A63="",N(J63)=0),"",L63/J63)</f>
        <v/>
      </c>
    </row>
    <row r="64" customFormat="false" ht="15" hidden="false" customHeight="false" outlineLevel="0" collapsed="false">
      <c r="A64" s="45"/>
      <c r="B64" s="46" t="str">
        <f aca="false">IF(A64="","",IFERROR(INDEX(계좌!$B$2:$B$41,MATCH(A64,계좌!$A$2:$A$41,0)),"?"))</f>
        <v/>
      </c>
      <c r="C64" s="46" t="str">
        <f aca="false">IF(A64="","",IFERROR(INDEX(계좌!$E$2:$E$41,MATCH(A64,계좌!$A$2:$A$41,0)),"?"))</f>
        <v/>
      </c>
      <c r="D64" s="45"/>
      <c r="E64" s="45"/>
      <c r="F64" s="45"/>
      <c r="G64" s="48"/>
      <c r="H64" s="48"/>
      <c r="I64" s="48"/>
      <c r="J64" s="20" t="str">
        <f aca="false">IF(A64="","",G64*H64)</f>
        <v/>
      </c>
      <c r="K64" s="20" t="str">
        <f aca="false">IF(A64="","",G64*I64)</f>
        <v/>
      </c>
      <c r="L64" s="20" t="str">
        <f aca="false">IF(A64="","",K64-J64)</f>
        <v/>
      </c>
      <c r="M64" s="38" t="str">
        <f aca="false">IF(OR(A64="",N(J64)=0),"",L64/J64)</f>
        <v/>
      </c>
    </row>
    <row r="65" customFormat="false" ht="15" hidden="false" customHeight="false" outlineLevel="0" collapsed="false">
      <c r="A65" s="45"/>
      <c r="B65" s="46" t="str">
        <f aca="false">IF(A65="","",IFERROR(INDEX(계좌!$B$2:$B$41,MATCH(A65,계좌!$A$2:$A$41,0)),"?"))</f>
        <v/>
      </c>
      <c r="C65" s="46" t="str">
        <f aca="false">IF(A65="","",IFERROR(INDEX(계좌!$E$2:$E$41,MATCH(A65,계좌!$A$2:$A$41,0)),"?"))</f>
        <v/>
      </c>
      <c r="D65" s="45"/>
      <c r="E65" s="45"/>
      <c r="F65" s="45"/>
      <c r="G65" s="48"/>
      <c r="H65" s="48"/>
      <c r="I65" s="48"/>
      <c r="J65" s="20" t="str">
        <f aca="false">IF(A65="","",G65*H65)</f>
        <v/>
      </c>
      <c r="K65" s="20" t="str">
        <f aca="false">IF(A65="","",G65*I65)</f>
        <v/>
      </c>
      <c r="L65" s="20" t="str">
        <f aca="false">IF(A65="","",K65-J65)</f>
        <v/>
      </c>
      <c r="M65" s="38" t="str">
        <f aca="false">IF(OR(A65="",N(J65)=0),"",L65/J65)</f>
        <v/>
      </c>
    </row>
    <row r="66" customFormat="false" ht="15" hidden="false" customHeight="false" outlineLevel="0" collapsed="false">
      <c r="A66" s="45"/>
      <c r="B66" s="46" t="str">
        <f aca="false">IF(A66="","",IFERROR(INDEX(계좌!$B$2:$B$41,MATCH(A66,계좌!$A$2:$A$41,0)),"?"))</f>
        <v/>
      </c>
      <c r="C66" s="46" t="str">
        <f aca="false">IF(A66="","",IFERROR(INDEX(계좌!$E$2:$E$41,MATCH(A66,계좌!$A$2:$A$41,0)),"?"))</f>
        <v/>
      </c>
      <c r="D66" s="45"/>
      <c r="E66" s="45"/>
      <c r="F66" s="45"/>
      <c r="G66" s="48"/>
      <c r="H66" s="48"/>
      <c r="I66" s="48"/>
      <c r="J66" s="20" t="str">
        <f aca="false">IF(A66="","",G66*H66)</f>
        <v/>
      </c>
      <c r="K66" s="20" t="str">
        <f aca="false">IF(A66="","",G66*I66)</f>
        <v/>
      </c>
      <c r="L66" s="20" t="str">
        <f aca="false">IF(A66="","",K66-J66)</f>
        <v/>
      </c>
      <c r="M66" s="38" t="str">
        <f aca="false">IF(OR(A66="",N(J66)=0),"",L66/J66)</f>
        <v/>
      </c>
    </row>
    <row r="67" customFormat="false" ht="15" hidden="false" customHeight="false" outlineLevel="0" collapsed="false">
      <c r="A67" s="45"/>
      <c r="B67" s="46" t="str">
        <f aca="false">IF(A67="","",IFERROR(INDEX(계좌!$B$2:$B$41,MATCH(A67,계좌!$A$2:$A$41,0)),"?"))</f>
        <v/>
      </c>
      <c r="C67" s="46" t="str">
        <f aca="false">IF(A67="","",IFERROR(INDEX(계좌!$E$2:$E$41,MATCH(A67,계좌!$A$2:$A$41,0)),"?"))</f>
        <v/>
      </c>
      <c r="D67" s="45"/>
      <c r="E67" s="45"/>
      <c r="F67" s="45"/>
      <c r="G67" s="48"/>
      <c r="H67" s="48"/>
      <c r="I67" s="48"/>
      <c r="J67" s="20" t="str">
        <f aca="false">IF(A67="","",G67*H67)</f>
        <v/>
      </c>
      <c r="K67" s="20" t="str">
        <f aca="false">IF(A67="","",G67*I67)</f>
        <v/>
      </c>
      <c r="L67" s="20" t="str">
        <f aca="false">IF(A67="","",K67-J67)</f>
        <v/>
      </c>
      <c r="M67" s="38" t="str">
        <f aca="false">IF(OR(A67="",N(J67)=0),"",L67/J67)</f>
        <v/>
      </c>
    </row>
    <row r="68" customFormat="false" ht="15" hidden="false" customHeight="false" outlineLevel="0" collapsed="false">
      <c r="A68" s="45"/>
      <c r="B68" s="46" t="str">
        <f aca="false">IF(A68="","",IFERROR(INDEX(계좌!$B$2:$B$41,MATCH(A68,계좌!$A$2:$A$41,0)),"?"))</f>
        <v/>
      </c>
      <c r="C68" s="46" t="str">
        <f aca="false">IF(A68="","",IFERROR(INDEX(계좌!$E$2:$E$41,MATCH(A68,계좌!$A$2:$A$41,0)),"?"))</f>
        <v/>
      </c>
      <c r="D68" s="45"/>
      <c r="E68" s="45"/>
      <c r="F68" s="45"/>
      <c r="G68" s="48"/>
      <c r="H68" s="48"/>
      <c r="I68" s="48"/>
      <c r="J68" s="20" t="str">
        <f aca="false">IF(A68="","",G68*H68)</f>
        <v/>
      </c>
      <c r="K68" s="20" t="str">
        <f aca="false">IF(A68="","",G68*I68)</f>
        <v/>
      </c>
      <c r="L68" s="20" t="str">
        <f aca="false">IF(A68="","",K68-J68)</f>
        <v/>
      </c>
      <c r="M68" s="38" t="str">
        <f aca="false">IF(OR(A68="",N(J68)=0),"",L68/J68)</f>
        <v/>
      </c>
    </row>
    <row r="69" customFormat="false" ht="15" hidden="false" customHeight="false" outlineLevel="0" collapsed="false">
      <c r="A69" s="45"/>
      <c r="B69" s="46" t="str">
        <f aca="false">IF(A69="","",IFERROR(INDEX(계좌!$B$2:$B$41,MATCH(A69,계좌!$A$2:$A$41,0)),"?"))</f>
        <v/>
      </c>
      <c r="C69" s="46" t="str">
        <f aca="false">IF(A69="","",IFERROR(INDEX(계좌!$E$2:$E$41,MATCH(A69,계좌!$A$2:$A$41,0)),"?"))</f>
        <v/>
      </c>
      <c r="D69" s="45"/>
      <c r="E69" s="45"/>
      <c r="F69" s="45"/>
      <c r="G69" s="48"/>
      <c r="H69" s="48"/>
      <c r="I69" s="48"/>
      <c r="J69" s="20" t="str">
        <f aca="false">IF(A69="","",G69*H69)</f>
        <v/>
      </c>
      <c r="K69" s="20" t="str">
        <f aca="false">IF(A69="","",G69*I69)</f>
        <v/>
      </c>
      <c r="L69" s="20" t="str">
        <f aca="false">IF(A69="","",K69-J69)</f>
        <v/>
      </c>
      <c r="M69" s="38" t="str">
        <f aca="false">IF(OR(A69="",N(J69)=0),"",L69/J69)</f>
        <v/>
      </c>
    </row>
    <row r="70" customFormat="false" ht="15" hidden="false" customHeight="false" outlineLevel="0" collapsed="false">
      <c r="A70" s="45"/>
      <c r="B70" s="46" t="str">
        <f aca="false">IF(A70="","",IFERROR(INDEX(계좌!$B$2:$B$41,MATCH(A70,계좌!$A$2:$A$41,0)),"?"))</f>
        <v/>
      </c>
      <c r="C70" s="46" t="str">
        <f aca="false">IF(A70="","",IFERROR(INDEX(계좌!$E$2:$E$41,MATCH(A70,계좌!$A$2:$A$41,0)),"?"))</f>
        <v/>
      </c>
      <c r="D70" s="45"/>
      <c r="E70" s="45"/>
      <c r="F70" s="45"/>
      <c r="G70" s="48"/>
      <c r="H70" s="48"/>
      <c r="I70" s="48"/>
      <c r="J70" s="20" t="str">
        <f aca="false">IF(A70="","",G70*H70)</f>
        <v/>
      </c>
      <c r="K70" s="20" t="str">
        <f aca="false">IF(A70="","",G70*I70)</f>
        <v/>
      </c>
      <c r="L70" s="20" t="str">
        <f aca="false">IF(A70="","",K70-J70)</f>
        <v/>
      </c>
      <c r="M70" s="38" t="str">
        <f aca="false">IF(OR(A70="",N(J70)=0),"",L70/J70)</f>
        <v/>
      </c>
    </row>
    <row r="71" customFormat="false" ht="15" hidden="false" customHeight="false" outlineLevel="0" collapsed="false">
      <c r="A71" s="45"/>
      <c r="B71" s="46" t="str">
        <f aca="false">IF(A71="","",IFERROR(INDEX(계좌!$B$2:$B$41,MATCH(A71,계좌!$A$2:$A$41,0)),"?"))</f>
        <v/>
      </c>
      <c r="C71" s="46" t="str">
        <f aca="false">IF(A71="","",IFERROR(INDEX(계좌!$E$2:$E$41,MATCH(A71,계좌!$A$2:$A$41,0)),"?"))</f>
        <v/>
      </c>
      <c r="D71" s="45"/>
      <c r="E71" s="45"/>
      <c r="F71" s="45"/>
      <c r="G71" s="48"/>
      <c r="H71" s="48"/>
      <c r="I71" s="48"/>
      <c r="J71" s="20" t="str">
        <f aca="false">IF(A71="","",G71*H71)</f>
        <v/>
      </c>
      <c r="K71" s="20" t="str">
        <f aca="false">IF(A71="","",G71*I71)</f>
        <v/>
      </c>
      <c r="L71" s="20" t="str">
        <f aca="false">IF(A71="","",K71-J71)</f>
        <v/>
      </c>
      <c r="M71" s="38" t="str">
        <f aca="false">IF(OR(A71="",N(J71)=0),"",L71/J71)</f>
        <v/>
      </c>
    </row>
    <row r="72" customFormat="false" ht="15" hidden="false" customHeight="false" outlineLevel="0" collapsed="false">
      <c r="A72" s="45"/>
      <c r="B72" s="46" t="str">
        <f aca="false">IF(A72="","",IFERROR(INDEX(계좌!$B$2:$B$41,MATCH(A72,계좌!$A$2:$A$41,0)),"?"))</f>
        <v/>
      </c>
      <c r="C72" s="46" t="str">
        <f aca="false">IF(A72="","",IFERROR(INDEX(계좌!$E$2:$E$41,MATCH(A72,계좌!$A$2:$A$41,0)),"?"))</f>
        <v/>
      </c>
      <c r="D72" s="45"/>
      <c r="E72" s="45"/>
      <c r="F72" s="45"/>
      <c r="G72" s="48"/>
      <c r="H72" s="48"/>
      <c r="I72" s="48"/>
      <c r="J72" s="20" t="str">
        <f aca="false">IF(A72="","",G72*H72)</f>
        <v/>
      </c>
      <c r="K72" s="20" t="str">
        <f aca="false">IF(A72="","",G72*I72)</f>
        <v/>
      </c>
      <c r="L72" s="20" t="str">
        <f aca="false">IF(A72="","",K72-J72)</f>
        <v/>
      </c>
      <c r="M72" s="38" t="str">
        <f aca="false">IF(OR(A72="",N(J72)=0),"",L72/J72)</f>
        <v/>
      </c>
    </row>
    <row r="73" customFormat="false" ht="15" hidden="false" customHeight="false" outlineLevel="0" collapsed="false">
      <c r="A73" s="45"/>
      <c r="B73" s="46" t="str">
        <f aca="false">IF(A73="","",IFERROR(INDEX(계좌!$B$2:$B$41,MATCH(A73,계좌!$A$2:$A$41,0)),"?"))</f>
        <v/>
      </c>
      <c r="C73" s="46" t="str">
        <f aca="false">IF(A73="","",IFERROR(INDEX(계좌!$E$2:$E$41,MATCH(A73,계좌!$A$2:$A$41,0)),"?"))</f>
        <v/>
      </c>
      <c r="D73" s="45"/>
      <c r="E73" s="45"/>
      <c r="F73" s="45"/>
      <c r="G73" s="48"/>
      <c r="H73" s="48"/>
      <c r="I73" s="48"/>
      <c r="J73" s="20" t="str">
        <f aca="false">IF(A73="","",G73*H73)</f>
        <v/>
      </c>
      <c r="K73" s="20" t="str">
        <f aca="false">IF(A73="","",G73*I73)</f>
        <v/>
      </c>
      <c r="L73" s="20" t="str">
        <f aca="false">IF(A73="","",K73-J73)</f>
        <v/>
      </c>
      <c r="M73" s="38" t="str">
        <f aca="false">IF(OR(A73="",N(J73)=0),"",L73/J73)</f>
        <v/>
      </c>
    </row>
    <row r="74" customFormat="false" ht="15" hidden="false" customHeight="false" outlineLevel="0" collapsed="false">
      <c r="A74" s="45"/>
      <c r="B74" s="46" t="str">
        <f aca="false">IF(A74="","",IFERROR(INDEX(계좌!$B$2:$B$41,MATCH(A74,계좌!$A$2:$A$41,0)),"?"))</f>
        <v/>
      </c>
      <c r="C74" s="46" t="str">
        <f aca="false">IF(A74="","",IFERROR(INDEX(계좌!$E$2:$E$41,MATCH(A74,계좌!$A$2:$A$41,0)),"?"))</f>
        <v/>
      </c>
      <c r="D74" s="45"/>
      <c r="E74" s="45"/>
      <c r="F74" s="45"/>
      <c r="G74" s="48"/>
      <c r="H74" s="48"/>
      <c r="I74" s="48"/>
      <c r="J74" s="20" t="str">
        <f aca="false">IF(A74="","",G74*H74)</f>
        <v/>
      </c>
      <c r="K74" s="20" t="str">
        <f aca="false">IF(A74="","",G74*I74)</f>
        <v/>
      </c>
      <c r="L74" s="20" t="str">
        <f aca="false">IF(A74="","",K74-J74)</f>
        <v/>
      </c>
      <c r="M74" s="38" t="str">
        <f aca="false">IF(OR(A74="",N(J74)=0),"",L74/J74)</f>
        <v/>
      </c>
    </row>
    <row r="75" customFormat="false" ht="15" hidden="false" customHeight="false" outlineLevel="0" collapsed="false">
      <c r="A75" s="45"/>
      <c r="B75" s="46" t="str">
        <f aca="false">IF(A75="","",IFERROR(INDEX(계좌!$B$2:$B$41,MATCH(A75,계좌!$A$2:$A$41,0)),"?"))</f>
        <v/>
      </c>
      <c r="C75" s="46" t="str">
        <f aca="false">IF(A75="","",IFERROR(INDEX(계좌!$E$2:$E$41,MATCH(A75,계좌!$A$2:$A$41,0)),"?"))</f>
        <v/>
      </c>
      <c r="D75" s="45"/>
      <c r="E75" s="45"/>
      <c r="F75" s="45"/>
      <c r="G75" s="48"/>
      <c r="H75" s="48"/>
      <c r="I75" s="48"/>
      <c r="J75" s="20" t="str">
        <f aca="false">IF(A75="","",G75*H75)</f>
        <v/>
      </c>
      <c r="K75" s="20" t="str">
        <f aca="false">IF(A75="","",G75*I75)</f>
        <v/>
      </c>
      <c r="L75" s="20" t="str">
        <f aca="false">IF(A75="","",K75-J75)</f>
        <v/>
      </c>
      <c r="M75" s="38" t="str">
        <f aca="false">IF(OR(A75="",N(J75)=0),"",L75/J75)</f>
        <v/>
      </c>
    </row>
    <row r="76" customFormat="false" ht="15" hidden="false" customHeight="false" outlineLevel="0" collapsed="false">
      <c r="A76" s="45"/>
      <c r="B76" s="46" t="str">
        <f aca="false">IF(A76="","",IFERROR(INDEX(계좌!$B$2:$B$41,MATCH(A76,계좌!$A$2:$A$41,0)),"?"))</f>
        <v/>
      </c>
      <c r="C76" s="46" t="str">
        <f aca="false">IF(A76="","",IFERROR(INDEX(계좌!$E$2:$E$41,MATCH(A76,계좌!$A$2:$A$41,0)),"?"))</f>
        <v/>
      </c>
      <c r="D76" s="45"/>
      <c r="E76" s="45"/>
      <c r="F76" s="45"/>
      <c r="G76" s="48"/>
      <c r="H76" s="48"/>
      <c r="I76" s="48"/>
      <c r="J76" s="20" t="str">
        <f aca="false">IF(A76="","",G76*H76)</f>
        <v/>
      </c>
      <c r="K76" s="20" t="str">
        <f aca="false">IF(A76="","",G76*I76)</f>
        <v/>
      </c>
      <c r="L76" s="20" t="str">
        <f aca="false">IF(A76="","",K76-J76)</f>
        <v/>
      </c>
      <c r="M76" s="38" t="str">
        <f aca="false">IF(OR(A76="",N(J76)=0),"",L76/J76)</f>
        <v/>
      </c>
    </row>
    <row r="77" customFormat="false" ht="15" hidden="false" customHeight="false" outlineLevel="0" collapsed="false">
      <c r="A77" s="45"/>
      <c r="B77" s="46" t="str">
        <f aca="false">IF(A77="","",IFERROR(INDEX(계좌!$B$2:$B$41,MATCH(A77,계좌!$A$2:$A$41,0)),"?"))</f>
        <v/>
      </c>
      <c r="C77" s="46" t="str">
        <f aca="false">IF(A77="","",IFERROR(INDEX(계좌!$E$2:$E$41,MATCH(A77,계좌!$A$2:$A$41,0)),"?"))</f>
        <v/>
      </c>
      <c r="D77" s="45"/>
      <c r="E77" s="45"/>
      <c r="F77" s="45"/>
      <c r="G77" s="48"/>
      <c r="H77" s="48"/>
      <c r="I77" s="48"/>
      <c r="J77" s="20" t="str">
        <f aca="false">IF(A77="","",G77*H77)</f>
        <v/>
      </c>
      <c r="K77" s="20" t="str">
        <f aca="false">IF(A77="","",G77*I77)</f>
        <v/>
      </c>
      <c r="L77" s="20" t="str">
        <f aca="false">IF(A77="","",K77-J77)</f>
        <v/>
      </c>
      <c r="M77" s="38" t="str">
        <f aca="false">IF(OR(A77="",N(J77)=0),"",L77/J77)</f>
        <v/>
      </c>
    </row>
    <row r="78" customFormat="false" ht="15" hidden="false" customHeight="false" outlineLevel="0" collapsed="false">
      <c r="A78" s="45"/>
      <c r="B78" s="46" t="str">
        <f aca="false">IF(A78="","",IFERROR(INDEX(계좌!$B$2:$B$41,MATCH(A78,계좌!$A$2:$A$41,0)),"?"))</f>
        <v/>
      </c>
      <c r="C78" s="46" t="str">
        <f aca="false">IF(A78="","",IFERROR(INDEX(계좌!$E$2:$E$41,MATCH(A78,계좌!$A$2:$A$41,0)),"?"))</f>
        <v/>
      </c>
      <c r="D78" s="45"/>
      <c r="E78" s="45"/>
      <c r="F78" s="45"/>
      <c r="G78" s="48"/>
      <c r="H78" s="48"/>
      <c r="I78" s="48"/>
      <c r="J78" s="20" t="str">
        <f aca="false">IF(A78="","",G78*H78)</f>
        <v/>
      </c>
      <c r="K78" s="20" t="str">
        <f aca="false">IF(A78="","",G78*I78)</f>
        <v/>
      </c>
      <c r="L78" s="20" t="str">
        <f aca="false">IF(A78="","",K78-J78)</f>
        <v/>
      </c>
      <c r="M78" s="38" t="str">
        <f aca="false">IF(OR(A78="",N(J78)=0),"",L78/J78)</f>
        <v/>
      </c>
    </row>
    <row r="79" customFormat="false" ht="15" hidden="false" customHeight="false" outlineLevel="0" collapsed="false">
      <c r="A79" s="45"/>
      <c r="B79" s="46" t="str">
        <f aca="false">IF(A79="","",IFERROR(INDEX(계좌!$B$2:$B$41,MATCH(A79,계좌!$A$2:$A$41,0)),"?"))</f>
        <v/>
      </c>
      <c r="C79" s="46" t="str">
        <f aca="false">IF(A79="","",IFERROR(INDEX(계좌!$E$2:$E$41,MATCH(A79,계좌!$A$2:$A$41,0)),"?"))</f>
        <v/>
      </c>
      <c r="D79" s="45"/>
      <c r="E79" s="45"/>
      <c r="F79" s="45"/>
      <c r="G79" s="48"/>
      <c r="H79" s="48"/>
      <c r="I79" s="48"/>
      <c r="J79" s="20" t="str">
        <f aca="false">IF(A79="","",G79*H79)</f>
        <v/>
      </c>
      <c r="K79" s="20" t="str">
        <f aca="false">IF(A79="","",G79*I79)</f>
        <v/>
      </c>
      <c r="L79" s="20" t="str">
        <f aca="false">IF(A79="","",K79-J79)</f>
        <v/>
      </c>
      <c r="M79" s="38" t="str">
        <f aca="false">IF(OR(A79="",N(J79)=0),"",L79/J79)</f>
        <v/>
      </c>
    </row>
    <row r="80" customFormat="false" ht="15" hidden="false" customHeight="false" outlineLevel="0" collapsed="false">
      <c r="A80" s="45"/>
      <c r="B80" s="46" t="str">
        <f aca="false">IF(A80="","",IFERROR(INDEX(계좌!$B$2:$B$41,MATCH(A80,계좌!$A$2:$A$41,0)),"?"))</f>
        <v/>
      </c>
      <c r="C80" s="46" t="str">
        <f aca="false">IF(A80="","",IFERROR(INDEX(계좌!$E$2:$E$41,MATCH(A80,계좌!$A$2:$A$41,0)),"?"))</f>
        <v/>
      </c>
      <c r="D80" s="45"/>
      <c r="E80" s="45"/>
      <c r="F80" s="45"/>
      <c r="G80" s="48"/>
      <c r="H80" s="48"/>
      <c r="I80" s="48"/>
      <c r="J80" s="20" t="str">
        <f aca="false">IF(A80="","",G80*H80)</f>
        <v/>
      </c>
      <c r="K80" s="20" t="str">
        <f aca="false">IF(A80="","",G80*I80)</f>
        <v/>
      </c>
      <c r="L80" s="20" t="str">
        <f aca="false">IF(A80="","",K80-J80)</f>
        <v/>
      </c>
      <c r="M80" s="38" t="str">
        <f aca="false">IF(OR(A80="",N(J80)=0),"",L80/J80)</f>
        <v/>
      </c>
    </row>
    <row r="81" customFormat="false" ht="15" hidden="false" customHeight="false" outlineLevel="0" collapsed="false">
      <c r="A81" s="45"/>
      <c r="B81" s="46" t="str">
        <f aca="false">IF(A81="","",IFERROR(INDEX(계좌!$B$2:$B$41,MATCH(A81,계좌!$A$2:$A$41,0)),"?"))</f>
        <v/>
      </c>
      <c r="C81" s="46" t="str">
        <f aca="false">IF(A81="","",IFERROR(INDEX(계좌!$E$2:$E$41,MATCH(A81,계좌!$A$2:$A$41,0)),"?"))</f>
        <v/>
      </c>
      <c r="D81" s="45"/>
      <c r="E81" s="45"/>
      <c r="F81" s="45"/>
      <c r="G81" s="48"/>
      <c r="H81" s="48"/>
      <c r="I81" s="48"/>
      <c r="J81" s="20" t="str">
        <f aca="false">IF(A81="","",G81*H81)</f>
        <v/>
      </c>
      <c r="K81" s="20" t="str">
        <f aca="false">IF(A81="","",G81*I81)</f>
        <v/>
      </c>
      <c r="L81" s="20" t="str">
        <f aca="false">IF(A81="","",K81-J81)</f>
        <v/>
      </c>
      <c r="M81" s="38" t="str">
        <f aca="false">IF(OR(A81="",N(J81)=0),"",L81/J81)</f>
        <v/>
      </c>
    </row>
    <row r="82" customFormat="false" ht="15" hidden="false" customHeight="false" outlineLevel="0" collapsed="false">
      <c r="A82" s="45"/>
      <c r="B82" s="46" t="str">
        <f aca="false">IF(A82="","",IFERROR(INDEX(계좌!$B$2:$B$41,MATCH(A82,계좌!$A$2:$A$41,0)),"?"))</f>
        <v/>
      </c>
      <c r="C82" s="46" t="str">
        <f aca="false">IF(A82="","",IFERROR(INDEX(계좌!$E$2:$E$41,MATCH(A82,계좌!$A$2:$A$41,0)),"?"))</f>
        <v/>
      </c>
      <c r="D82" s="45"/>
      <c r="E82" s="45"/>
      <c r="F82" s="45"/>
      <c r="G82" s="48"/>
      <c r="H82" s="48"/>
      <c r="I82" s="48"/>
      <c r="J82" s="20" t="str">
        <f aca="false">IF(A82="","",G82*H82)</f>
        <v/>
      </c>
      <c r="K82" s="20" t="str">
        <f aca="false">IF(A82="","",G82*I82)</f>
        <v/>
      </c>
      <c r="L82" s="20" t="str">
        <f aca="false">IF(A82="","",K82-J82)</f>
        <v/>
      </c>
      <c r="M82" s="38" t="str">
        <f aca="false">IF(OR(A82="",N(J82)=0),"",L82/J82)</f>
        <v/>
      </c>
    </row>
    <row r="83" customFormat="false" ht="15" hidden="false" customHeight="false" outlineLevel="0" collapsed="false">
      <c r="A83" s="45"/>
      <c r="B83" s="46" t="str">
        <f aca="false">IF(A83="","",IFERROR(INDEX(계좌!$B$2:$B$41,MATCH(A83,계좌!$A$2:$A$41,0)),"?"))</f>
        <v/>
      </c>
      <c r="C83" s="46" t="str">
        <f aca="false">IF(A83="","",IFERROR(INDEX(계좌!$E$2:$E$41,MATCH(A83,계좌!$A$2:$A$41,0)),"?"))</f>
        <v/>
      </c>
      <c r="D83" s="45"/>
      <c r="E83" s="45"/>
      <c r="F83" s="45"/>
      <c r="G83" s="48"/>
      <c r="H83" s="48"/>
      <c r="I83" s="48"/>
      <c r="J83" s="20" t="str">
        <f aca="false">IF(A83="","",G83*H83)</f>
        <v/>
      </c>
      <c r="K83" s="20" t="str">
        <f aca="false">IF(A83="","",G83*I83)</f>
        <v/>
      </c>
      <c r="L83" s="20" t="str">
        <f aca="false">IF(A83="","",K83-J83)</f>
        <v/>
      </c>
      <c r="M83" s="38" t="str">
        <f aca="false">IF(OR(A83="",N(J83)=0),"",L83/J83)</f>
        <v/>
      </c>
    </row>
    <row r="84" customFormat="false" ht="15" hidden="false" customHeight="false" outlineLevel="0" collapsed="false">
      <c r="A84" s="45"/>
      <c r="B84" s="46" t="str">
        <f aca="false">IF(A84="","",IFERROR(INDEX(계좌!$B$2:$B$41,MATCH(A84,계좌!$A$2:$A$41,0)),"?"))</f>
        <v/>
      </c>
      <c r="C84" s="46" t="str">
        <f aca="false">IF(A84="","",IFERROR(INDEX(계좌!$E$2:$E$41,MATCH(A84,계좌!$A$2:$A$41,0)),"?"))</f>
        <v/>
      </c>
      <c r="D84" s="45"/>
      <c r="E84" s="45"/>
      <c r="F84" s="45"/>
      <c r="G84" s="48"/>
      <c r="H84" s="48"/>
      <c r="I84" s="48"/>
      <c r="J84" s="20" t="str">
        <f aca="false">IF(A84="","",G84*H84)</f>
        <v/>
      </c>
      <c r="K84" s="20" t="str">
        <f aca="false">IF(A84="","",G84*I84)</f>
        <v/>
      </c>
      <c r="L84" s="20" t="str">
        <f aca="false">IF(A84="","",K84-J84)</f>
        <v/>
      </c>
      <c r="M84" s="38" t="str">
        <f aca="false">IF(OR(A84="",N(J84)=0),"",L84/J84)</f>
        <v/>
      </c>
    </row>
    <row r="85" customFormat="false" ht="15" hidden="false" customHeight="false" outlineLevel="0" collapsed="false">
      <c r="A85" s="45"/>
      <c r="B85" s="46" t="str">
        <f aca="false">IF(A85="","",IFERROR(INDEX(계좌!$B$2:$B$41,MATCH(A85,계좌!$A$2:$A$41,0)),"?"))</f>
        <v/>
      </c>
      <c r="C85" s="46" t="str">
        <f aca="false">IF(A85="","",IFERROR(INDEX(계좌!$E$2:$E$41,MATCH(A85,계좌!$A$2:$A$41,0)),"?"))</f>
        <v/>
      </c>
      <c r="D85" s="45"/>
      <c r="E85" s="45"/>
      <c r="F85" s="45"/>
      <c r="G85" s="48"/>
      <c r="H85" s="48"/>
      <c r="I85" s="48"/>
      <c r="J85" s="20" t="str">
        <f aca="false">IF(A85="","",G85*H85)</f>
        <v/>
      </c>
      <c r="K85" s="20" t="str">
        <f aca="false">IF(A85="","",G85*I85)</f>
        <v/>
      </c>
      <c r="L85" s="20" t="str">
        <f aca="false">IF(A85="","",K85-J85)</f>
        <v/>
      </c>
      <c r="M85" s="38" t="str">
        <f aca="false">IF(OR(A85="",N(J85)=0),"",L85/J85)</f>
        <v/>
      </c>
    </row>
    <row r="86" customFormat="false" ht="15" hidden="false" customHeight="false" outlineLevel="0" collapsed="false">
      <c r="A86" s="45"/>
      <c r="B86" s="46" t="str">
        <f aca="false">IF(A86="","",IFERROR(INDEX(계좌!$B$2:$B$41,MATCH(A86,계좌!$A$2:$A$41,0)),"?"))</f>
        <v/>
      </c>
      <c r="C86" s="46" t="str">
        <f aca="false">IF(A86="","",IFERROR(INDEX(계좌!$E$2:$E$41,MATCH(A86,계좌!$A$2:$A$41,0)),"?"))</f>
        <v/>
      </c>
      <c r="D86" s="45"/>
      <c r="E86" s="45"/>
      <c r="F86" s="45"/>
      <c r="G86" s="48"/>
      <c r="H86" s="48"/>
      <c r="I86" s="48"/>
      <c r="J86" s="20" t="str">
        <f aca="false">IF(A86="","",G86*H86)</f>
        <v/>
      </c>
      <c r="K86" s="20" t="str">
        <f aca="false">IF(A86="","",G86*I86)</f>
        <v/>
      </c>
      <c r="L86" s="20" t="str">
        <f aca="false">IF(A86="","",K86-J86)</f>
        <v/>
      </c>
      <c r="M86" s="38" t="str">
        <f aca="false">IF(OR(A86="",N(J86)=0),"",L86/J86)</f>
        <v/>
      </c>
    </row>
    <row r="87" customFormat="false" ht="15" hidden="false" customHeight="false" outlineLevel="0" collapsed="false">
      <c r="A87" s="45"/>
      <c r="B87" s="46" t="str">
        <f aca="false">IF(A87="","",IFERROR(INDEX(계좌!$B$2:$B$41,MATCH(A87,계좌!$A$2:$A$41,0)),"?"))</f>
        <v/>
      </c>
      <c r="C87" s="46" t="str">
        <f aca="false">IF(A87="","",IFERROR(INDEX(계좌!$E$2:$E$41,MATCH(A87,계좌!$A$2:$A$41,0)),"?"))</f>
        <v/>
      </c>
      <c r="D87" s="45"/>
      <c r="E87" s="45"/>
      <c r="F87" s="45"/>
      <c r="G87" s="48"/>
      <c r="H87" s="48"/>
      <c r="I87" s="48"/>
      <c r="J87" s="20" t="str">
        <f aca="false">IF(A87="","",G87*H87)</f>
        <v/>
      </c>
      <c r="K87" s="20" t="str">
        <f aca="false">IF(A87="","",G87*I87)</f>
        <v/>
      </c>
      <c r="L87" s="20" t="str">
        <f aca="false">IF(A87="","",K87-J87)</f>
        <v/>
      </c>
      <c r="M87" s="38" t="str">
        <f aca="false">IF(OR(A87="",N(J87)=0),"",L87/J87)</f>
        <v/>
      </c>
    </row>
    <row r="88" customFormat="false" ht="15" hidden="false" customHeight="false" outlineLevel="0" collapsed="false">
      <c r="A88" s="45"/>
      <c r="B88" s="46" t="str">
        <f aca="false">IF(A88="","",IFERROR(INDEX(계좌!$B$2:$B$41,MATCH(A88,계좌!$A$2:$A$41,0)),"?"))</f>
        <v/>
      </c>
      <c r="C88" s="46" t="str">
        <f aca="false">IF(A88="","",IFERROR(INDEX(계좌!$E$2:$E$41,MATCH(A88,계좌!$A$2:$A$41,0)),"?"))</f>
        <v/>
      </c>
      <c r="D88" s="45"/>
      <c r="E88" s="45"/>
      <c r="F88" s="45"/>
      <c r="G88" s="48"/>
      <c r="H88" s="48"/>
      <c r="I88" s="48"/>
      <c r="J88" s="20" t="str">
        <f aca="false">IF(A88="","",G88*H88)</f>
        <v/>
      </c>
      <c r="K88" s="20" t="str">
        <f aca="false">IF(A88="","",G88*I88)</f>
        <v/>
      </c>
      <c r="L88" s="20" t="str">
        <f aca="false">IF(A88="","",K88-J88)</f>
        <v/>
      </c>
      <c r="M88" s="38" t="str">
        <f aca="false">IF(OR(A88="",N(J88)=0),"",L88/J88)</f>
        <v/>
      </c>
    </row>
    <row r="89" customFormat="false" ht="15" hidden="false" customHeight="false" outlineLevel="0" collapsed="false">
      <c r="A89" s="45"/>
      <c r="B89" s="46" t="str">
        <f aca="false">IF(A89="","",IFERROR(INDEX(계좌!$B$2:$B$41,MATCH(A89,계좌!$A$2:$A$41,0)),"?"))</f>
        <v/>
      </c>
      <c r="C89" s="46" t="str">
        <f aca="false">IF(A89="","",IFERROR(INDEX(계좌!$E$2:$E$41,MATCH(A89,계좌!$A$2:$A$41,0)),"?"))</f>
        <v/>
      </c>
      <c r="D89" s="45"/>
      <c r="E89" s="45"/>
      <c r="F89" s="45"/>
      <c r="G89" s="48"/>
      <c r="H89" s="48"/>
      <c r="I89" s="48"/>
      <c r="J89" s="20" t="str">
        <f aca="false">IF(A89="","",G89*H89)</f>
        <v/>
      </c>
      <c r="K89" s="20" t="str">
        <f aca="false">IF(A89="","",G89*I89)</f>
        <v/>
      </c>
      <c r="L89" s="20" t="str">
        <f aca="false">IF(A89="","",K89-J89)</f>
        <v/>
      </c>
      <c r="M89" s="38" t="str">
        <f aca="false">IF(OR(A89="",N(J89)=0),"",L89/J89)</f>
        <v/>
      </c>
    </row>
    <row r="90" customFormat="false" ht="15" hidden="false" customHeight="false" outlineLevel="0" collapsed="false">
      <c r="A90" s="45"/>
      <c r="B90" s="46" t="str">
        <f aca="false">IF(A90="","",IFERROR(INDEX(계좌!$B$2:$B$41,MATCH(A90,계좌!$A$2:$A$41,0)),"?"))</f>
        <v/>
      </c>
      <c r="C90" s="46" t="str">
        <f aca="false">IF(A90="","",IFERROR(INDEX(계좌!$E$2:$E$41,MATCH(A90,계좌!$A$2:$A$41,0)),"?"))</f>
        <v/>
      </c>
      <c r="D90" s="45"/>
      <c r="E90" s="45"/>
      <c r="F90" s="45"/>
      <c r="G90" s="48"/>
      <c r="H90" s="48"/>
      <c r="I90" s="48"/>
      <c r="J90" s="20" t="str">
        <f aca="false">IF(A90="","",G90*H90)</f>
        <v/>
      </c>
      <c r="K90" s="20" t="str">
        <f aca="false">IF(A90="","",G90*I90)</f>
        <v/>
      </c>
      <c r="L90" s="20" t="str">
        <f aca="false">IF(A90="","",K90-J90)</f>
        <v/>
      </c>
      <c r="M90" s="38" t="str">
        <f aca="false">IF(OR(A90="",N(J90)=0),"",L90/J90)</f>
        <v/>
      </c>
    </row>
    <row r="91" customFormat="false" ht="15" hidden="false" customHeight="false" outlineLevel="0" collapsed="false">
      <c r="A91" s="45"/>
      <c r="B91" s="46" t="str">
        <f aca="false">IF(A91="","",IFERROR(INDEX(계좌!$B$2:$B$41,MATCH(A91,계좌!$A$2:$A$41,0)),"?"))</f>
        <v/>
      </c>
      <c r="C91" s="46" t="str">
        <f aca="false">IF(A91="","",IFERROR(INDEX(계좌!$E$2:$E$41,MATCH(A91,계좌!$A$2:$A$41,0)),"?"))</f>
        <v/>
      </c>
      <c r="D91" s="45"/>
      <c r="E91" s="45"/>
      <c r="F91" s="45"/>
      <c r="G91" s="48"/>
      <c r="H91" s="48"/>
      <c r="I91" s="48"/>
      <c r="J91" s="20" t="str">
        <f aca="false">IF(A91="","",G91*H91)</f>
        <v/>
      </c>
      <c r="K91" s="20" t="str">
        <f aca="false">IF(A91="","",G91*I91)</f>
        <v/>
      </c>
      <c r="L91" s="20" t="str">
        <f aca="false">IF(A91="","",K91-J91)</f>
        <v/>
      </c>
      <c r="M91" s="38" t="str">
        <f aca="false">IF(OR(A91="",N(J91)=0),"",L91/J91)</f>
        <v/>
      </c>
    </row>
    <row r="92" customFormat="false" ht="15" hidden="false" customHeight="false" outlineLevel="0" collapsed="false">
      <c r="A92" s="45"/>
      <c r="B92" s="46" t="str">
        <f aca="false">IF(A92="","",IFERROR(INDEX(계좌!$B$2:$B$41,MATCH(A92,계좌!$A$2:$A$41,0)),"?"))</f>
        <v/>
      </c>
      <c r="C92" s="46" t="str">
        <f aca="false">IF(A92="","",IFERROR(INDEX(계좌!$E$2:$E$41,MATCH(A92,계좌!$A$2:$A$41,0)),"?"))</f>
        <v/>
      </c>
      <c r="D92" s="45"/>
      <c r="E92" s="45"/>
      <c r="F92" s="45"/>
      <c r="G92" s="48"/>
      <c r="H92" s="48"/>
      <c r="I92" s="48"/>
      <c r="J92" s="20" t="str">
        <f aca="false">IF(A92="","",G92*H92)</f>
        <v/>
      </c>
      <c r="K92" s="20" t="str">
        <f aca="false">IF(A92="","",G92*I92)</f>
        <v/>
      </c>
      <c r="L92" s="20" t="str">
        <f aca="false">IF(A92="","",K92-J92)</f>
        <v/>
      </c>
      <c r="M92" s="38" t="str">
        <f aca="false">IF(OR(A92="",N(J92)=0),"",L92/J92)</f>
        <v/>
      </c>
    </row>
    <row r="93" customFormat="false" ht="15" hidden="false" customHeight="false" outlineLevel="0" collapsed="false">
      <c r="A93" s="45"/>
      <c r="B93" s="46" t="str">
        <f aca="false">IF(A93="","",IFERROR(INDEX(계좌!$B$2:$B$41,MATCH(A93,계좌!$A$2:$A$41,0)),"?"))</f>
        <v/>
      </c>
      <c r="C93" s="46" t="str">
        <f aca="false">IF(A93="","",IFERROR(INDEX(계좌!$E$2:$E$41,MATCH(A93,계좌!$A$2:$A$41,0)),"?"))</f>
        <v/>
      </c>
      <c r="D93" s="45"/>
      <c r="E93" s="45"/>
      <c r="F93" s="45"/>
      <c r="G93" s="48"/>
      <c r="H93" s="48"/>
      <c r="I93" s="48"/>
      <c r="J93" s="20" t="str">
        <f aca="false">IF(A93="","",G93*H93)</f>
        <v/>
      </c>
      <c r="K93" s="20" t="str">
        <f aca="false">IF(A93="","",G93*I93)</f>
        <v/>
      </c>
      <c r="L93" s="20" t="str">
        <f aca="false">IF(A93="","",K93-J93)</f>
        <v/>
      </c>
      <c r="M93" s="38" t="str">
        <f aca="false">IF(OR(A93="",N(J93)=0),"",L93/J93)</f>
        <v/>
      </c>
    </row>
    <row r="94" customFormat="false" ht="15" hidden="false" customHeight="false" outlineLevel="0" collapsed="false">
      <c r="A94" s="45"/>
      <c r="B94" s="46" t="str">
        <f aca="false">IF(A94="","",IFERROR(INDEX(계좌!$B$2:$B$41,MATCH(A94,계좌!$A$2:$A$41,0)),"?"))</f>
        <v/>
      </c>
      <c r="C94" s="46" t="str">
        <f aca="false">IF(A94="","",IFERROR(INDEX(계좌!$E$2:$E$41,MATCH(A94,계좌!$A$2:$A$41,0)),"?"))</f>
        <v/>
      </c>
      <c r="D94" s="45"/>
      <c r="E94" s="45"/>
      <c r="F94" s="45"/>
      <c r="G94" s="48"/>
      <c r="H94" s="48"/>
      <c r="I94" s="48"/>
      <c r="J94" s="20" t="str">
        <f aca="false">IF(A94="","",G94*H94)</f>
        <v/>
      </c>
      <c r="K94" s="20" t="str">
        <f aca="false">IF(A94="","",G94*I94)</f>
        <v/>
      </c>
      <c r="L94" s="20" t="str">
        <f aca="false">IF(A94="","",K94-J94)</f>
        <v/>
      </c>
      <c r="M94" s="38" t="str">
        <f aca="false">IF(OR(A94="",N(J94)=0),"",L94/J94)</f>
        <v/>
      </c>
    </row>
    <row r="95" customFormat="false" ht="15" hidden="false" customHeight="false" outlineLevel="0" collapsed="false">
      <c r="A95" s="45"/>
      <c r="B95" s="46" t="str">
        <f aca="false">IF(A95="","",IFERROR(INDEX(계좌!$B$2:$B$41,MATCH(A95,계좌!$A$2:$A$41,0)),"?"))</f>
        <v/>
      </c>
      <c r="C95" s="46" t="str">
        <f aca="false">IF(A95="","",IFERROR(INDEX(계좌!$E$2:$E$41,MATCH(A95,계좌!$A$2:$A$41,0)),"?"))</f>
        <v/>
      </c>
      <c r="D95" s="45"/>
      <c r="E95" s="45"/>
      <c r="F95" s="45"/>
      <c r="G95" s="48"/>
      <c r="H95" s="48"/>
      <c r="I95" s="48"/>
      <c r="J95" s="20" t="str">
        <f aca="false">IF(A95="","",G95*H95)</f>
        <v/>
      </c>
      <c r="K95" s="20" t="str">
        <f aca="false">IF(A95="","",G95*I95)</f>
        <v/>
      </c>
      <c r="L95" s="20" t="str">
        <f aca="false">IF(A95="","",K95-J95)</f>
        <v/>
      </c>
      <c r="M95" s="38" t="str">
        <f aca="false">IF(OR(A95="",N(J95)=0),"",L95/J95)</f>
        <v/>
      </c>
    </row>
    <row r="96" customFormat="false" ht="15" hidden="false" customHeight="false" outlineLevel="0" collapsed="false">
      <c r="A96" s="45"/>
      <c r="B96" s="46" t="str">
        <f aca="false">IF(A96="","",IFERROR(INDEX(계좌!$B$2:$B$41,MATCH(A96,계좌!$A$2:$A$41,0)),"?"))</f>
        <v/>
      </c>
      <c r="C96" s="46" t="str">
        <f aca="false">IF(A96="","",IFERROR(INDEX(계좌!$E$2:$E$41,MATCH(A96,계좌!$A$2:$A$41,0)),"?"))</f>
        <v/>
      </c>
      <c r="D96" s="45"/>
      <c r="E96" s="45"/>
      <c r="F96" s="45"/>
      <c r="G96" s="48"/>
      <c r="H96" s="48"/>
      <c r="I96" s="48"/>
      <c r="J96" s="20" t="str">
        <f aca="false">IF(A96="","",G96*H96)</f>
        <v/>
      </c>
      <c r="K96" s="20" t="str">
        <f aca="false">IF(A96="","",G96*I96)</f>
        <v/>
      </c>
      <c r="L96" s="20" t="str">
        <f aca="false">IF(A96="","",K96-J96)</f>
        <v/>
      </c>
      <c r="M96" s="38" t="str">
        <f aca="false">IF(OR(A96="",N(J96)=0),"",L96/J96)</f>
        <v/>
      </c>
    </row>
    <row r="97" customFormat="false" ht="15" hidden="false" customHeight="false" outlineLevel="0" collapsed="false">
      <c r="A97" s="45"/>
      <c r="B97" s="46" t="str">
        <f aca="false">IF(A97="","",IFERROR(INDEX(계좌!$B$2:$B$41,MATCH(A97,계좌!$A$2:$A$41,0)),"?"))</f>
        <v/>
      </c>
      <c r="C97" s="46" t="str">
        <f aca="false">IF(A97="","",IFERROR(INDEX(계좌!$E$2:$E$41,MATCH(A97,계좌!$A$2:$A$41,0)),"?"))</f>
        <v/>
      </c>
      <c r="D97" s="45"/>
      <c r="E97" s="45"/>
      <c r="F97" s="45"/>
      <c r="G97" s="48"/>
      <c r="H97" s="48"/>
      <c r="I97" s="48"/>
      <c r="J97" s="20" t="str">
        <f aca="false">IF(A97="","",G97*H97)</f>
        <v/>
      </c>
      <c r="K97" s="20" t="str">
        <f aca="false">IF(A97="","",G97*I97)</f>
        <v/>
      </c>
      <c r="L97" s="20" t="str">
        <f aca="false">IF(A97="","",K97-J97)</f>
        <v/>
      </c>
      <c r="M97" s="38" t="str">
        <f aca="false">IF(OR(A97="",N(J97)=0),"",L97/J97)</f>
        <v/>
      </c>
    </row>
    <row r="98" customFormat="false" ht="15" hidden="false" customHeight="false" outlineLevel="0" collapsed="false">
      <c r="A98" s="45"/>
      <c r="B98" s="46" t="str">
        <f aca="false">IF(A98="","",IFERROR(INDEX(계좌!$B$2:$B$41,MATCH(A98,계좌!$A$2:$A$41,0)),"?"))</f>
        <v/>
      </c>
      <c r="C98" s="46" t="str">
        <f aca="false">IF(A98="","",IFERROR(INDEX(계좌!$E$2:$E$41,MATCH(A98,계좌!$A$2:$A$41,0)),"?"))</f>
        <v/>
      </c>
      <c r="D98" s="45"/>
      <c r="E98" s="45"/>
      <c r="F98" s="45"/>
      <c r="G98" s="48"/>
      <c r="H98" s="48"/>
      <c r="I98" s="48"/>
      <c r="J98" s="20" t="str">
        <f aca="false">IF(A98="","",G98*H98)</f>
        <v/>
      </c>
      <c r="K98" s="20" t="str">
        <f aca="false">IF(A98="","",G98*I98)</f>
        <v/>
      </c>
      <c r="L98" s="20" t="str">
        <f aca="false">IF(A98="","",K98-J98)</f>
        <v/>
      </c>
      <c r="M98" s="38" t="str">
        <f aca="false">IF(OR(A98="",N(J98)=0),"",L98/J98)</f>
        <v/>
      </c>
    </row>
    <row r="99" customFormat="false" ht="15" hidden="false" customHeight="false" outlineLevel="0" collapsed="false">
      <c r="A99" s="45"/>
      <c r="B99" s="46" t="str">
        <f aca="false">IF(A99="","",IFERROR(INDEX(계좌!$B$2:$B$41,MATCH(A99,계좌!$A$2:$A$41,0)),"?"))</f>
        <v/>
      </c>
      <c r="C99" s="46" t="str">
        <f aca="false">IF(A99="","",IFERROR(INDEX(계좌!$E$2:$E$41,MATCH(A99,계좌!$A$2:$A$41,0)),"?"))</f>
        <v/>
      </c>
      <c r="D99" s="45"/>
      <c r="E99" s="45"/>
      <c r="F99" s="45"/>
      <c r="G99" s="48"/>
      <c r="H99" s="48"/>
      <c r="I99" s="48"/>
      <c r="J99" s="20" t="str">
        <f aca="false">IF(A99="","",G99*H99)</f>
        <v/>
      </c>
      <c r="K99" s="20" t="str">
        <f aca="false">IF(A99="","",G99*I99)</f>
        <v/>
      </c>
      <c r="L99" s="20" t="str">
        <f aca="false">IF(A99="","",K99-J99)</f>
        <v/>
      </c>
      <c r="M99" s="38" t="str">
        <f aca="false">IF(OR(A99="",N(J99)=0),"",L99/J99)</f>
        <v/>
      </c>
    </row>
    <row r="100" customFormat="false" ht="15" hidden="false" customHeight="false" outlineLevel="0" collapsed="false">
      <c r="A100" s="45"/>
      <c r="B100" s="46" t="str">
        <f aca="false">IF(A100="","",IFERROR(INDEX(계좌!$B$2:$B$41,MATCH(A100,계좌!$A$2:$A$41,0)),"?"))</f>
        <v/>
      </c>
      <c r="C100" s="46" t="str">
        <f aca="false">IF(A100="","",IFERROR(INDEX(계좌!$E$2:$E$41,MATCH(A100,계좌!$A$2:$A$41,0)),"?"))</f>
        <v/>
      </c>
      <c r="D100" s="45"/>
      <c r="E100" s="45"/>
      <c r="F100" s="45"/>
      <c r="G100" s="48"/>
      <c r="H100" s="48"/>
      <c r="I100" s="48"/>
      <c r="J100" s="20" t="str">
        <f aca="false">IF(A100="","",G100*H100)</f>
        <v/>
      </c>
      <c r="K100" s="20" t="str">
        <f aca="false">IF(A100="","",G100*I100)</f>
        <v/>
      </c>
      <c r="L100" s="20" t="str">
        <f aca="false">IF(A100="","",K100-J100)</f>
        <v/>
      </c>
      <c r="M100" s="38" t="str">
        <f aca="false">IF(OR(A100="",N(J100)=0),"",L100/J100)</f>
        <v/>
      </c>
    </row>
    <row r="101" customFormat="false" ht="15" hidden="false" customHeight="false" outlineLevel="0" collapsed="false">
      <c r="A101" s="45"/>
      <c r="B101" s="46" t="str">
        <f aca="false">IF(A101="","",IFERROR(INDEX(계좌!$B$2:$B$41,MATCH(A101,계좌!$A$2:$A$41,0)),"?"))</f>
        <v/>
      </c>
      <c r="C101" s="46" t="str">
        <f aca="false">IF(A101="","",IFERROR(INDEX(계좌!$E$2:$E$41,MATCH(A101,계좌!$A$2:$A$41,0)),"?"))</f>
        <v/>
      </c>
      <c r="D101" s="45"/>
      <c r="E101" s="45"/>
      <c r="F101" s="45"/>
      <c r="G101" s="48"/>
      <c r="H101" s="48"/>
      <c r="I101" s="48"/>
      <c r="J101" s="20" t="str">
        <f aca="false">IF(A101="","",G101*H101)</f>
        <v/>
      </c>
      <c r="K101" s="20" t="str">
        <f aca="false">IF(A101="","",G101*I101)</f>
        <v/>
      </c>
      <c r="L101" s="20" t="str">
        <f aca="false">IF(A101="","",K101-J101)</f>
        <v/>
      </c>
      <c r="M101" s="38" t="str">
        <f aca="false">IF(OR(A101="",N(J101)=0),"",L101/J101)</f>
        <v/>
      </c>
    </row>
    <row r="102" customFormat="false" ht="15" hidden="false" customHeight="false" outlineLevel="0" collapsed="false">
      <c r="A102" s="45"/>
      <c r="B102" s="46" t="str">
        <f aca="false">IF(A102="","",IFERROR(INDEX(계좌!$B$2:$B$41,MATCH(A102,계좌!$A$2:$A$41,0)),"?"))</f>
        <v/>
      </c>
      <c r="C102" s="46" t="str">
        <f aca="false">IF(A102="","",IFERROR(INDEX(계좌!$E$2:$E$41,MATCH(A102,계좌!$A$2:$A$41,0)),"?"))</f>
        <v/>
      </c>
      <c r="D102" s="45"/>
      <c r="E102" s="45"/>
      <c r="F102" s="45"/>
      <c r="G102" s="48"/>
      <c r="H102" s="48"/>
      <c r="I102" s="48"/>
      <c r="J102" s="20" t="str">
        <f aca="false">IF(A102="","",G102*H102)</f>
        <v/>
      </c>
      <c r="K102" s="20" t="str">
        <f aca="false">IF(A102="","",G102*I102)</f>
        <v/>
      </c>
      <c r="L102" s="20" t="str">
        <f aca="false">IF(A102="","",K102-J102)</f>
        <v/>
      </c>
      <c r="M102" s="38" t="str">
        <f aca="false">IF(OR(A102="",N(J102)=0),"",L102/J102)</f>
        <v/>
      </c>
    </row>
    <row r="103" customFormat="false" ht="15" hidden="false" customHeight="false" outlineLevel="0" collapsed="false">
      <c r="A103" s="45"/>
      <c r="B103" s="46" t="str">
        <f aca="false">IF(A103="","",IFERROR(INDEX(계좌!$B$2:$B$41,MATCH(A103,계좌!$A$2:$A$41,0)),"?"))</f>
        <v/>
      </c>
      <c r="C103" s="46" t="str">
        <f aca="false">IF(A103="","",IFERROR(INDEX(계좌!$E$2:$E$41,MATCH(A103,계좌!$A$2:$A$41,0)),"?"))</f>
        <v/>
      </c>
      <c r="D103" s="45"/>
      <c r="E103" s="45"/>
      <c r="F103" s="45"/>
      <c r="G103" s="48"/>
      <c r="H103" s="48"/>
      <c r="I103" s="48"/>
      <c r="J103" s="20" t="str">
        <f aca="false">IF(A103="","",G103*H103)</f>
        <v/>
      </c>
      <c r="K103" s="20" t="str">
        <f aca="false">IF(A103="","",G103*I103)</f>
        <v/>
      </c>
      <c r="L103" s="20" t="str">
        <f aca="false">IF(A103="","",K103-J103)</f>
        <v/>
      </c>
      <c r="M103" s="38" t="str">
        <f aca="false">IF(OR(A103="",N(J103)=0),"",L103/J103)</f>
        <v/>
      </c>
    </row>
    <row r="104" customFormat="false" ht="15" hidden="false" customHeight="false" outlineLevel="0" collapsed="false">
      <c r="A104" s="45"/>
      <c r="B104" s="46" t="str">
        <f aca="false">IF(A104="","",IFERROR(INDEX(계좌!$B$2:$B$41,MATCH(A104,계좌!$A$2:$A$41,0)),"?"))</f>
        <v/>
      </c>
      <c r="C104" s="46" t="str">
        <f aca="false">IF(A104="","",IFERROR(INDEX(계좌!$E$2:$E$41,MATCH(A104,계좌!$A$2:$A$41,0)),"?"))</f>
        <v/>
      </c>
      <c r="D104" s="45"/>
      <c r="E104" s="45"/>
      <c r="F104" s="45"/>
      <c r="G104" s="48"/>
      <c r="H104" s="48"/>
      <c r="I104" s="48"/>
      <c r="J104" s="20" t="str">
        <f aca="false">IF(A104="","",G104*H104)</f>
        <v/>
      </c>
      <c r="K104" s="20" t="str">
        <f aca="false">IF(A104="","",G104*I104)</f>
        <v/>
      </c>
      <c r="L104" s="20" t="str">
        <f aca="false">IF(A104="","",K104-J104)</f>
        <v/>
      </c>
      <c r="M104" s="38" t="str">
        <f aca="false">IF(OR(A104="",N(J104)=0),"",L104/J104)</f>
        <v/>
      </c>
    </row>
    <row r="105" customFormat="false" ht="15" hidden="false" customHeight="false" outlineLevel="0" collapsed="false">
      <c r="A105" s="45"/>
      <c r="B105" s="46" t="str">
        <f aca="false">IF(A105="","",IFERROR(INDEX(계좌!$B$2:$B$41,MATCH(A105,계좌!$A$2:$A$41,0)),"?"))</f>
        <v/>
      </c>
      <c r="C105" s="46" t="str">
        <f aca="false">IF(A105="","",IFERROR(INDEX(계좌!$E$2:$E$41,MATCH(A105,계좌!$A$2:$A$41,0)),"?"))</f>
        <v/>
      </c>
      <c r="D105" s="45"/>
      <c r="E105" s="45"/>
      <c r="F105" s="45"/>
      <c r="G105" s="48"/>
      <c r="H105" s="48"/>
      <c r="I105" s="48"/>
      <c r="J105" s="20" t="str">
        <f aca="false">IF(A105="","",G105*H105)</f>
        <v/>
      </c>
      <c r="K105" s="20" t="str">
        <f aca="false">IF(A105="","",G105*I105)</f>
        <v/>
      </c>
      <c r="L105" s="20" t="str">
        <f aca="false">IF(A105="","",K105-J105)</f>
        <v/>
      </c>
      <c r="M105" s="38" t="str">
        <f aca="false">IF(OR(A105="",N(J105)=0),"",L105/J105)</f>
        <v/>
      </c>
    </row>
    <row r="106" customFormat="false" ht="15" hidden="false" customHeight="false" outlineLevel="0" collapsed="false">
      <c r="A106" s="45"/>
      <c r="B106" s="46" t="str">
        <f aca="false">IF(A106="","",IFERROR(INDEX(계좌!$B$2:$B$41,MATCH(A106,계좌!$A$2:$A$41,0)),"?"))</f>
        <v/>
      </c>
      <c r="C106" s="46" t="str">
        <f aca="false">IF(A106="","",IFERROR(INDEX(계좌!$E$2:$E$41,MATCH(A106,계좌!$A$2:$A$41,0)),"?"))</f>
        <v/>
      </c>
      <c r="D106" s="45"/>
      <c r="E106" s="45"/>
      <c r="F106" s="45"/>
      <c r="G106" s="48"/>
      <c r="H106" s="48"/>
      <c r="I106" s="48"/>
      <c r="J106" s="20" t="str">
        <f aca="false">IF(A106="","",G106*H106)</f>
        <v/>
      </c>
      <c r="K106" s="20" t="str">
        <f aca="false">IF(A106="","",G106*I106)</f>
        <v/>
      </c>
      <c r="L106" s="20" t="str">
        <f aca="false">IF(A106="","",K106-J106)</f>
        <v/>
      </c>
      <c r="M106" s="38" t="str">
        <f aca="false">IF(OR(A106="",N(J106)=0),"",L106/J106)</f>
        <v/>
      </c>
    </row>
    <row r="107" customFormat="false" ht="15" hidden="false" customHeight="false" outlineLevel="0" collapsed="false">
      <c r="A107" s="45"/>
      <c r="B107" s="46" t="str">
        <f aca="false">IF(A107="","",IFERROR(INDEX(계좌!$B$2:$B$41,MATCH(A107,계좌!$A$2:$A$41,0)),"?"))</f>
        <v/>
      </c>
      <c r="C107" s="46" t="str">
        <f aca="false">IF(A107="","",IFERROR(INDEX(계좌!$E$2:$E$41,MATCH(A107,계좌!$A$2:$A$41,0)),"?"))</f>
        <v/>
      </c>
      <c r="D107" s="45"/>
      <c r="E107" s="45"/>
      <c r="F107" s="45"/>
      <c r="G107" s="48"/>
      <c r="H107" s="48"/>
      <c r="I107" s="48"/>
      <c r="J107" s="20" t="str">
        <f aca="false">IF(A107="","",G107*H107)</f>
        <v/>
      </c>
      <c r="K107" s="20" t="str">
        <f aca="false">IF(A107="","",G107*I107)</f>
        <v/>
      </c>
      <c r="L107" s="20" t="str">
        <f aca="false">IF(A107="","",K107-J107)</f>
        <v/>
      </c>
      <c r="M107" s="38" t="str">
        <f aca="false">IF(OR(A107="",N(J107)=0),"",L107/J107)</f>
        <v/>
      </c>
    </row>
    <row r="108" customFormat="false" ht="15" hidden="false" customHeight="false" outlineLevel="0" collapsed="false">
      <c r="A108" s="45"/>
      <c r="B108" s="46" t="str">
        <f aca="false">IF(A108="","",IFERROR(INDEX(계좌!$B$2:$B$41,MATCH(A108,계좌!$A$2:$A$41,0)),"?"))</f>
        <v/>
      </c>
      <c r="C108" s="46" t="str">
        <f aca="false">IF(A108="","",IFERROR(INDEX(계좌!$E$2:$E$41,MATCH(A108,계좌!$A$2:$A$41,0)),"?"))</f>
        <v/>
      </c>
      <c r="D108" s="45"/>
      <c r="E108" s="45"/>
      <c r="F108" s="45"/>
      <c r="G108" s="48"/>
      <c r="H108" s="48"/>
      <c r="I108" s="48"/>
      <c r="J108" s="20" t="str">
        <f aca="false">IF(A108="","",G108*H108)</f>
        <v/>
      </c>
      <c r="K108" s="20" t="str">
        <f aca="false">IF(A108="","",G108*I108)</f>
        <v/>
      </c>
      <c r="L108" s="20" t="str">
        <f aca="false">IF(A108="","",K108-J108)</f>
        <v/>
      </c>
      <c r="M108" s="38" t="str">
        <f aca="false">IF(OR(A108="",N(J108)=0),"",L108/J108)</f>
        <v/>
      </c>
    </row>
    <row r="109" customFormat="false" ht="15" hidden="false" customHeight="false" outlineLevel="0" collapsed="false">
      <c r="A109" s="45"/>
      <c r="B109" s="46" t="str">
        <f aca="false">IF(A109="","",IFERROR(INDEX(계좌!$B$2:$B$41,MATCH(A109,계좌!$A$2:$A$41,0)),"?"))</f>
        <v/>
      </c>
      <c r="C109" s="46" t="str">
        <f aca="false">IF(A109="","",IFERROR(INDEX(계좌!$E$2:$E$41,MATCH(A109,계좌!$A$2:$A$41,0)),"?"))</f>
        <v/>
      </c>
      <c r="D109" s="45"/>
      <c r="E109" s="45"/>
      <c r="F109" s="45"/>
      <c r="G109" s="48"/>
      <c r="H109" s="48"/>
      <c r="I109" s="48"/>
      <c r="J109" s="20" t="str">
        <f aca="false">IF(A109="","",G109*H109)</f>
        <v/>
      </c>
      <c r="K109" s="20" t="str">
        <f aca="false">IF(A109="","",G109*I109)</f>
        <v/>
      </c>
      <c r="L109" s="20" t="str">
        <f aca="false">IF(A109="","",K109-J109)</f>
        <v/>
      </c>
      <c r="M109" s="38" t="str">
        <f aca="false">IF(OR(A109="",N(J109)=0),"",L109/J109)</f>
        <v/>
      </c>
    </row>
    <row r="110" customFormat="false" ht="15" hidden="false" customHeight="false" outlineLevel="0" collapsed="false">
      <c r="A110" s="45"/>
      <c r="B110" s="46" t="str">
        <f aca="false">IF(A110="","",IFERROR(INDEX(계좌!$B$2:$B$41,MATCH(A110,계좌!$A$2:$A$41,0)),"?"))</f>
        <v/>
      </c>
      <c r="C110" s="46" t="str">
        <f aca="false">IF(A110="","",IFERROR(INDEX(계좌!$E$2:$E$41,MATCH(A110,계좌!$A$2:$A$41,0)),"?"))</f>
        <v/>
      </c>
      <c r="D110" s="45"/>
      <c r="E110" s="45"/>
      <c r="F110" s="45"/>
      <c r="G110" s="48"/>
      <c r="H110" s="48"/>
      <c r="I110" s="48"/>
      <c r="J110" s="20" t="str">
        <f aca="false">IF(A110="","",G110*H110)</f>
        <v/>
      </c>
      <c r="K110" s="20" t="str">
        <f aca="false">IF(A110="","",G110*I110)</f>
        <v/>
      </c>
      <c r="L110" s="20" t="str">
        <f aca="false">IF(A110="","",K110-J110)</f>
        <v/>
      </c>
      <c r="M110" s="38" t="str">
        <f aca="false">IF(OR(A110="",N(J110)=0),"",L110/J110)</f>
        <v/>
      </c>
    </row>
    <row r="111" customFormat="false" ht="15" hidden="false" customHeight="false" outlineLevel="0" collapsed="false">
      <c r="A111" s="45"/>
      <c r="B111" s="46" t="str">
        <f aca="false">IF(A111="","",IFERROR(INDEX(계좌!$B$2:$B$41,MATCH(A111,계좌!$A$2:$A$41,0)),"?"))</f>
        <v/>
      </c>
      <c r="C111" s="46" t="str">
        <f aca="false">IF(A111="","",IFERROR(INDEX(계좌!$E$2:$E$41,MATCH(A111,계좌!$A$2:$A$41,0)),"?"))</f>
        <v/>
      </c>
      <c r="D111" s="45"/>
      <c r="E111" s="45"/>
      <c r="F111" s="45"/>
      <c r="G111" s="48"/>
      <c r="H111" s="48"/>
      <c r="I111" s="48"/>
      <c r="J111" s="20" t="str">
        <f aca="false">IF(A111="","",G111*H111)</f>
        <v/>
      </c>
      <c r="K111" s="20" t="str">
        <f aca="false">IF(A111="","",G111*I111)</f>
        <v/>
      </c>
      <c r="L111" s="20" t="str">
        <f aca="false">IF(A111="","",K111-J111)</f>
        <v/>
      </c>
      <c r="M111" s="38" t="str">
        <f aca="false">IF(OR(A111="",N(J111)=0),"",L111/J111)</f>
        <v/>
      </c>
    </row>
    <row r="112" customFormat="false" ht="15" hidden="false" customHeight="false" outlineLevel="0" collapsed="false">
      <c r="A112" s="45"/>
      <c r="B112" s="46" t="str">
        <f aca="false">IF(A112="","",IFERROR(INDEX(계좌!$B$2:$B$41,MATCH(A112,계좌!$A$2:$A$41,0)),"?"))</f>
        <v/>
      </c>
      <c r="C112" s="46" t="str">
        <f aca="false">IF(A112="","",IFERROR(INDEX(계좌!$E$2:$E$41,MATCH(A112,계좌!$A$2:$A$41,0)),"?"))</f>
        <v/>
      </c>
      <c r="D112" s="45"/>
      <c r="E112" s="45"/>
      <c r="F112" s="45"/>
      <c r="G112" s="48"/>
      <c r="H112" s="48"/>
      <c r="I112" s="48"/>
      <c r="J112" s="20" t="str">
        <f aca="false">IF(A112="","",G112*H112)</f>
        <v/>
      </c>
      <c r="K112" s="20" t="str">
        <f aca="false">IF(A112="","",G112*I112)</f>
        <v/>
      </c>
      <c r="L112" s="20" t="str">
        <f aca="false">IF(A112="","",K112-J112)</f>
        <v/>
      </c>
      <c r="M112" s="38" t="str">
        <f aca="false">IF(OR(A112="",N(J112)=0),"",L112/J112)</f>
        <v/>
      </c>
    </row>
    <row r="113" customFormat="false" ht="15" hidden="false" customHeight="false" outlineLevel="0" collapsed="false">
      <c r="A113" s="45"/>
      <c r="B113" s="46" t="str">
        <f aca="false">IF(A113="","",IFERROR(INDEX(계좌!$B$2:$B$41,MATCH(A113,계좌!$A$2:$A$41,0)),"?"))</f>
        <v/>
      </c>
      <c r="C113" s="46" t="str">
        <f aca="false">IF(A113="","",IFERROR(INDEX(계좌!$E$2:$E$41,MATCH(A113,계좌!$A$2:$A$41,0)),"?"))</f>
        <v/>
      </c>
      <c r="D113" s="45"/>
      <c r="E113" s="45"/>
      <c r="F113" s="45"/>
      <c r="G113" s="48"/>
      <c r="H113" s="48"/>
      <c r="I113" s="48"/>
      <c r="J113" s="20" t="str">
        <f aca="false">IF(A113="","",G113*H113)</f>
        <v/>
      </c>
      <c r="K113" s="20" t="str">
        <f aca="false">IF(A113="","",G113*I113)</f>
        <v/>
      </c>
      <c r="L113" s="20" t="str">
        <f aca="false">IF(A113="","",K113-J113)</f>
        <v/>
      </c>
      <c r="M113" s="38" t="str">
        <f aca="false">IF(OR(A113="",N(J113)=0),"",L113/J113)</f>
        <v/>
      </c>
    </row>
    <row r="114" customFormat="false" ht="15" hidden="false" customHeight="false" outlineLevel="0" collapsed="false">
      <c r="A114" s="45"/>
      <c r="B114" s="46" t="str">
        <f aca="false">IF(A114="","",IFERROR(INDEX(계좌!$B$2:$B$41,MATCH(A114,계좌!$A$2:$A$41,0)),"?"))</f>
        <v/>
      </c>
      <c r="C114" s="46" t="str">
        <f aca="false">IF(A114="","",IFERROR(INDEX(계좌!$E$2:$E$41,MATCH(A114,계좌!$A$2:$A$41,0)),"?"))</f>
        <v/>
      </c>
      <c r="D114" s="45"/>
      <c r="E114" s="45"/>
      <c r="F114" s="45"/>
      <c r="G114" s="48"/>
      <c r="H114" s="48"/>
      <c r="I114" s="48"/>
      <c r="J114" s="20" t="str">
        <f aca="false">IF(A114="","",G114*H114)</f>
        <v/>
      </c>
      <c r="K114" s="20" t="str">
        <f aca="false">IF(A114="","",G114*I114)</f>
        <v/>
      </c>
      <c r="L114" s="20" t="str">
        <f aca="false">IF(A114="","",K114-J114)</f>
        <v/>
      </c>
      <c r="M114" s="38" t="str">
        <f aca="false">IF(OR(A114="",N(J114)=0),"",L114/J114)</f>
        <v/>
      </c>
    </row>
    <row r="115" customFormat="false" ht="15" hidden="false" customHeight="false" outlineLevel="0" collapsed="false">
      <c r="A115" s="45"/>
      <c r="B115" s="46" t="str">
        <f aca="false">IF(A115="","",IFERROR(INDEX(계좌!$B$2:$B$41,MATCH(A115,계좌!$A$2:$A$41,0)),"?"))</f>
        <v/>
      </c>
      <c r="C115" s="46" t="str">
        <f aca="false">IF(A115="","",IFERROR(INDEX(계좌!$E$2:$E$41,MATCH(A115,계좌!$A$2:$A$41,0)),"?"))</f>
        <v/>
      </c>
      <c r="D115" s="45"/>
      <c r="E115" s="45"/>
      <c r="F115" s="45"/>
      <c r="G115" s="48"/>
      <c r="H115" s="48"/>
      <c r="I115" s="48"/>
      <c r="J115" s="20" t="str">
        <f aca="false">IF(A115="","",G115*H115)</f>
        <v/>
      </c>
      <c r="K115" s="20" t="str">
        <f aca="false">IF(A115="","",G115*I115)</f>
        <v/>
      </c>
      <c r="L115" s="20" t="str">
        <f aca="false">IF(A115="","",K115-J115)</f>
        <v/>
      </c>
      <c r="M115" s="38" t="str">
        <f aca="false">IF(OR(A115="",N(J115)=0),"",L115/J115)</f>
        <v/>
      </c>
    </row>
    <row r="116" customFormat="false" ht="15" hidden="false" customHeight="false" outlineLevel="0" collapsed="false">
      <c r="A116" s="45"/>
      <c r="B116" s="46" t="str">
        <f aca="false">IF(A116="","",IFERROR(INDEX(계좌!$B$2:$B$41,MATCH(A116,계좌!$A$2:$A$41,0)),"?"))</f>
        <v/>
      </c>
      <c r="C116" s="46" t="str">
        <f aca="false">IF(A116="","",IFERROR(INDEX(계좌!$E$2:$E$41,MATCH(A116,계좌!$A$2:$A$41,0)),"?"))</f>
        <v/>
      </c>
      <c r="D116" s="45"/>
      <c r="E116" s="45"/>
      <c r="F116" s="45"/>
      <c r="G116" s="48"/>
      <c r="H116" s="48"/>
      <c r="I116" s="48"/>
      <c r="J116" s="20" t="str">
        <f aca="false">IF(A116="","",G116*H116)</f>
        <v/>
      </c>
      <c r="K116" s="20" t="str">
        <f aca="false">IF(A116="","",G116*I116)</f>
        <v/>
      </c>
      <c r="L116" s="20" t="str">
        <f aca="false">IF(A116="","",K116-J116)</f>
        <v/>
      </c>
      <c r="M116" s="38" t="str">
        <f aca="false">IF(OR(A116="",N(J116)=0),"",L116/J116)</f>
        <v/>
      </c>
    </row>
    <row r="117" customFormat="false" ht="15" hidden="false" customHeight="false" outlineLevel="0" collapsed="false">
      <c r="A117" s="45"/>
      <c r="B117" s="46" t="str">
        <f aca="false">IF(A117="","",IFERROR(INDEX(계좌!$B$2:$B$41,MATCH(A117,계좌!$A$2:$A$41,0)),"?"))</f>
        <v/>
      </c>
      <c r="C117" s="46" t="str">
        <f aca="false">IF(A117="","",IFERROR(INDEX(계좌!$E$2:$E$41,MATCH(A117,계좌!$A$2:$A$41,0)),"?"))</f>
        <v/>
      </c>
      <c r="D117" s="45"/>
      <c r="E117" s="45"/>
      <c r="F117" s="45"/>
      <c r="G117" s="48"/>
      <c r="H117" s="48"/>
      <c r="I117" s="48"/>
      <c r="J117" s="20" t="str">
        <f aca="false">IF(A117="","",G117*H117)</f>
        <v/>
      </c>
      <c r="K117" s="20" t="str">
        <f aca="false">IF(A117="","",G117*I117)</f>
        <v/>
      </c>
      <c r="L117" s="20" t="str">
        <f aca="false">IF(A117="","",K117-J117)</f>
        <v/>
      </c>
      <c r="M117" s="38" t="str">
        <f aca="false">IF(OR(A117="",N(J117)=0),"",L117/J117)</f>
        <v/>
      </c>
    </row>
    <row r="118" customFormat="false" ht="15" hidden="false" customHeight="false" outlineLevel="0" collapsed="false">
      <c r="A118" s="45"/>
      <c r="B118" s="46" t="str">
        <f aca="false">IF(A118="","",IFERROR(INDEX(계좌!$B$2:$B$41,MATCH(A118,계좌!$A$2:$A$41,0)),"?"))</f>
        <v/>
      </c>
      <c r="C118" s="46" t="str">
        <f aca="false">IF(A118="","",IFERROR(INDEX(계좌!$E$2:$E$41,MATCH(A118,계좌!$A$2:$A$41,0)),"?"))</f>
        <v/>
      </c>
      <c r="D118" s="45"/>
      <c r="E118" s="45"/>
      <c r="F118" s="45"/>
      <c r="G118" s="48"/>
      <c r="H118" s="48"/>
      <c r="I118" s="48"/>
      <c r="J118" s="20" t="str">
        <f aca="false">IF(A118="","",G118*H118)</f>
        <v/>
      </c>
      <c r="K118" s="20" t="str">
        <f aca="false">IF(A118="","",G118*I118)</f>
        <v/>
      </c>
      <c r="L118" s="20" t="str">
        <f aca="false">IF(A118="","",K118-J118)</f>
        <v/>
      </c>
      <c r="M118" s="38" t="str">
        <f aca="false">IF(OR(A118="",N(J118)=0),"",L118/J118)</f>
        <v/>
      </c>
    </row>
    <row r="119" customFormat="false" ht="15" hidden="false" customHeight="false" outlineLevel="0" collapsed="false">
      <c r="A119" s="45"/>
      <c r="B119" s="46" t="str">
        <f aca="false">IF(A119="","",IFERROR(INDEX(계좌!$B$2:$B$41,MATCH(A119,계좌!$A$2:$A$41,0)),"?"))</f>
        <v/>
      </c>
      <c r="C119" s="46" t="str">
        <f aca="false">IF(A119="","",IFERROR(INDEX(계좌!$E$2:$E$41,MATCH(A119,계좌!$A$2:$A$41,0)),"?"))</f>
        <v/>
      </c>
      <c r="D119" s="45"/>
      <c r="E119" s="45"/>
      <c r="F119" s="45"/>
      <c r="G119" s="48"/>
      <c r="H119" s="48"/>
      <c r="I119" s="48"/>
      <c r="J119" s="20" t="str">
        <f aca="false">IF(A119="","",G119*H119)</f>
        <v/>
      </c>
      <c r="K119" s="20" t="str">
        <f aca="false">IF(A119="","",G119*I119)</f>
        <v/>
      </c>
      <c r="L119" s="20" t="str">
        <f aca="false">IF(A119="","",K119-J119)</f>
        <v/>
      </c>
      <c r="M119" s="38" t="str">
        <f aca="false">IF(OR(A119="",N(J119)=0),"",L119/J119)</f>
        <v/>
      </c>
    </row>
    <row r="120" customFormat="false" ht="15" hidden="false" customHeight="false" outlineLevel="0" collapsed="false">
      <c r="A120" s="45"/>
      <c r="B120" s="46" t="str">
        <f aca="false">IF(A120="","",IFERROR(INDEX(계좌!$B$2:$B$41,MATCH(A120,계좌!$A$2:$A$41,0)),"?"))</f>
        <v/>
      </c>
      <c r="C120" s="46" t="str">
        <f aca="false">IF(A120="","",IFERROR(INDEX(계좌!$E$2:$E$41,MATCH(A120,계좌!$A$2:$A$41,0)),"?"))</f>
        <v/>
      </c>
      <c r="D120" s="45"/>
      <c r="E120" s="45"/>
      <c r="F120" s="45"/>
      <c r="G120" s="48"/>
      <c r="H120" s="48"/>
      <c r="I120" s="48"/>
      <c r="J120" s="20" t="str">
        <f aca="false">IF(A120="","",G120*H120)</f>
        <v/>
      </c>
      <c r="K120" s="20" t="str">
        <f aca="false">IF(A120="","",G120*I120)</f>
        <v/>
      </c>
      <c r="L120" s="20" t="str">
        <f aca="false">IF(A120="","",K120-J120)</f>
        <v/>
      </c>
      <c r="M120" s="38" t="str">
        <f aca="false">IF(OR(A120="",N(J120)=0),"",L120/J120)</f>
        <v/>
      </c>
    </row>
    <row r="121" customFormat="false" ht="15" hidden="false" customHeight="false" outlineLevel="0" collapsed="false">
      <c r="A121" s="45"/>
      <c r="B121" s="46" t="str">
        <f aca="false">IF(A121="","",IFERROR(INDEX(계좌!$B$2:$B$41,MATCH(A121,계좌!$A$2:$A$41,0)),"?"))</f>
        <v/>
      </c>
      <c r="C121" s="46" t="str">
        <f aca="false">IF(A121="","",IFERROR(INDEX(계좌!$E$2:$E$41,MATCH(A121,계좌!$A$2:$A$41,0)),"?"))</f>
        <v/>
      </c>
      <c r="D121" s="45"/>
      <c r="E121" s="45"/>
      <c r="F121" s="45"/>
      <c r="G121" s="48"/>
      <c r="H121" s="48"/>
      <c r="I121" s="48"/>
      <c r="J121" s="20" t="str">
        <f aca="false">IF(A121="","",G121*H121)</f>
        <v/>
      </c>
      <c r="K121" s="20" t="str">
        <f aca="false">IF(A121="","",G121*I121)</f>
        <v/>
      </c>
      <c r="L121" s="20" t="str">
        <f aca="false">IF(A121="","",K121-J121)</f>
        <v/>
      </c>
      <c r="M121" s="38" t="str">
        <f aca="false">IF(OR(A121="",N(J121)=0),"",L121/J121)</f>
        <v/>
      </c>
    </row>
    <row r="122" customFormat="false" ht="15" hidden="false" customHeight="false" outlineLevel="0" collapsed="false">
      <c r="A122" s="45"/>
      <c r="B122" s="46" t="str">
        <f aca="false">IF(A122="","",IFERROR(INDEX(계좌!$B$2:$B$41,MATCH(A122,계좌!$A$2:$A$41,0)),"?"))</f>
        <v/>
      </c>
      <c r="C122" s="46" t="str">
        <f aca="false">IF(A122="","",IFERROR(INDEX(계좌!$E$2:$E$41,MATCH(A122,계좌!$A$2:$A$41,0)),"?"))</f>
        <v/>
      </c>
      <c r="D122" s="45"/>
      <c r="E122" s="45"/>
      <c r="F122" s="45"/>
      <c r="G122" s="48"/>
      <c r="H122" s="48"/>
      <c r="I122" s="48"/>
      <c r="J122" s="20" t="str">
        <f aca="false">IF(A122="","",G122*H122)</f>
        <v/>
      </c>
      <c r="K122" s="20" t="str">
        <f aca="false">IF(A122="","",G122*I122)</f>
        <v/>
      </c>
      <c r="L122" s="20" t="str">
        <f aca="false">IF(A122="","",K122-J122)</f>
        <v/>
      </c>
      <c r="M122" s="38" t="str">
        <f aca="false">IF(OR(A122="",N(J122)=0),"",L122/J122)</f>
        <v/>
      </c>
    </row>
    <row r="123" customFormat="false" ht="15" hidden="false" customHeight="false" outlineLevel="0" collapsed="false">
      <c r="A123" s="45"/>
      <c r="B123" s="46" t="str">
        <f aca="false">IF(A123="","",IFERROR(INDEX(계좌!$B$2:$B$41,MATCH(A123,계좌!$A$2:$A$41,0)),"?"))</f>
        <v/>
      </c>
      <c r="C123" s="46" t="str">
        <f aca="false">IF(A123="","",IFERROR(INDEX(계좌!$E$2:$E$41,MATCH(A123,계좌!$A$2:$A$41,0)),"?"))</f>
        <v/>
      </c>
      <c r="D123" s="45"/>
      <c r="E123" s="45"/>
      <c r="F123" s="45"/>
      <c r="G123" s="48"/>
      <c r="H123" s="48"/>
      <c r="I123" s="48"/>
      <c r="J123" s="20" t="str">
        <f aca="false">IF(A123="","",G123*H123)</f>
        <v/>
      </c>
      <c r="K123" s="20" t="str">
        <f aca="false">IF(A123="","",G123*I123)</f>
        <v/>
      </c>
      <c r="L123" s="20" t="str">
        <f aca="false">IF(A123="","",K123-J123)</f>
        <v/>
      </c>
      <c r="M123" s="38" t="str">
        <f aca="false">IF(OR(A123="",N(J123)=0),"",L123/J123)</f>
        <v/>
      </c>
    </row>
    <row r="124" customFormat="false" ht="15" hidden="false" customHeight="false" outlineLevel="0" collapsed="false">
      <c r="A124" s="45"/>
      <c r="B124" s="46" t="str">
        <f aca="false">IF(A124="","",IFERROR(INDEX(계좌!$B$2:$B$41,MATCH(A124,계좌!$A$2:$A$41,0)),"?"))</f>
        <v/>
      </c>
      <c r="C124" s="46" t="str">
        <f aca="false">IF(A124="","",IFERROR(INDEX(계좌!$E$2:$E$41,MATCH(A124,계좌!$A$2:$A$41,0)),"?"))</f>
        <v/>
      </c>
      <c r="D124" s="45"/>
      <c r="E124" s="45"/>
      <c r="F124" s="45"/>
      <c r="G124" s="48"/>
      <c r="H124" s="48"/>
      <c r="I124" s="48"/>
      <c r="J124" s="20" t="str">
        <f aca="false">IF(A124="","",G124*H124)</f>
        <v/>
      </c>
      <c r="K124" s="20" t="str">
        <f aca="false">IF(A124="","",G124*I124)</f>
        <v/>
      </c>
      <c r="L124" s="20" t="str">
        <f aca="false">IF(A124="","",K124-J124)</f>
        <v/>
      </c>
      <c r="M124" s="38" t="str">
        <f aca="false">IF(OR(A124="",N(J124)=0),"",L124/J124)</f>
        <v/>
      </c>
    </row>
    <row r="125" customFormat="false" ht="15" hidden="false" customHeight="false" outlineLevel="0" collapsed="false">
      <c r="A125" s="45"/>
      <c r="B125" s="46" t="str">
        <f aca="false">IF(A125="","",IFERROR(INDEX(계좌!$B$2:$B$41,MATCH(A125,계좌!$A$2:$A$41,0)),"?"))</f>
        <v/>
      </c>
      <c r="C125" s="46" t="str">
        <f aca="false">IF(A125="","",IFERROR(INDEX(계좌!$E$2:$E$41,MATCH(A125,계좌!$A$2:$A$41,0)),"?"))</f>
        <v/>
      </c>
      <c r="D125" s="45"/>
      <c r="E125" s="45"/>
      <c r="F125" s="45"/>
      <c r="G125" s="48"/>
      <c r="H125" s="48"/>
      <c r="I125" s="48"/>
      <c r="J125" s="20" t="str">
        <f aca="false">IF(A125="","",G125*H125)</f>
        <v/>
      </c>
      <c r="K125" s="20" t="str">
        <f aca="false">IF(A125="","",G125*I125)</f>
        <v/>
      </c>
      <c r="L125" s="20" t="str">
        <f aca="false">IF(A125="","",K125-J125)</f>
        <v/>
      </c>
      <c r="M125" s="38" t="str">
        <f aca="false">IF(OR(A125="",N(J125)=0),"",L125/J125)</f>
        <v/>
      </c>
    </row>
    <row r="126" customFormat="false" ht="15" hidden="false" customHeight="false" outlineLevel="0" collapsed="false">
      <c r="A126" s="45"/>
      <c r="B126" s="46" t="str">
        <f aca="false">IF(A126="","",IFERROR(INDEX(계좌!$B$2:$B$41,MATCH(A126,계좌!$A$2:$A$41,0)),"?"))</f>
        <v/>
      </c>
      <c r="C126" s="46" t="str">
        <f aca="false">IF(A126="","",IFERROR(INDEX(계좌!$E$2:$E$41,MATCH(A126,계좌!$A$2:$A$41,0)),"?"))</f>
        <v/>
      </c>
      <c r="D126" s="45"/>
      <c r="E126" s="45"/>
      <c r="F126" s="45"/>
      <c r="G126" s="48"/>
      <c r="H126" s="48"/>
      <c r="I126" s="48"/>
      <c r="J126" s="20" t="str">
        <f aca="false">IF(A126="","",G126*H126)</f>
        <v/>
      </c>
      <c r="K126" s="20" t="str">
        <f aca="false">IF(A126="","",G126*I126)</f>
        <v/>
      </c>
      <c r="L126" s="20" t="str">
        <f aca="false">IF(A126="","",K126-J126)</f>
        <v/>
      </c>
      <c r="M126" s="38" t="str">
        <f aca="false">IF(OR(A126="",N(J126)=0),"",L126/J126)</f>
        <v/>
      </c>
    </row>
  </sheetData>
  <conditionalFormatting sqref="F4:F8">
    <cfRule type="expression" priority="2" aboveAverage="0" equalAverage="0" bottom="0" percent="0" rank="0" text="" dxfId="0">
      <formula>OR(ISNUMBER(SEARCH("초과",F4)),ISNUMBER(SEARCH("부족",F4)),ISNUMBER(SEARCH("공백",F4)))</formula>
    </cfRule>
    <cfRule type="expression" priority="3" aboveAverage="0" equalAverage="0" bottom="0" percent="0" rank="0" text="" dxfId="1">
      <formula>OR(ISNUMBER(SEARCH("주의",F4)),ISNUMBER(SEARCH("미달",F4)),ISNUMBER(SEARCH("지연",F4)),ISNUMBER(SEARCH("리밸런싱",F4)),ISNUMBER(SEARCH("감소",F4)))</formula>
    </cfRule>
    <cfRule type="expression" priority="4" aboveAverage="0" equalAverage="0" bottom="0" percent="0" rank="0" text="" dxfId="2">
      <formula>OR(ISNUMBER(SEARCH("양호",F4)),ISNUMBER(SEARCH("달성",F4)),ISNUMBER(SEARCH("순항",F4)),ISNUMBER(SEARCH("정상",F4)),ISNUMBER(SEARCH("증가",F4)),ISNUMBER(SEARCH("보장",F4)),ISNUMBER(SEARCH("적정",F4)))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A27:A126" type="list">
      <formula1>계좌!$A$2:$A$41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27:F126" type="list">
      <formula1>설정!$I$3:$I$7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19.7" hidden="false" customHeight="false" outlineLevel="0" collapsed="false">
      <c r="A1" s="34" t="s">
        <v>129</v>
      </c>
    </row>
    <row r="2" customFormat="false" ht="15" hidden="false" customHeight="false" outlineLevel="0" collapsed="false">
      <c r="A2" s="33" t="s">
        <v>130</v>
      </c>
    </row>
    <row r="3" customFormat="false" ht="26.85" hidden="false" customHeight="false" outlineLevel="0" collapsed="false">
      <c r="A3" s="31" t="s">
        <v>131</v>
      </c>
      <c r="B3" s="31" t="s">
        <v>71</v>
      </c>
      <c r="C3" s="32" t="s">
        <v>74</v>
      </c>
      <c r="D3" s="32" t="s">
        <v>132</v>
      </c>
      <c r="E3" s="31" t="s">
        <v>133</v>
      </c>
      <c r="F3" s="31" t="s">
        <v>134</v>
      </c>
      <c r="G3" s="31" t="s">
        <v>135</v>
      </c>
      <c r="H3" s="31" t="s">
        <v>136</v>
      </c>
      <c r="I3" s="32" t="s">
        <v>137</v>
      </c>
      <c r="J3" s="32" t="s">
        <v>138</v>
      </c>
      <c r="K3" s="32" t="s">
        <v>139</v>
      </c>
      <c r="L3" s="32" t="s">
        <v>140</v>
      </c>
      <c r="M3" s="32" t="s">
        <v>141</v>
      </c>
    </row>
    <row r="4" customFormat="false" ht="15" hidden="false" customHeight="false" outlineLevel="0" collapsed="false">
      <c r="A4" s="45"/>
      <c r="B4" s="45"/>
      <c r="C4" s="46" t="str">
        <f aca="false">IF(B4="","",IFERROR(INDEX(계좌!$E$2:$E$41,MATCH(B4,계좌!$A$2:$A$41,0)),"?"))</f>
        <v/>
      </c>
      <c r="D4" s="20" t="str">
        <f aca="false">IF(B4="","",SUMIFS(스냅샷!$C$2:$C$3000,스냅샷!$A$2:$A$3000,설정!$B$3,스냅샷!$B$2:$B$3000,B4))</f>
        <v/>
      </c>
      <c r="E4" s="49"/>
      <c r="F4" s="50"/>
      <c r="G4" s="45"/>
      <c r="H4" s="48"/>
      <c r="I4" s="20" t="str">
        <f aca="false">IF(B4="","",D4*E4/12)</f>
        <v/>
      </c>
      <c r="J4" s="20" t="str">
        <f aca="false">IF(B4="","",H4*12)</f>
        <v/>
      </c>
      <c r="K4" s="20" t="str">
        <f aca="false">IF(B4="","",D4*0.01/12)</f>
        <v/>
      </c>
      <c r="L4" s="51" t="str">
        <f aca="false">IF(F4="","",MAX(0,ROUND((F4-설정!$B$10)/30.4,0)))</f>
        <v/>
      </c>
      <c r="M4" s="52" t="str">
        <f aca="false">IF(OR(B4="",E4=""),"",RANK(E4,$E$4:$E$13))</f>
        <v/>
      </c>
    </row>
    <row r="5" customFormat="false" ht="15" hidden="false" customHeight="false" outlineLevel="0" collapsed="false">
      <c r="A5" s="45"/>
      <c r="B5" s="45"/>
      <c r="C5" s="46" t="str">
        <f aca="false">IF(B5="","",IFERROR(INDEX(계좌!$E$2:$E$41,MATCH(B5,계좌!$A$2:$A$41,0)),"?"))</f>
        <v/>
      </c>
      <c r="D5" s="20" t="str">
        <f aca="false">IF(B5="","",SUMIFS(스냅샷!$C$2:$C$3000,스냅샷!$A$2:$A$3000,설정!$B$3,스냅샷!$B$2:$B$3000,B5))</f>
        <v/>
      </c>
      <c r="E5" s="49"/>
      <c r="F5" s="50"/>
      <c r="G5" s="45"/>
      <c r="H5" s="48"/>
      <c r="I5" s="20" t="str">
        <f aca="false">IF(B5="","",D5*E5/12)</f>
        <v/>
      </c>
      <c r="J5" s="20" t="str">
        <f aca="false">IF(B5="","",H5*12)</f>
        <v/>
      </c>
      <c r="K5" s="20" t="str">
        <f aca="false">IF(B5="","",D5*0.01/12)</f>
        <v/>
      </c>
      <c r="L5" s="51" t="str">
        <f aca="false">IF(F5="","",MAX(0,ROUND((F5-설정!$B$10)/30.4,0)))</f>
        <v/>
      </c>
      <c r="M5" s="52" t="str">
        <f aca="false">IF(OR(B5="",E5=""),"",RANK(E5,$E$4:$E$13))</f>
        <v/>
      </c>
    </row>
    <row r="6" customFormat="false" ht="15" hidden="false" customHeight="false" outlineLevel="0" collapsed="false">
      <c r="A6" s="45"/>
      <c r="B6" s="45"/>
      <c r="C6" s="46" t="str">
        <f aca="false">IF(B6="","",IFERROR(INDEX(계좌!$E$2:$E$41,MATCH(B6,계좌!$A$2:$A$41,0)),"?"))</f>
        <v/>
      </c>
      <c r="D6" s="20" t="str">
        <f aca="false">IF(B6="","",SUMIFS(스냅샷!$C$2:$C$3000,스냅샷!$A$2:$A$3000,설정!$B$3,스냅샷!$B$2:$B$3000,B6))</f>
        <v/>
      </c>
      <c r="E6" s="49"/>
      <c r="F6" s="50"/>
      <c r="G6" s="45"/>
      <c r="H6" s="48"/>
      <c r="I6" s="20" t="str">
        <f aca="false">IF(B6="","",D6*E6/12)</f>
        <v/>
      </c>
      <c r="J6" s="20" t="str">
        <f aca="false">IF(B6="","",H6*12)</f>
        <v/>
      </c>
      <c r="K6" s="20" t="str">
        <f aca="false">IF(B6="","",D6*0.01/12)</f>
        <v/>
      </c>
      <c r="L6" s="51" t="str">
        <f aca="false">IF(F6="","",MAX(0,ROUND((F6-설정!$B$10)/30.4,0)))</f>
        <v/>
      </c>
      <c r="M6" s="52" t="str">
        <f aca="false">IF(OR(B6="",E6=""),"",RANK(E6,$E$4:$E$13))</f>
        <v/>
      </c>
    </row>
    <row r="7" customFormat="false" ht="15" hidden="false" customHeight="false" outlineLevel="0" collapsed="false">
      <c r="A7" s="45"/>
      <c r="B7" s="45"/>
      <c r="C7" s="46" t="str">
        <f aca="false">IF(B7="","",IFERROR(INDEX(계좌!$E$2:$E$41,MATCH(B7,계좌!$A$2:$A$41,0)),"?"))</f>
        <v/>
      </c>
      <c r="D7" s="20" t="str">
        <f aca="false">IF(B7="","",SUMIFS(스냅샷!$C$2:$C$3000,스냅샷!$A$2:$A$3000,설정!$B$3,스냅샷!$B$2:$B$3000,B7))</f>
        <v/>
      </c>
      <c r="E7" s="49"/>
      <c r="F7" s="50"/>
      <c r="G7" s="45"/>
      <c r="H7" s="48"/>
      <c r="I7" s="20" t="str">
        <f aca="false">IF(B7="","",D7*E7/12)</f>
        <v/>
      </c>
      <c r="J7" s="20" t="str">
        <f aca="false">IF(B7="","",H7*12)</f>
        <v/>
      </c>
      <c r="K7" s="20" t="str">
        <f aca="false">IF(B7="","",D7*0.01/12)</f>
        <v/>
      </c>
      <c r="L7" s="51" t="str">
        <f aca="false">IF(F7="","",MAX(0,ROUND((F7-설정!$B$10)/30.4,0)))</f>
        <v/>
      </c>
      <c r="M7" s="52" t="str">
        <f aca="false">IF(OR(B7="",E7=""),"",RANK(E7,$E$4:$E$13))</f>
        <v/>
      </c>
    </row>
    <row r="8" customFormat="false" ht="15" hidden="false" customHeight="false" outlineLevel="0" collapsed="false">
      <c r="A8" s="45"/>
      <c r="B8" s="45"/>
      <c r="C8" s="46" t="str">
        <f aca="false">IF(B8="","",IFERROR(INDEX(계좌!$E$2:$E$41,MATCH(B8,계좌!$A$2:$A$41,0)),"?"))</f>
        <v/>
      </c>
      <c r="D8" s="20" t="str">
        <f aca="false">IF(B8="","",SUMIFS(스냅샷!$C$2:$C$3000,스냅샷!$A$2:$A$3000,설정!$B$3,스냅샷!$B$2:$B$3000,B8))</f>
        <v/>
      </c>
      <c r="E8" s="49"/>
      <c r="F8" s="50"/>
      <c r="G8" s="45"/>
      <c r="H8" s="48"/>
      <c r="I8" s="20" t="str">
        <f aca="false">IF(B8="","",D8*E8/12)</f>
        <v/>
      </c>
      <c r="J8" s="20" t="str">
        <f aca="false">IF(B8="","",H8*12)</f>
        <v/>
      </c>
      <c r="K8" s="20" t="str">
        <f aca="false">IF(B8="","",D8*0.01/12)</f>
        <v/>
      </c>
      <c r="L8" s="51" t="str">
        <f aca="false">IF(F8="","",MAX(0,ROUND((F8-설정!$B$10)/30.4,0)))</f>
        <v/>
      </c>
      <c r="M8" s="52" t="str">
        <f aca="false">IF(OR(B8="",E8=""),"",RANK(E8,$E$4:$E$13))</f>
        <v/>
      </c>
    </row>
    <row r="9" customFormat="false" ht="15" hidden="false" customHeight="false" outlineLevel="0" collapsed="false">
      <c r="A9" s="45"/>
      <c r="B9" s="45"/>
      <c r="C9" s="46" t="str">
        <f aca="false">IF(B9="","",IFERROR(INDEX(계좌!$E$2:$E$41,MATCH(B9,계좌!$A$2:$A$41,0)),"?"))</f>
        <v/>
      </c>
      <c r="D9" s="20" t="str">
        <f aca="false">IF(B9="","",SUMIFS(스냅샷!$C$2:$C$3000,스냅샷!$A$2:$A$3000,설정!$B$3,스냅샷!$B$2:$B$3000,B9))</f>
        <v/>
      </c>
      <c r="E9" s="49"/>
      <c r="F9" s="50"/>
      <c r="G9" s="45"/>
      <c r="H9" s="48"/>
      <c r="I9" s="20" t="str">
        <f aca="false">IF(B9="","",D9*E9/12)</f>
        <v/>
      </c>
      <c r="J9" s="20" t="str">
        <f aca="false">IF(B9="","",H9*12)</f>
        <v/>
      </c>
      <c r="K9" s="20" t="str">
        <f aca="false">IF(B9="","",D9*0.01/12)</f>
        <v/>
      </c>
      <c r="L9" s="51" t="str">
        <f aca="false">IF(F9="","",MAX(0,ROUND((F9-설정!$B$10)/30.4,0)))</f>
        <v/>
      </c>
      <c r="M9" s="52" t="str">
        <f aca="false">IF(OR(B9="",E9=""),"",RANK(E9,$E$4:$E$13))</f>
        <v/>
      </c>
    </row>
    <row r="10" customFormat="false" ht="15" hidden="false" customHeight="false" outlineLevel="0" collapsed="false">
      <c r="A10" s="45"/>
      <c r="B10" s="45"/>
      <c r="C10" s="46" t="str">
        <f aca="false">IF(B10="","",IFERROR(INDEX(계좌!$E$2:$E$41,MATCH(B10,계좌!$A$2:$A$41,0)),"?"))</f>
        <v/>
      </c>
      <c r="D10" s="20" t="str">
        <f aca="false">IF(B10="","",SUMIFS(스냅샷!$C$2:$C$3000,스냅샷!$A$2:$A$3000,설정!$B$3,스냅샷!$B$2:$B$3000,B10))</f>
        <v/>
      </c>
      <c r="E10" s="49"/>
      <c r="F10" s="50"/>
      <c r="G10" s="45"/>
      <c r="H10" s="48"/>
      <c r="I10" s="20" t="str">
        <f aca="false">IF(B10="","",D10*E10/12)</f>
        <v/>
      </c>
      <c r="J10" s="20" t="str">
        <f aca="false">IF(B10="","",H10*12)</f>
        <v/>
      </c>
      <c r="K10" s="20" t="str">
        <f aca="false">IF(B10="","",D10*0.01/12)</f>
        <v/>
      </c>
      <c r="L10" s="51" t="str">
        <f aca="false">IF(F10="","",MAX(0,ROUND((F10-설정!$B$10)/30.4,0)))</f>
        <v/>
      </c>
      <c r="M10" s="52" t="str">
        <f aca="false">IF(OR(B10="",E10=""),"",RANK(E10,$E$4:$E$13))</f>
        <v/>
      </c>
    </row>
    <row r="11" customFormat="false" ht="15" hidden="false" customHeight="false" outlineLevel="0" collapsed="false">
      <c r="A11" s="45"/>
      <c r="B11" s="45"/>
      <c r="C11" s="46" t="str">
        <f aca="false">IF(B11="","",IFERROR(INDEX(계좌!$E$2:$E$41,MATCH(B11,계좌!$A$2:$A$41,0)),"?"))</f>
        <v/>
      </c>
      <c r="D11" s="20" t="str">
        <f aca="false">IF(B11="","",SUMIFS(스냅샷!$C$2:$C$3000,스냅샷!$A$2:$A$3000,설정!$B$3,스냅샷!$B$2:$B$3000,B11))</f>
        <v/>
      </c>
      <c r="E11" s="49"/>
      <c r="F11" s="50"/>
      <c r="G11" s="45"/>
      <c r="H11" s="48"/>
      <c r="I11" s="20" t="str">
        <f aca="false">IF(B11="","",D11*E11/12)</f>
        <v/>
      </c>
      <c r="J11" s="20" t="str">
        <f aca="false">IF(B11="","",H11*12)</f>
        <v/>
      </c>
      <c r="K11" s="20" t="str">
        <f aca="false">IF(B11="","",D11*0.01/12)</f>
        <v/>
      </c>
      <c r="L11" s="51" t="str">
        <f aca="false">IF(F11="","",MAX(0,ROUND((F11-설정!$B$10)/30.4,0)))</f>
        <v/>
      </c>
      <c r="M11" s="52" t="str">
        <f aca="false">IF(OR(B11="",E11=""),"",RANK(E11,$E$4:$E$13))</f>
        <v/>
      </c>
    </row>
    <row r="12" customFormat="false" ht="15" hidden="false" customHeight="false" outlineLevel="0" collapsed="false">
      <c r="A12" s="45"/>
      <c r="B12" s="45"/>
      <c r="C12" s="46" t="str">
        <f aca="false">IF(B12="","",IFERROR(INDEX(계좌!$E$2:$E$41,MATCH(B12,계좌!$A$2:$A$41,0)),"?"))</f>
        <v/>
      </c>
      <c r="D12" s="20" t="str">
        <f aca="false">IF(B12="","",SUMIFS(스냅샷!$C$2:$C$3000,스냅샷!$A$2:$A$3000,설정!$B$3,스냅샷!$B$2:$B$3000,B12))</f>
        <v/>
      </c>
      <c r="E12" s="49"/>
      <c r="F12" s="50"/>
      <c r="G12" s="45"/>
      <c r="H12" s="48"/>
      <c r="I12" s="20" t="str">
        <f aca="false">IF(B12="","",D12*E12/12)</f>
        <v/>
      </c>
      <c r="J12" s="20" t="str">
        <f aca="false">IF(B12="","",H12*12)</f>
        <v/>
      </c>
      <c r="K12" s="20" t="str">
        <f aca="false">IF(B12="","",D12*0.01/12)</f>
        <v/>
      </c>
      <c r="L12" s="51" t="str">
        <f aca="false">IF(F12="","",MAX(0,ROUND((F12-설정!$B$10)/30.4,0)))</f>
        <v/>
      </c>
      <c r="M12" s="52" t="str">
        <f aca="false">IF(OR(B12="",E12=""),"",RANK(E12,$E$4:$E$13))</f>
        <v/>
      </c>
    </row>
    <row r="13" customFormat="false" ht="15" hidden="false" customHeight="false" outlineLevel="0" collapsed="false">
      <c r="A13" s="45"/>
      <c r="B13" s="45"/>
      <c r="C13" s="46" t="str">
        <f aca="false">IF(B13="","",IFERROR(INDEX(계좌!$E$2:$E$41,MATCH(B13,계좌!$A$2:$A$41,0)),"?"))</f>
        <v/>
      </c>
      <c r="D13" s="20" t="str">
        <f aca="false">IF(B13="","",SUMIFS(스냅샷!$C$2:$C$3000,스냅샷!$A$2:$A$3000,설정!$B$3,스냅샷!$B$2:$B$3000,B13))</f>
        <v/>
      </c>
      <c r="E13" s="49"/>
      <c r="F13" s="50"/>
      <c r="G13" s="45"/>
      <c r="H13" s="48"/>
      <c r="I13" s="20" t="str">
        <f aca="false">IF(B13="","",D13*E13/12)</f>
        <v/>
      </c>
      <c r="J13" s="20" t="str">
        <f aca="false">IF(B13="","",H13*12)</f>
        <v/>
      </c>
      <c r="K13" s="20" t="str">
        <f aca="false">IF(B13="","",D13*0.01/12)</f>
        <v/>
      </c>
      <c r="L13" s="51" t="str">
        <f aca="false">IF(F13="","",MAX(0,ROUND((F13-설정!$B$10)/30.4,0)))</f>
        <v/>
      </c>
      <c r="M13" s="52" t="str">
        <f aca="false">IF(OR(B13="",E13=""),"",RANK(E13,$E$4:$E$13))</f>
        <v/>
      </c>
    </row>
    <row r="15" customFormat="false" ht="15" hidden="false" customHeight="false" outlineLevel="0" collapsed="false">
      <c r="A15" s="43" t="s">
        <v>142</v>
      </c>
      <c r="B15" s="44"/>
      <c r="C15" s="44"/>
    </row>
    <row r="16" customFormat="false" ht="15" hidden="false" customHeight="false" outlineLevel="0" collapsed="false">
      <c r="A16" s="36" t="s">
        <v>143</v>
      </c>
      <c r="B16" s="20" t="n">
        <f aca="false">SUMIFS(D4:D13,C4:C13,설정!$B$5)</f>
        <v>0</v>
      </c>
    </row>
    <row r="17" customFormat="false" ht="15" hidden="false" customHeight="false" outlineLevel="0" collapsed="false">
      <c r="A17" s="36" t="s">
        <v>144</v>
      </c>
      <c r="B17" s="20" t="n">
        <f aca="false">SUMIFS(H4:H13,C4:C13,설정!$B$5)</f>
        <v>0</v>
      </c>
    </row>
    <row r="18" customFormat="false" ht="15" hidden="false" customHeight="false" outlineLevel="0" collapsed="false">
      <c r="A18" s="36" t="s">
        <v>138</v>
      </c>
      <c r="B18" s="20" t="n">
        <f aca="false">B17*12</f>
        <v>0</v>
      </c>
    </row>
    <row r="19" customFormat="false" ht="15" hidden="false" customHeight="false" outlineLevel="0" collapsed="false">
      <c r="A19" s="36" t="s">
        <v>145</v>
      </c>
      <c r="B19" s="20" t="n">
        <f aca="false">IF(설정!$B$4="공동",SUMIFS(거래내역!$D$2:$D$5000,거래내역!$F$2:$F$5000,"소득",거래내역!$L$2:$L$5000,"&gt;="&amp;VALUE(SUBSTITUTE(TEXT(EDATE(DATEVALUE(설정!$B$3&amp;"-01"),-11),"yyyy-mm"),"-","")),거래내역!$L$2:$L$5000,"&lt;="&amp;설정!$B$7),손익!N9)</f>
        <v>0</v>
      </c>
    </row>
    <row r="20" customFormat="false" ht="15" hidden="false" customHeight="false" outlineLevel="0" collapsed="false">
      <c r="A20" s="53" t="s">
        <v>146</v>
      </c>
      <c r="B20" s="54" t="n">
        <f aca="false">IF(B19=0,0,B18/B19)</f>
        <v>0</v>
      </c>
      <c r="C20" s="24" t="str">
        <f aca="false">IF(B20&gt;B21,"⚠ 상한 초과","✅ 양호")</f>
        <v>✅ 양호</v>
      </c>
    </row>
    <row r="21" customFormat="false" ht="15" hidden="false" customHeight="false" outlineLevel="0" collapsed="false">
      <c r="A21" s="46" t="s">
        <v>147</v>
      </c>
      <c r="B21" s="38" t="n">
        <f aca="false">설정!$B$15</f>
        <v>0.3</v>
      </c>
    </row>
    <row r="22" customFormat="false" ht="15" hidden="false" customHeight="false" outlineLevel="0" collapsed="false">
      <c r="A22" s="36" t="s">
        <v>148</v>
      </c>
      <c r="B22" s="20" t="n">
        <f aca="false">SUMIFS(K4:K13,C4:C13,설정!$B$5)</f>
        <v>0</v>
      </c>
    </row>
    <row r="23" customFormat="false" ht="15" hidden="false" customHeight="false" outlineLevel="0" collapsed="false">
      <c r="A23" s="36" t="s">
        <v>149</v>
      </c>
      <c r="B23" s="55" t="n">
        <f aca="false">IF(SUM(D4:D13)=0,0,SUMPRODUCT(D4:D13,E4:E13)/SUM(D4:D13))</f>
        <v>0</v>
      </c>
    </row>
  </sheetData>
  <conditionalFormatting sqref="C20">
    <cfRule type="expression" priority="2" aboveAverage="0" equalAverage="0" bottom="0" percent="0" rank="0" text="" dxfId="0">
      <formula>OR(ISNUMBER(SEARCH("초과",C20)),ISNUMBER(SEARCH("부족",C20)),ISNUMBER(SEARCH("공백",C20)))</formula>
    </cfRule>
    <cfRule type="expression" priority="3" aboveAverage="0" equalAverage="0" bottom="0" percent="0" rank="0" text="" dxfId="1">
      <formula>OR(ISNUMBER(SEARCH("주의",C20)),ISNUMBER(SEARCH("미달",C20)),ISNUMBER(SEARCH("지연",C20)),ISNUMBER(SEARCH("리밸런싱",C20)),ISNUMBER(SEARCH("감소",C20)))</formula>
    </cfRule>
    <cfRule type="expression" priority="4" aboveAverage="0" equalAverage="0" bottom="0" percent="0" rank="0" text="" dxfId="2">
      <formula>OR(ISNUMBER(SEARCH("양호",C20)),ISNUMBER(SEARCH("달성",C20)),ISNUMBER(SEARCH("순항",C20)),ISNUMBER(SEARCH("정상",C20)),ISNUMBER(SEARCH("증가",C20)),ISNUMBER(SEARCH("보장",C20)),ISNUMBER(SEARCH("적정",C20)))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B4:B13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11"/>
    <col collapsed="false" customWidth="true" hidden="false" outlineLevel="0" max="8" min="6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22"/>
  </cols>
  <sheetData>
    <row r="1" customFormat="false" ht="20.85" hidden="false" customHeight="false" outlineLevel="0" collapsed="false">
      <c r="A1" s="34" t="s">
        <v>150</v>
      </c>
    </row>
    <row r="2" customFormat="false" ht="15" hidden="false" customHeight="false" outlineLevel="0" collapsed="false">
      <c r="A2" s="33" t="s">
        <v>151</v>
      </c>
    </row>
    <row r="3" customFormat="false" ht="26.85" hidden="false" customHeight="false" outlineLevel="0" collapsed="false">
      <c r="A3" s="31" t="s">
        <v>152</v>
      </c>
      <c r="B3" s="31" t="s">
        <v>153</v>
      </c>
      <c r="C3" s="31" t="s">
        <v>154</v>
      </c>
      <c r="D3" s="31" t="s">
        <v>155</v>
      </c>
      <c r="E3" s="31" t="s">
        <v>156</v>
      </c>
      <c r="F3" s="31" t="s">
        <v>157</v>
      </c>
      <c r="G3" s="31" t="s">
        <v>158</v>
      </c>
      <c r="H3" s="31" t="s">
        <v>159</v>
      </c>
      <c r="I3" s="32" t="s">
        <v>160</v>
      </c>
      <c r="J3" s="32" t="s">
        <v>24</v>
      </c>
      <c r="K3" s="32" t="s">
        <v>161</v>
      </c>
      <c r="L3" s="32" t="s">
        <v>25</v>
      </c>
      <c r="M3" s="32" t="s">
        <v>140</v>
      </c>
      <c r="N3" s="32" t="s">
        <v>162</v>
      </c>
      <c r="O3" s="35" t="s">
        <v>163</v>
      </c>
      <c r="P3" s="35" t="s">
        <v>87</v>
      </c>
    </row>
    <row r="4" customFormat="false" ht="15" hidden="false" customHeight="false" outlineLevel="0" collapsed="false">
      <c r="A4" s="56" t="s">
        <v>12</v>
      </c>
      <c r="B4" s="57" t="s">
        <v>164</v>
      </c>
      <c r="C4" s="20" t="n">
        <f aca="false">ROUND(설정!$B$13*손익!P49,-4)</f>
        <v>0</v>
      </c>
      <c r="D4" s="50" t="n">
        <v>46306</v>
      </c>
      <c r="E4" s="50" t="n">
        <v>46671</v>
      </c>
      <c r="F4" s="58"/>
      <c r="G4" s="58"/>
      <c r="H4" s="58"/>
      <c r="I4" s="20" t="n">
        <f aca="false">IF(A4="","",IF(F4="",0,SUMIFS(스냅샷!$C$2:$C$3000,스냅샷!$A$2:$A$3000,설정!$B$3,스냅샷!$B$2:$B$3000,F4))+IF(G4="",0,SUMIFS(스냅샷!$C$2:$C$3000,스냅샷!$A$2:$A$3000,설정!$B$3,스냅샷!$B$2:$B$3000,G4))+IF(H4="",0,SUMIFS(스냅샷!$C$2:$C$3000,스냅샷!$A$2:$A$3000,설정!$B$3,스냅샷!$B$2:$B$3000,H4)))</f>
        <v>0</v>
      </c>
      <c r="J4" s="38" t="str">
        <f aca="false">IF(OR(A4="",N(C4)=0),"",MIN(1,I4/C4))</f>
        <v/>
      </c>
      <c r="K4" s="38" t="n">
        <f aca="false">IF(OR(A4="",D4="",E4=""),"",IF(E4&lt;=D4,1,MAX(0,MIN(1,(설정!$B$10-D4)/(E4-D4)))))</f>
        <v>0</v>
      </c>
      <c r="L4" s="24" t="str">
        <f aca="false">IF(OR(A4="",J4=""),"",IF(J4&gt;=1,"🎉 달성",IF(J4&gt;=K4-설정!$B$20,"✅ 순항","⚠ 지연")))</f>
        <v/>
      </c>
      <c r="M4" s="51" t="n">
        <f aca="false">IF(OR(A4="",E4=""),"",MAX(1,ROUND((E4-설정!$B$10)/30.4,0)))</f>
        <v>12</v>
      </c>
      <c r="N4" s="20" t="n">
        <f aca="false">IF(OR(A4="",M4=""),"",MAX(0,(C4-I4)/M4))</f>
        <v>0</v>
      </c>
      <c r="O4" s="20" t="n">
        <f aca="false">IF(A4="",0,MIN(N(I4),N(C4)))</f>
        <v>0</v>
      </c>
      <c r="P4" s="39" t="str">
        <f aca="false">IF(ISNUMBER(SEARCH("지연",L4)),A4&amp;" "&amp;TEXT(J4,"0%"),"")</f>
        <v/>
      </c>
    </row>
    <row r="5" customFormat="false" ht="15" hidden="false" customHeight="false" outlineLevel="0" collapsed="false">
      <c r="A5" s="45"/>
      <c r="B5" s="57"/>
      <c r="C5" s="48"/>
      <c r="D5" s="50"/>
      <c r="E5" s="50"/>
      <c r="F5" s="58"/>
      <c r="G5" s="58"/>
      <c r="H5" s="58"/>
      <c r="I5" s="20" t="str">
        <f aca="false">IF(A5="","",IF(F5="",0,SUMIFS(스냅샷!$C$2:$C$3000,스냅샷!$A$2:$A$3000,설정!$B$3,스냅샷!$B$2:$B$3000,F5))+IF(G5="",0,SUMIFS(스냅샷!$C$2:$C$3000,스냅샷!$A$2:$A$3000,설정!$B$3,스냅샷!$B$2:$B$3000,G5))+IF(H5="",0,SUMIFS(스냅샷!$C$2:$C$3000,스냅샷!$A$2:$A$3000,설정!$B$3,스냅샷!$B$2:$B$3000,H5)))</f>
        <v/>
      </c>
      <c r="J5" s="38" t="str">
        <f aca="false">IF(OR(A5="",N(C5)=0),"",MIN(1,I5/C5))</f>
        <v/>
      </c>
      <c r="K5" s="38" t="str">
        <f aca="false">IF(OR(A5="",D5="",E5=""),"",IF(E5&lt;=D5,1,MAX(0,MIN(1,(설정!$B$10-D5)/(E5-D5)))))</f>
        <v/>
      </c>
      <c r="L5" s="24" t="str">
        <f aca="false">IF(OR(A5="",J5=""),"",IF(J5&gt;=1,"🎉 달성",IF(J5&gt;=K5-설정!$B$20,"✅ 순항","⚠ 지연")))</f>
        <v/>
      </c>
      <c r="M5" s="51" t="str">
        <f aca="false">IF(OR(A5="",E5=""),"",MAX(1,ROUND((E5-설정!$B$10)/30.4,0)))</f>
        <v/>
      </c>
      <c r="N5" s="20" t="str">
        <f aca="false">IF(OR(A5="",M5=""),"",MAX(0,(C5-I5)/M5))</f>
        <v/>
      </c>
      <c r="O5" s="20" t="n">
        <f aca="false">IF(A5="",0,MIN(N(I5),N(C5)))</f>
        <v>0</v>
      </c>
      <c r="P5" s="39" t="str">
        <f aca="false">IF(ISNUMBER(SEARCH("지연",L5)),A5&amp;" "&amp;TEXT(J5,"0%"),"")</f>
        <v/>
      </c>
    </row>
    <row r="6" customFormat="false" ht="15" hidden="false" customHeight="false" outlineLevel="0" collapsed="false">
      <c r="A6" s="45"/>
      <c r="B6" s="57"/>
      <c r="C6" s="48"/>
      <c r="D6" s="50"/>
      <c r="E6" s="50"/>
      <c r="F6" s="58"/>
      <c r="G6" s="58"/>
      <c r="H6" s="58"/>
      <c r="I6" s="20" t="str">
        <f aca="false">IF(A6="","",IF(F6="",0,SUMIFS(스냅샷!$C$2:$C$3000,스냅샷!$A$2:$A$3000,설정!$B$3,스냅샷!$B$2:$B$3000,F6))+IF(G6="",0,SUMIFS(스냅샷!$C$2:$C$3000,스냅샷!$A$2:$A$3000,설정!$B$3,스냅샷!$B$2:$B$3000,G6))+IF(H6="",0,SUMIFS(스냅샷!$C$2:$C$3000,스냅샷!$A$2:$A$3000,설정!$B$3,스냅샷!$B$2:$B$3000,H6)))</f>
        <v/>
      </c>
      <c r="J6" s="38" t="str">
        <f aca="false">IF(OR(A6="",N(C6)=0),"",MIN(1,I6/C6))</f>
        <v/>
      </c>
      <c r="K6" s="38" t="str">
        <f aca="false">IF(OR(A6="",D6="",E6=""),"",IF(E6&lt;=D6,1,MAX(0,MIN(1,(설정!$B$10-D6)/(E6-D6)))))</f>
        <v/>
      </c>
      <c r="L6" s="24" t="str">
        <f aca="false">IF(OR(A6="",J6=""),"",IF(J6&gt;=1,"🎉 달성",IF(J6&gt;=K6-설정!$B$20,"✅ 순항","⚠ 지연")))</f>
        <v/>
      </c>
      <c r="M6" s="51" t="str">
        <f aca="false">IF(OR(A6="",E6=""),"",MAX(1,ROUND((E6-설정!$B$10)/30.4,0)))</f>
        <v/>
      </c>
      <c r="N6" s="20" t="str">
        <f aca="false">IF(OR(A6="",M6=""),"",MAX(0,(C6-I6)/M6))</f>
        <v/>
      </c>
      <c r="O6" s="20" t="n">
        <f aca="false">IF(A6="",0,MIN(N(I6),N(C6)))</f>
        <v>0</v>
      </c>
      <c r="P6" s="39" t="str">
        <f aca="false">IF(ISNUMBER(SEARCH("지연",L6)),A6&amp;" "&amp;TEXT(J6,"0%"),"")</f>
        <v/>
      </c>
    </row>
    <row r="7" customFormat="false" ht="15" hidden="false" customHeight="false" outlineLevel="0" collapsed="false">
      <c r="A7" s="45"/>
      <c r="B7" s="57"/>
      <c r="C7" s="48"/>
      <c r="D7" s="50"/>
      <c r="E7" s="50"/>
      <c r="F7" s="58"/>
      <c r="G7" s="58"/>
      <c r="H7" s="58"/>
      <c r="I7" s="20" t="str">
        <f aca="false">IF(A7="","",IF(F7="",0,SUMIFS(스냅샷!$C$2:$C$3000,스냅샷!$A$2:$A$3000,설정!$B$3,스냅샷!$B$2:$B$3000,F7))+IF(G7="",0,SUMIFS(스냅샷!$C$2:$C$3000,스냅샷!$A$2:$A$3000,설정!$B$3,스냅샷!$B$2:$B$3000,G7))+IF(H7="",0,SUMIFS(스냅샷!$C$2:$C$3000,스냅샷!$A$2:$A$3000,설정!$B$3,스냅샷!$B$2:$B$3000,H7)))</f>
        <v/>
      </c>
      <c r="J7" s="38" t="str">
        <f aca="false">IF(OR(A7="",N(C7)=0),"",MIN(1,I7/C7))</f>
        <v/>
      </c>
      <c r="K7" s="38" t="str">
        <f aca="false">IF(OR(A7="",D7="",E7=""),"",IF(E7&lt;=D7,1,MAX(0,MIN(1,(설정!$B$10-D7)/(E7-D7)))))</f>
        <v/>
      </c>
      <c r="L7" s="24" t="str">
        <f aca="false">IF(OR(A7="",J7=""),"",IF(J7&gt;=1,"🎉 달성",IF(J7&gt;=K7-설정!$B$20,"✅ 순항","⚠ 지연")))</f>
        <v/>
      </c>
      <c r="M7" s="51" t="str">
        <f aca="false">IF(OR(A7="",E7=""),"",MAX(1,ROUND((E7-설정!$B$10)/30.4,0)))</f>
        <v/>
      </c>
      <c r="N7" s="20" t="str">
        <f aca="false">IF(OR(A7="",M7=""),"",MAX(0,(C7-I7)/M7))</f>
        <v/>
      </c>
      <c r="O7" s="20" t="n">
        <f aca="false">IF(A7="",0,MIN(N(I7),N(C7)))</f>
        <v>0</v>
      </c>
      <c r="P7" s="39" t="str">
        <f aca="false">IF(ISNUMBER(SEARCH("지연",L7)),A7&amp;" "&amp;TEXT(J7,"0%"),"")</f>
        <v/>
      </c>
    </row>
    <row r="8" customFormat="false" ht="15" hidden="false" customHeight="false" outlineLevel="0" collapsed="false">
      <c r="A8" s="45"/>
      <c r="B8" s="57"/>
      <c r="C8" s="48"/>
      <c r="D8" s="50"/>
      <c r="E8" s="50"/>
      <c r="F8" s="58"/>
      <c r="G8" s="58"/>
      <c r="H8" s="58"/>
      <c r="I8" s="20" t="str">
        <f aca="false">IF(A8="","",IF(F8="",0,SUMIFS(스냅샷!$C$2:$C$3000,스냅샷!$A$2:$A$3000,설정!$B$3,스냅샷!$B$2:$B$3000,F8))+IF(G8="",0,SUMIFS(스냅샷!$C$2:$C$3000,스냅샷!$A$2:$A$3000,설정!$B$3,스냅샷!$B$2:$B$3000,G8))+IF(H8="",0,SUMIFS(스냅샷!$C$2:$C$3000,스냅샷!$A$2:$A$3000,설정!$B$3,스냅샷!$B$2:$B$3000,H8)))</f>
        <v/>
      </c>
      <c r="J8" s="38" t="str">
        <f aca="false">IF(OR(A8="",N(C8)=0),"",MIN(1,I8/C8))</f>
        <v/>
      </c>
      <c r="K8" s="38" t="str">
        <f aca="false">IF(OR(A8="",D8="",E8=""),"",IF(E8&lt;=D8,1,MAX(0,MIN(1,(설정!$B$10-D8)/(E8-D8)))))</f>
        <v/>
      </c>
      <c r="L8" s="24" t="str">
        <f aca="false">IF(OR(A8="",J8=""),"",IF(J8&gt;=1,"🎉 달성",IF(J8&gt;=K8-설정!$B$20,"✅ 순항","⚠ 지연")))</f>
        <v/>
      </c>
      <c r="M8" s="51" t="str">
        <f aca="false">IF(OR(A8="",E8=""),"",MAX(1,ROUND((E8-설정!$B$10)/30.4,0)))</f>
        <v/>
      </c>
      <c r="N8" s="20" t="str">
        <f aca="false">IF(OR(A8="",M8=""),"",MAX(0,(C8-I8)/M8))</f>
        <v/>
      </c>
      <c r="O8" s="20" t="n">
        <f aca="false">IF(A8="",0,MIN(N(I8),N(C8)))</f>
        <v>0</v>
      </c>
      <c r="P8" s="39" t="str">
        <f aca="false">IF(ISNUMBER(SEARCH("지연",L8)),A8&amp;" "&amp;TEXT(J8,"0%"),"")</f>
        <v/>
      </c>
    </row>
    <row r="9" customFormat="false" ht="15" hidden="false" customHeight="false" outlineLevel="0" collapsed="false">
      <c r="A9" s="45"/>
      <c r="B9" s="57"/>
      <c r="C9" s="48"/>
      <c r="D9" s="50"/>
      <c r="E9" s="50"/>
      <c r="F9" s="58"/>
      <c r="G9" s="58"/>
      <c r="H9" s="58"/>
      <c r="I9" s="20" t="str">
        <f aca="false">IF(A9="","",IF(F9="",0,SUMIFS(스냅샷!$C$2:$C$3000,스냅샷!$A$2:$A$3000,설정!$B$3,스냅샷!$B$2:$B$3000,F9))+IF(G9="",0,SUMIFS(스냅샷!$C$2:$C$3000,스냅샷!$A$2:$A$3000,설정!$B$3,스냅샷!$B$2:$B$3000,G9))+IF(H9="",0,SUMIFS(스냅샷!$C$2:$C$3000,스냅샷!$A$2:$A$3000,설정!$B$3,스냅샷!$B$2:$B$3000,H9)))</f>
        <v/>
      </c>
      <c r="J9" s="38" t="str">
        <f aca="false">IF(OR(A9="",N(C9)=0),"",MIN(1,I9/C9))</f>
        <v/>
      </c>
      <c r="K9" s="38" t="str">
        <f aca="false">IF(OR(A9="",D9="",E9=""),"",IF(E9&lt;=D9,1,MAX(0,MIN(1,(설정!$B$10-D9)/(E9-D9)))))</f>
        <v/>
      </c>
      <c r="L9" s="24" t="str">
        <f aca="false">IF(OR(A9="",J9=""),"",IF(J9&gt;=1,"🎉 달성",IF(J9&gt;=K9-설정!$B$20,"✅ 순항","⚠ 지연")))</f>
        <v/>
      </c>
      <c r="M9" s="51" t="str">
        <f aca="false">IF(OR(A9="",E9=""),"",MAX(1,ROUND((E9-설정!$B$10)/30.4,0)))</f>
        <v/>
      </c>
      <c r="N9" s="20" t="str">
        <f aca="false">IF(OR(A9="",M9=""),"",MAX(0,(C9-I9)/M9))</f>
        <v/>
      </c>
      <c r="O9" s="20" t="n">
        <f aca="false">IF(A9="",0,MIN(N(I9),N(C9)))</f>
        <v>0</v>
      </c>
      <c r="P9" s="39" t="str">
        <f aca="false">IF(ISNUMBER(SEARCH("지연",L9)),A9&amp;" "&amp;TEXT(J9,"0%"),"")</f>
        <v/>
      </c>
    </row>
    <row r="10" customFormat="false" ht="15" hidden="false" customHeight="false" outlineLevel="0" collapsed="false">
      <c r="A10" s="45"/>
      <c r="B10" s="57"/>
      <c r="C10" s="48"/>
      <c r="D10" s="50"/>
      <c r="E10" s="50"/>
      <c r="F10" s="58"/>
      <c r="G10" s="58"/>
      <c r="H10" s="58"/>
      <c r="I10" s="20" t="str">
        <f aca="false">IF(A10="","",IF(F10="",0,SUMIFS(스냅샷!$C$2:$C$3000,스냅샷!$A$2:$A$3000,설정!$B$3,스냅샷!$B$2:$B$3000,F10))+IF(G10="",0,SUMIFS(스냅샷!$C$2:$C$3000,스냅샷!$A$2:$A$3000,설정!$B$3,스냅샷!$B$2:$B$3000,G10))+IF(H10="",0,SUMIFS(스냅샷!$C$2:$C$3000,스냅샷!$A$2:$A$3000,설정!$B$3,스냅샷!$B$2:$B$3000,H10)))</f>
        <v/>
      </c>
      <c r="J10" s="38" t="str">
        <f aca="false">IF(OR(A10="",N(C10)=0),"",MIN(1,I10/C10))</f>
        <v/>
      </c>
      <c r="K10" s="38" t="str">
        <f aca="false">IF(OR(A10="",D10="",E10=""),"",IF(E10&lt;=D10,1,MAX(0,MIN(1,(설정!$B$10-D10)/(E10-D10)))))</f>
        <v/>
      </c>
      <c r="L10" s="24" t="str">
        <f aca="false">IF(OR(A10="",J10=""),"",IF(J10&gt;=1,"🎉 달성",IF(J10&gt;=K10-설정!$B$20,"✅ 순항","⚠ 지연")))</f>
        <v/>
      </c>
      <c r="M10" s="51" t="str">
        <f aca="false">IF(OR(A10="",E10=""),"",MAX(1,ROUND((E10-설정!$B$10)/30.4,0)))</f>
        <v/>
      </c>
      <c r="N10" s="20" t="str">
        <f aca="false">IF(OR(A10="",M10=""),"",MAX(0,(C10-I10)/M10))</f>
        <v/>
      </c>
      <c r="O10" s="20" t="n">
        <f aca="false">IF(A10="",0,MIN(N(I10),N(C10)))</f>
        <v>0</v>
      </c>
      <c r="P10" s="39" t="str">
        <f aca="false">IF(ISNUMBER(SEARCH("지연",L10)),A10&amp;" "&amp;TEXT(J10,"0%"),"")</f>
        <v/>
      </c>
    </row>
    <row r="11" customFormat="false" ht="15" hidden="false" customHeight="false" outlineLevel="0" collapsed="false">
      <c r="A11" s="45"/>
      <c r="B11" s="57"/>
      <c r="C11" s="48"/>
      <c r="D11" s="50"/>
      <c r="E11" s="50"/>
      <c r="F11" s="58"/>
      <c r="G11" s="58"/>
      <c r="H11" s="58"/>
      <c r="I11" s="20" t="str">
        <f aca="false">IF(A11="","",IF(F11="",0,SUMIFS(스냅샷!$C$2:$C$3000,스냅샷!$A$2:$A$3000,설정!$B$3,스냅샷!$B$2:$B$3000,F11))+IF(G11="",0,SUMIFS(스냅샷!$C$2:$C$3000,스냅샷!$A$2:$A$3000,설정!$B$3,스냅샷!$B$2:$B$3000,G11))+IF(H11="",0,SUMIFS(스냅샷!$C$2:$C$3000,스냅샷!$A$2:$A$3000,설정!$B$3,스냅샷!$B$2:$B$3000,H11)))</f>
        <v/>
      </c>
      <c r="J11" s="38" t="str">
        <f aca="false">IF(OR(A11="",N(C11)=0),"",MIN(1,I11/C11))</f>
        <v/>
      </c>
      <c r="K11" s="38" t="str">
        <f aca="false">IF(OR(A11="",D11="",E11=""),"",IF(E11&lt;=D11,1,MAX(0,MIN(1,(설정!$B$10-D11)/(E11-D11)))))</f>
        <v/>
      </c>
      <c r="L11" s="24" t="str">
        <f aca="false">IF(OR(A11="",J11=""),"",IF(J11&gt;=1,"🎉 달성",IF(J11&gt;=K11-설정!$B$20,"✅ 순항","⚠ 지연")))</f>
        <v/>
      </c>
      <c r="M11" s="51" t="str">
        <f aca="false">IF(OR(A11="",E11=""),"",MAX(1,ROUND((E11-설정!$B$10)/30.4,0)))</f>
        <v/>
      </c>
      <c r="N11" s="20" t="str">
        <f aca="false">IF(OR(A11="",M11=""),"",MAX(0,(C11-I11)/M11))</f>
        <v/>
      </c>
      <c r="O11" s="20" t="n">
        <f aca="false">IF(A11="",0,MIN(N(I11),N(C11)))</f>
        <v>0</v>
      </c>
      <c r="P11" s="39" t="str">
        <f aca="false">IF(ISNUMBER(SEARCH("지연",L11)),A11&amp;" "&amp;TEXT(J11,"0%"),"")</f>
        <v/>
      </c>
    </row>
    <row r="12" customFormat="false" ht="15" hidden="false" customHeight="false" outlineLevel="0" collapsed="false">
      <c r="A12" s="45"/>
      <c r="B12" s="57"/>
      <c r="C12" s="48"/>
      <c r="D12" s="50"/>
      <c r="E12" s="50"/>
      <c r="F12" s="58"/>
      <c r="G12" s="58"/>
      <c r="H12" s="58"/>
      <c r="I12" s="20" t="str">
        <f aca="false">IF(A12="","",IF(F12="",0,SUMIFS(스냅샷!$C$2:$C$3000,스냅샷!$A$2:$A$3000,설정!$B$3,스냅샷!$B$2:$B$3000,F12))+IF(G12="",0,SUMIFS(스냅샷!$C$2:$C$3000,스냅샷!$A$2:$A$3000,설정!$B$3,스냅샷!$B$2:$B$3000,G12))+IF(H12="",0,SUMIFS(스냅샷!$C$2:$C$3000,스냅샷!$A$2:$A$3000,설정!$B$3,스냅샷!$B$2:$B$3000,H12)))</f>
        <v/>
      </c>
      <c r="J12" s="38" t="str">
        <f aca="false">IF(OR(A12="",N(C12)=0),"",MIN(1,I12/C12))</f>
        <v/>
      </c>
      <c r="K12" s="38" t="str">
        <f aca="false">IF(OR(A12="",D12="",E12=""),"",IF(E12&lt;=D12,1,MAX(0,MIN(1,(설정!$B$10-D12)/(E12-D12)))))</f>
        <v/>
      </c>
      <c r="L12" s="24" t="str">
        <f aca="false">IF(OR(A12="",J12=""),"",IF(J12&gt;=1,"🎉 달성",IF(J12&gt;=K12-설정!$B$20,"✅ 순항","⚠ 지연")))</f>
        <v/>
      </c>
      <c r="M12" s="51" t="str">
        <f aca="false">IF(OR(A12="",E12=""),"",MAX(1,ROUND((E12-설정!$B$10)/30.4,0)))</f>
        <v/>
      </c>
      <c r="N12" s="20" t="str">
        <f aca="false">IF(OR(A12="",M12=""),"",MAX(0,(C12-I12)/M12))</f>
        <v/>
      </c>
      <c r="O12" s="20" t="n">
        <f aca="false">IF(A12="",0,MIN(N(I12),N(C12)))</f>
        <v>0</v>
      </c>
      <c r="P12" s="39" t="str">
        <f aca="false">IF(ISNUMBER(SEARCH("지연",L12)),A12&amp;" "&amp;TEXT(J12,"0%"),"")</f>
        <v/>
      </c>
    </row>
    <row r="13" customFormat="false" ht="15" hidden="false" customHeight="false" outlineLevel="0" collapsed="false">
      <c r="A13" s="45"/>
      <c r="B13" s="57"/>
      <c r="C13" s="48"/>
      <c r="D13" s="50"/>
      <c r="E13" s="50"/>
      <c r="F13" s="58"/>
      <c r="G13" s="58"/>
      <c r="H13" s="58"/>
      <c r="I13" s="20" t="str">
        <f aca="false">IF(A13="","",IF(F13="",0,SUMIFS(스냅샷!$C$2:$C$3000,스냅샷!$A$2:$A$3000,설정!$B$3,스냅샷!$B$2:$B$3000,F13))+IF(G13="",0,SUMIFS(스냅샷!$C$2:$C$3000,스냅샷!$A$2:$A$3000,설정!$B$3,스냅샷!$B$2:$B$3000,G13))+IF(H13="",0,SUMIFS(스냅샷!$C$2:$C$3000,스냅샷!$A$2:$A$3000,설정!$B$3,스냅샷!$B$2:$B$3000,H13)))</f>
        <v/>
      </c>
      <c r="J13" s="38" t="str">
        <f aca="false">IF(OR(A13="",N(C13)=0),"",MIN(1,I13/C13))</f>
        <v/>
      </c>
      <c r="K13" s="38" t="str">
        <f aca="false">IF(OR(A13="",D13="",E13=""),"",IF(E13&lt;=D13,1,MAX(0,MIN(1,(설정!$B$10-D13)/(E13-D13)))))</f>
        <v/>
      </c>
      <c r="L13" s="24" t="str">
        <f aca="false">IF(OR(A13="",J13=""),"",IF(J13&gt;=1,"🎉 달성",IF(J13&gt;=K13-설정!$B$20,"✅ 순항","⚠ 지연")))</f>
        <v/>
      </c>
      <c r="M13" s="51" t="str">
        <f aca="false">IF(OR(A13="",E13=""),"",MAX(1,ROUND((E13-설정!$B$10)/30.4,0)))</f>
        <v/>
      </c>
      <c r="N13" s="20" t="str">
        <f aca="false">IF(OR(A13="",M13=""),"",MAX(0,(C13-I13)/M13))</f>
        <v/>
      </c>
      <c r="O13" s="20" t="n">
        <f aca="false">IF(A13="",0,MIN(N(I13),N(C13)))</f>
        <v>0</v>
      </c>
      <c r="P13" s="39" t="str">
        <f aca="false">IF(ISNUMBER(SEARCH("지연",L13)),A13&amp;" "&amp;TEXT(J13,"0%"),"")</f>
        <v/>
      </c>
    </row>
    <row r="16" customFormat="false" ht="15" hidden="false" customHeight="false" outlineLevel="0" collapsed="false">
      <c r="A16" s="59" t="s">
        <v>165</v>
      </c>
      <c r="B16" s="54" t="n">
        <f aca="false">IF(SUM(C4:C13)=0,0,SUM(O4:O13)/SUM(C4:C13))</f>
        <v>0</v>
      </c>
    </row>
    <row r="17" customFormat="false" ht="15" hidden="false" customHeight="false" outlineLevel="0" collapsed="false">
      <c r="A17" s="36" t="s">
        <v>166</v>
      </c>
      <c r="B17" s="38" t="n">
        <f aca="false">IFERROR(INDEX(J4:J13,MATCH("노후*",A4:A13,0)),0)</f>
        <v>0</v>
      </c>
      <c r="C17" s="33" t="s">
        <v>167</v>
      </c>
    </row>
    <row r="18" customFormat="false" ht="15" hidden="false" customHeight="false" outlineLevel="0" collapsed="false">
      <c r="A18" s="36" t="s">
        <v>168</v>
      </c>
      <c r="B18" s="60" t="n">
        <f aca="false">COUNTIF(L4:L13,"*지연*")</f>
        <v>0</v>
      </c>
    </row>
    <row r="19" customFormat="false" ht="15" hidden="false" customHeight="false" outlineLevel="0" collapsed="false">
      <c r="A19" s="36" t="s">
        <v>169</v>
      </c>
      <c r="B19" s="20" t="n">
        <f aca="false">SUM(N4:N13)</f>
        <v>0</v>
      </c>
    </row>
  </sheetData>
  <conditionalFormatting sqref="L4:L13">
    <cfRule type="expression" priority="2" aboveAverage="0" equalAverage="0" bottom="0" percent="0" rank="0" text="" dxfId="0">
      <formula>OR(ISNUMBER(SEARCH("초과",L4)),ISNUMBER(SEARCH("부족",L4)),ISNUMBER(SEARCH("공백",L4)))</formula>
    </cfRule>
    <cfRule type="expression" priority="3" aboveAverage="0" equalAverage="0" bottom="0" percent="0" rank="0" text="" dxfId="1">
      <formula>OR(ISNUMBER(SEARCH("주의",L4)),ISNUMBER(SEARCH("미달",L4)),ISNUMBER(SEARCH("지연",L4)),ISNUMBER(SEARCH("리밸런싱",L4)),ISNUMBER(SEARCH("감소",L4)))</formula>
    </cfRule>
    <cfRule type="expression" priority="4" aboveAverage="0" equalAverage="0" bottom="0" percent="0" rank="0" text="" dxfId="2">
      <formula>OR(ISNUMBER(SEARCH("양호",L4)),ISNUMBER(SEARCH("달성",L4)),ISNUMBER(SEARCH("순항",L4)),ISNUMBER(SEARCH("정상",L4)),ISNUMBER(SEARCH("증가",L4)),ISNUMBER(SEARCH("보장",L4)),ISNUMBER(SEARCH("적정",L4)))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B4:B13" type="list">
      <formula1>설정!$E$3:$E$6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4:H13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3"/>
    <col collapsed="false" customWidth="true" hidden="false" outlineLevel="0" max="9" min="9" style="0" width="12"/>
    <col collapsed="false" customWidth="true" hidden="false" outlineLevel="0" max="11" min="10" style="0" width="11"/>
  </cols>
  <sheetData>
    <row r="1" customFormat="false" ht="20.85" hidden="false" customHeight="false" outlineLevel="0" collapsed="false">
      <c r="A1" s="34" t="s">
        <v>170</v>
      </c>
    </row>
    <row r="2" customFormat="false" ht="15" hidden="false" customHeight="false" outlineLevel="0" collapsed="false">
      <c r="A2" s="33" t="s">
        <v>171</v>
      </c>
    </row>
    <row r="3" customFormat="false" ht="15" hidden="false" customHeight="false" outlineLevel="0" collapsed="false">
      <c r="A3" s="31" t="s">
        <v>172</v>
      </c>
      <c r="B3" s="31" t="s">
        <v>173</v>
      </c>
      <c r="C3" s="31" t="s">
        <v>174</v>
      </c>
      <c r="D3" s="31" t="s">
        <v>175</v>
      </c>
      <c r="E3" s="31" t="s">
        <v>176</v>
      </c>
      <c r="F3" s="31" t="s">
        <v>177</v>
      </c>
      <c r="G3" s="31" t="s">
        <v>178</v>
      </c>
      <c r="H3" s="31" t="s">
        <v>179</v>
      </c>
      <c r="I3" s="31" t="s">
        <v>180</v>
      </c>
      <c r="J3" s="31" t="s">
        <v>134</v>
      </c>
      <c r="K3" s="31" t="s">
        <v>181</v>
      </c>
    </row>
    <row r="4" customFormat="false" ht="15" hidden="false" customHeight="false" outlineLevel="0" collapsed="false">
      <c r="A4" s="45"/>
      <c r="B4" s="45"/>
      <c r="C4" s="45"/>
      <c r="D4" s="48"/>
      <c r="E4" s="48"/>
      <c r="F4" s="48"/>
      <c r="G4" s="48"/>
      <c r="H4" s="48"/>
      <c r="I4" s="48"/>
      <c r="J4" s="50"/>
      <c r="K4" s="45"/>
    </row>
    <row r="5" customFormat="false" ht="15" hidden="false" customHeight="false" outlineLevel="0" collapsed="false">
      <c r="A5" s="45"/>
      <c r="B5" s="45"/>
      <c r="C5" s="45"/>
      <c r="D5" s="48"/>
      <c r="E5" s="48"/>
      <c r="F5" s="48"/>
      <c r="G5" s="48"/>
      <c r="H5" s="48"/>
      <c r="I5" s="48"/>
      <c r="J5" s="50"/>
      <c r="K5" s="45"/>
    </row>
    <row r="6" customFormat="false" ht="15" hidden="false" customHeight="false" outlineLevel="0" collapsed="false">
      <c r="A6" s="45"/>
      <c r="B6" s="45"/>
      <c r="C6" s="45"/>
      <c r="D6" s="48"/>
      <c r="E6" s="48"/>
      <c r="F6" s="48"/>
      <c r="G6" s="48"/>
      <c r="H6" s="48"/>
      <c r="I6" s="48"/>
      <c r="J6" s="50"/>
      <c r="K6" s="45"/>
    </row>
    <row r="7" customFormat="false" ht="15" hidden="false" customHeight="false" outlineLevel="0" collapsed="false">
      <c r="A7" s="45"/>
      <c r="B7" s="45"/>
      <c r="C7" s="45"/>
      <c r="D7" s="48"/>
      <c r="E7" s="48"/>
      <c r="F7" s="48"/>
      <c r="G7" s="48"/>
      <c r="H7" s="48"/>
      <c r="I7" s="48"/>
      <c r="J7" s="50"/>
      <c r="K7" s="45"/>
    </row>
    <row r="8" customFormat="false" ht="15" hidden="false" customHeight="false" outlineLevel="0" collapsed="false">
      <c r="A8" s="45"/>
      <c r="B8" s="45"/>
      <c r="C8" s="45"/>
      <c r="D8" s="48"/>
      <c r="E8" s="48"/>
      <c r="F8" s="48"/>
      <c r="G8" s="48"/>
      <c r="H8" s="48"/>
      <c r="I8" s="48"/>
      <c r="J8" s="50"/>
      <c r="K8" s="45"/>
    </row>
    <row r="9" customFormat="false" ht="15" hidden="false" customHeight="false" outlineLevel="0" collapsed="false">
      <c r="A9" s="45"/>
      <c r="B9" s="45"/>
      <c r="C9" s="45"/>
      <c r="D9" s="48"/>
      <c r="E9" s="48"/>
      <c r="F9" s="48"/>
      <c r="G9" s="48"/>
      <c r="H9" s="48"/>
      <c r="I9" s="48"/>
      <c r="J9" s="50"/>
      <c r="K9" s="45"/>
    </row>
    <row r="10" customFormat="false" ht="15" hidden="false" customHeight="false" outlineLevel="0" collapsed="false">
      <c r="A10" s="45"/>
      <c r="B10" s="45"/>
      <c r="C10" s="45"/>
      <c r="D10" s="48"/>
      <c r="E10" s="48"/>
      <c r="F10" s="48"/>
      <c r="G10" s="48"/>
      <c r="H10" s="48"/>
      <c r="I10" s="48"/>
      <c r="J10" s="50"/>
      <c r="K10" s="45"/>
    </row>
    <row r="11" customFormat="false" ht="15" hidden="false" customHeight="false" outlineLevel="0" collapsed="false">
      <c r="A11" s="45"/>
      <c r="B11" s="45"/>
      <c r="C11" s="45"/>
      <c r="D11" s="48"/>
      <c r="E11" s="48"/>
      <c r="F11" s="48"/>
      <c r="G11" s="48"/>
      <c r="H11" s="48"/>
      <c r="I11" s="48"/>
      <c r="J11" s="50"/>
      <c r="K11" s="45"/>
    </row>
    <row r="12" customFormat="false" ht="15" hidden="false" customHeight="false" outlineLevel="0" collapsed="false">
      <c r="A12" s="45"/>
      <c r="B12" s="45"/>
      <c r="C12" s="45"/>
      <c r="D12" s="48"/>
      <c r="E12" s="48"/>
      <c r="F12" s="48"/>
      <c r="G12" s="48"/>
      <c r="H12" s="48"/>
      <c r="I12" s="48"/>
      <c r="J12" s="50"/>
      <c r="K12" s="45"/>
    </row>
    <row r="13" customFormat="false" ht="15" hidden="false" customHeight="false" outlineLevel="0" collapsed="false">
      <c r="A13" s="45"/>
      <c r="B13" s="45"/>
      <c r="C13" s="45"/>
      <c r="D13" s="48"/>
      <c r="E13" s="48"/>
      <c r="F13" s="48"/>
      <c r="G13" s="48"/>
      <c r="H13" s="48"/>
      <c r="I13" s="48"/>
      <c r="J13" s="50"/>
      <c r="K13" s="45"/>
    </row>
    <row r="15" customFormat="false" ht="15" hidden="false" customHeight="false" outlineLevel="0" collapsed="false">
      <c r="A15" s="43" t="s">
        <v>182</v>
      </c>
      <c r="B15" s="44"/>
      <c r="C15" s="44"/>
      <c r="D15" s="44"/>
      <c r="E15" s="44"/>
      <c r="F15" s="44"/>
      <c r="G15" s="44"/>
    </row>
    <row r="16" customFormat="false" ht="15" hidden="false" customHeight="false" outlineLevel="0" collapsed="false">
      <c r="A16" s="32" t="s">
        <v>19</v>
      </c>
      <c r="B16" s="32" t="s">
        <v>175</v>
      </c>
      <c r="C16" s="32" t="s">
        <v>176</v>
      </c>
      <c r="D16" s="32" t="s">
        <v>177</v>
      </c>
      <c r="E16" s="32" t="s">
        <v>178</v>
      </c>
      <c r="F16" s="32" t="s">
        <v>179</v>
      </c>
      <c r="G16" s="32" t="s">
        <v>180</v>
      </c>
    </row>
    <row r="17" customFormat="false" ht="15" hidden="false" customHeight="false" outlineLevel="0" collapsed="false">
      <c r="A17" s="59" t="s">
        <v>183</v>
      </c>
      <c r="B17" s="24" t="str">
        <f aca="false">IF(SUMIFS($D$4:$D$13,$A$4:$A$13,$A17)&gt;0,"✅ "&amp;TEXT(SUMIFS($D$4:$D$13,$A$4:$A$13,$A17)/10000,"#,##0")&amp;"만","❌ 공백")</f>
        <v>❌ 공백</v>
      </c>
      <c r="C17" s="24" t="str">
        <f aca="false">IF(SUMIFS($E$4:$E$13,$A$4:$A$13,$A17)&gt;0,"✅ "&amp;TEXT(SUMIFS($E$4:$E$13,$A$4:$A$13,$A17)/10000,"#,##0")&amp;"만","❌ 공백")</f>
        <v>❌ 공백</v>
      </c>
      <c r="D17" s="24" t="str">
        <f aca="false">IF(SUMIFS($F$4:$F$13,$A$4:$A$13,$A17)&gt;0,"✅ "&amp;TEXT(SUMIFS($F$4:$F$13,$A$4:$A$13,$A17)/10000,"#,##0")&amp;"만","❌ 공백")</f>
        <v>❌ 공백</v>
      </c>
      <c r="E17" s="24" t="str">
        <f aca="false">IF(SUMIFS($G$4:$G$13,$A$4:$A$13,$A17)&gt;0,"✅ "&amp;TEXT(SUMIFS($G$4:$G$13,$A$4:$A$13,$A17)/10000,"#,##0")&amp;"만","❌ 공백")</f>
        <v>❌ 공백</v>
      </c>
      <c r="F17" s="24" t="str">
        <f aca="false">IF(SUMIFS($H$4:$H$13,$A$4:$A$13,$A17)&gt;0,"✅ "&amp;TEXT(SUMIFS($H$4:$H$13,$A$4:$A$13,$A17)/10000,"#,##0")&amp;"만","❌ 공백")</f>
        <v>❌ 공백</v>
      </c>
      <c r="G17" s="20" t="n">
        <f aca="false">SUMIFS($I$4:$I$13,$A$4:$A$13,$A17)</f>
        <v>0</v>
      </c>
    </row>
    <row r="18" customFormat="false" ht="15" hidden="false" customHeight="false" outlineLevel="0" collapsed="false">
      <c r="A18" s="59" t="s">
        <v>184</v>
      </c>
      <c r="B18" s="24" t="str">
        <f aca="false">IF(SUMIFS($D$4:$D$13,$A$4:$A$13,$A18)&gt;0,"✅ "&amp;TEXT(SUMIFS($D$4:$D$13,$A$4:$A$13,$A18)/10000,"#,##0")&amp;"만","❌ 공백")</f>
        <v>❌ 공백</v>
      </c>
      <c r="C18" s="24" t="str">
        <f aca="false">IF(SUMIFS($E$4:$E$13,$A$4:$A$13,$A18)&gt;0,"✅ "&amp;TEXT(SUMIFS($E$4:$E$13,$A$4:$A$13,$A18)/10000,"#,##0")&amp;"만","❌ 공백")</f>
        <v>❌ 공백</v>
      </c>
      <c r="D18" s="24" t="str">
        <f aca="false">IF(SUMIFS($F$4:$F$13,$A$4:$A$13,$A18)&gt;0,"✅ "&amp;TEXT(SUMIFS($F$4:$F$13,$A$4:$A$13,$A18)/10000,"#,##0")&amp;"만","❌ 공백")</f>
        <v>❌ 공백</v>
      </c>
      <c r="E18" s="24" t="str">
        <f aca="false">IF(SUMIFS($G$4:$G$13,$A$4:$A$13,$A18)&gt;0,"✅ "&amp;TEXT(SUMIFS($G$4:$G$13,$A$4:$A$13,$A18)/10000,"#,##0")&amp;"만","❌ 공백")</f>
        <v>❌ 공백</v>
      </c>
      <c r="F18" s="24" t="str">
        <f aca="false">IF(SUMIFS($H$4:$H$13,$A$4:$A$13,$A18)&gt;0,"✅ "&amp;TEXT(SUMIFS($H$4:$H$13,$A$4:$A$13,$A18)/10000,"#,##0")&amp;"만","❌ 공백")</f>
        <v>❌ 공백</v>
      </c>
      <c r="G18" s="20" t="n">
        <f aca="false">SUMIFS($I$4:$I$13,$A$4:$A$13,$A18)</f>
        <v>0</v>
      </c>
    </row>
    <row r="19" customFormat="false" ht="15" hidden="false" customHeight="false" outlineLevel="0" collapsed="false">
      <c r="A19" s="59" t="s">
        <v>185</v>
      </c>
      <c r="B19" s="24" t="s">
        <v>186</v>
      </c>
      <c r="C19" s="24" t="str">
        <f aca="false">IF(SUMIFS($E$4:$E$13,$A$4:$A$13,$A19)&gt;0,"✅ "&amp;TEXT(SUMIFS($E$4:$E$13,$A$4:$A$13,$A19)/10000,"#,##0")&amp;"만","❌ 공백")</f>
        <v>❌ 공백</v>
      </c>
      <c r="D19" s="24" t="str">
        <f aca="false">IF(SUMIFS($F$4:$F$13,$A$4:$A$13,$A19)&gt;0,"✅ "&amp;TEXT(SUMIFS($F$4:$F$13,$A$4:$A$13,$A19)/10000,"#,##0")&amp;"만","❌ 공백")</f>
        <v>❌ 공백</v>
      </c>
      <c r="E19" s="24" t="str">
        <f aca="false">IF(SUMIFS($G$4:$G$13,$A$4:$A$13,$A19)&gt;0,"✅ "&amp;TEXT(SUMIFS($G$4:$G$13,$A$4:$A$13,$A19)/10000,"#,##0")&amp;"만","❌ 공백")</f>
        <v>❌ 공백</v>
      </c>
      <c r="F19" s="24" t="str">
        <f aca="false">IF(SUMIFS($H$4:$H$13,$A$4:$A$13,$A19)&gt;0,"✅ "&amp;TEXT(SUMIFS($H$4:$H$13,$A$4:$A$13,$A19)/10000,"#,##0")&amp;"만","❌ 공백")</f>
        <v>❌ 공백</v>
      </c>
      <c r="G19" s="20" t="n">
        <f aca="false">SUMIFS($I$4:$I$13,$A$4:$A$13,$A19)</f>
        <v>0</v>
      </c>
    </row>
    <row r="21" customFormat="false" ht="15" hidden="false" customHeight="false" outlineLevel="0" collapsed="false">
      <c r="A21" s="36" t="s">
        <v>187</v>
      </c>
      <c r="B21" s="20" t="n">
        <f aca="false">SUM(I4:I13)</f>
        <v>0</v>
      </c>
    </row>
    <row r="22" customFormat="false" ht="15" hidden="false" customHeight="false" outlineLevel="0" collapsed="false">
      <c r="A22" s="36" t="s">
        <v>188</v>
      </c>
      <c r="B22" s="20" t="n">
        <f aca="false">손익!O9</f>
        <v>0</v>
      </c>
    </row>
    <row r="23" customFormat="false" ht="15" hidden="false" customHeight="false" outlineLevel="0" collapsed="false">
      <c r="A23" s="36" t="s">
        <v>189</v>
      </c>
      <c r="B23" s="38" t="n">
        <f aca="false">IF(B22=0,0,B21/B22)</f>
        <v>0</v>
      </c>
    </row>
    <row r="24" customFormat="false" ht="15" hidden="false" customHeight="false" outlineLevel="0" collapsed="false">
      <c r="A24" s="36" t="s">
        <v>190</v>
      </c>
      <c r="B24" s="60" t="n">
        <f aca="false">COUNTIF(B17:F19,"*공백*")</f>
        <v>14</v>
      </c>
    </row>
  </sheetData>
  <conditionalFormatting sqref="B17:F19">
    <cfRule type="expression" priority="2" aboveAverage="0" equalAverage="0" bottom="0" percent="0" rank="0" text="" dxfId="0">
      <formula>OR(ISNUMBER(SEARCH("초과",B17)),ISNUMBER(SEARCH("부족",B17)),ISNUMBER(SEARCH("공백",B17)))</formula>
    </cfRule>
    <cfRule type="expression" priority="3" aboveAverage="0" equalAverage="0" bottom="0" percent="0" rank="0" text="" dxfId="1">
      <formula>OR(ISNUMBER(SEARCH("주의",B17)),ISNUMBER(SEARCH("미달",B17)),ISNUMBER(SEARCH("지연",B17)),ISNUMBER(SEARCH("리밸런싱",B17)),ISNUMBER(SEARCH("감소",B17)))</formula>
    </cfRule>
    <cfRule type="expression" priority="4" aboveAverage="0" equalAverage="0" bottom="0" percent="0" rank="0" text="" dxfId="2">
      <formula>OR(ISNUMBER(SEARCH("양호",B17)),ISNUMBER(SEARCH("달성",B17)),ISNUMBER(SEARCH("순항",B17)),ISNUMBER(SEARCH("정상",B17)),ISNUMBER(SEARCH("증가",B17)),ISNUMBER(SEARCH("보장",B17)),ISNUMBER(SEARCH("적정",B17)))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A4:A13" type="list">
      <formula1>설정!$E$3:$E$6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0.85" hidden="false" customHeight="false" outlineLevel="0" collapsed="false">
      <c r="A1" s="34" t="s">
        <v>191</v>
      </c>
    </row>
    <row r="2" customFormat="false" ht="15" hidden="false" customHeight="false" outlineLevel="0" collapsed="false">
      <c r="A2" s="33" t="s">
        <v>192</v>
      </c>
    </row>
    <row r="3" customFormat="false" ht="15" hidden="false" customHeight="false" outlineLevel="0" collapsed="false">
      <c r="A3" s="31" t="s">
        <v>58</v>
      </c>
      <c r="B3" s="31" t="s">
        <v>60</v>
      </c>
      <c r="C3" s="31" t="s">
        <v>193</v>
      </c>
      <c r="D3" s="31" t="s">
        <v>61</v>
      </c>
      <c r="E3" s="31" t="s">
        <v>19</v>
      </c>
      <c r="F3" s="32" t="s">
        <v>59</v>
      </c>
      <c r="G3" s="35" t="s">
        <v>194</v>
      </c>
      <c r="H3" s="32" t="s">
        <v>195</v>
      </c>
    </row>
    <row r="4" customFormat="false" ht="15" hidden="false" customHeight="false" outlineLevel="0" collapsed="false">
      <c r="A4" s="50"/>
      <c r="B4" s="45"/>
      <c r="C4" s="58"/>
      <c r="D4" s="48"/>
      <c r="E4" s="58"/>
      <c r="F4" s="19" t="str">
        <f aca="false">IF(A4="","",TEXT(A4,"yyyy-mm"))</f>
        <v/>
      </c>
      <c r="G4" s="61" t="str">
        <f aca="false">IF(A4="","",A4-설정!$B$10)</f>
        <v/>
      </c>
      <c r="H4" s="46" t="str">
        <f aca="false">IF(A4="","",IF(AND(G4&gt;=0,G4&lt;=설정!$B$19),B4&amp;" D-"&amp;G4,""))</f>
        <v/>
      </c>
    </row>
    <row r="5" customFormat="false" ht="15" hidden="false" customHeight="false" outlineLevel="0" collapsed="false">
      <c r="A5" s="50"/>
      <c r="B5" s="45"/>
      <c r="C5" s="58"/>
      <c r="D5" s="48"/>
      <c r="E5" s="58"/>
      <c r="F5" s="19" t="str">
        <f aca="false">IF(A5="","",TEXT(A5,"yyyy-mm"))</f>
        <v/>
      </c>
      <c r="G5" s="61" t="str">
        <f aca="false">IF(A5="","",A5-설정!$B$10)</f>
        <v/>
      </c>
      <c r="H5" s="46" t="str">
        <f aca="false">IF(A5="","",IF(AND(G5&gt;=0,G5&lt;=설정!$B$19),B5&amp;" D-"&amp;G5,""))</f>
        <v/>
      </c>
    </row>
    <row r="6" customFormat="false" ht="15" hidden="false" customHeight="false" outlineLevel="0" collapsed="false">
      <c r="A6" s="50"/>
      <c r="B6" s="45"/>
      <c r="C6" s="58"/>
      <c r="D6" s="48"/>
      <c r="E6" s="58"/>
      <c r="F6" s="19" t="str">
        <f aca="false">IF(A6="","",TEXT(A6,"yyyy-mm"))</f>
        <v/>
      </c>
      <c r="G6" s="61" t="str">
        <f aca="false">IF(A6="","",A6-설정!$B$10)</f>
        <v/>
      </c>
      <c r="H6" s="46" t="str">
        <f aca="false">IF(A6="","",IF(AND(G6&gt;=0,G6&lt;=설정!$B$19),B6&amp;" D-"&amp;G6,""))</f>
        <v/>
      </c>
    </row>
    <row r="7" customFormat="false" ht="15" hidden="false" customHeight="false" outlineLevel="0" collapsed="false">
      <c r="A7" s="50"/>
      <c r="B7" s="45"/>
      <c r="C7" s="58"/>
      <c r="D7" s="48"/>
      <c r="E7" s="58"/>
      <c r="F7" s="19" t="str">
        <f aca="false">IF(A7="","",TEXT(A7,"yyyy-mm"))</f>
        <v/>
      </c>
      <c r="G7" s="61" t="str">
        <f aca="false">IF(A7="","",A7-설정!$B$10)</f>
        <v/>
      </c>
      <c r="H7" s="46" t="str">
        <f aca="false">IF(A7="","",IF(AND(G7&gt;=0,G7&lt;=설정!$B$19),B7&amp;" D-"&amp;G7,""))</f>
        <v/>
      </c>
    </row>
    <row r="8" customFormat="false" ht="15" hidden="false" customHeight="false" outlineLevel="0" collapsed="false">
      <c r="A8" s="50"/>
      <c r="B8" s="45"/>
      <c r="C8" s="58"/>
      <c r="D8" s="48"/>
      <c r="E8" s="58"/>
      <c r="F8" s="19" t="str">
        <f aca="false">IF(A8="","",TEXT(A8,"yyyy-mm"))</f>
        <v/>
      </c>
      <c r="G8" s="61" t="str">
        <f aca="false">IF(A8="","",A8-설정!$B$10)</f>
        <v/>
      </c>
      <c r="H8" s="46" t="str">
        <f aca="false">IF(A8="","",IF(AND(G8&gt;=0,G8&lt;=설정!$B$19),B8&amp;" D-"&amp;G8,""))</f>
        <v/>
      </c>
    </row>
    <row r="9" customFormat="false" ht="15" hidden="false" customHeight="false" outlineLevel="0" collapsed="false">
      <c r="A9" s="50"/>
      <c r="B9" s="45"/>
      <c r="C9" s="58"/>
      <c r="D9" s="48"/>
      <c r="E9" s="58"/>
      <c r="F9" s="19" t="str">
        <f aca="false">IF(A9="","",TEXT(A9,"yyyy-mm"))</f>
        <v/>
      </c>
      <c r="G9" s="61" t="str">
        <f aca="false">IF(A9="","",A9-설정!$B$10)</f>
        <v/>
      </c>
      <c r="H9" s="46" t="str">
        <f aca="false">IF(A9="","",IF(AND(G9&gt;=0,G9&lt;=설정!$B$19),B9&amp;" D-"&amp;G9,""))</f>
        <v/>
      </c>
    </row>
    <row r="10" customFormat="false" ht="15" hidden="false" customHeight="false" outlineLevel="0" collapsed="false">
      <c r="A10" s="50"/>
      <c r="B10" s="45"/>
      <c r="C10" s="58"/>
      <c r="D10" s="48"/>
      <c r="E10" s="58"/>
      <c r="F10" s="19" t="str">
        <f aca="false">IF(A10="","",TEXT(A10,"yyyy-mm"))</f>
        <v/>
      </c>
      <c r="G10" s="61" t="str">
        <f aca="false">IF(A10="","",A10-설정!$B$10)</f>
        <v/>
      </c>
      <c r="H10" s="46" t="str">
        <f aca="false">IF(A10="","",IF(AND(G10&gt;=0,G10&lt;=설정!$B$19),B10&amp;" D-"&amp;G10,""))</f>
        <v/>
      </c>
    </row>
    <row r="11" customFormat="false" ht="15" hidden="false" customHeight="false" outlineLevel="0" collapsed="false">
      <c r="A11" s="50"/>
      <c r="B11" s="45"/>
      <c r="C11" s="58"/>
      <c r="D11" s="48"/>
      <c r="E11" s="58"/>
      <c r="F11" s="19" t="str">
        <f aca="false">IF(A11="","",TEXT(A11,"yyyy-mm"))</f>
        <v/>
      </c>
      <c r="G11" s="61" t="str">
        <f aca="false">IF(A11="","",A11-설정!$B$10)</f>
        <v/>
      </c>
      <c r="H11" s="46" t="str">
        <f aca="false">IF(A11="","",IF(AND(G11&gt;=0,G11&lt;=설정!$B$19),B11&amp;" D-"&amp;G11,""))</f>
        <v/>
      </c>
    </row>
    <row r="12" customFormat="false" ht="15" hidden="false" customHeight="false" outlineLevel="0" collapsed="false">
      <c r="A12" s="50"/>
      <c r="B12" s="45"/>
      <c r="C12" s="58"/>
      <c r="D12" s="48"/>
      <c r="E12" s="58"/>
      <c r="F12" s="19" t="str">
        <f aca="false">IF(A12="","",TEXT(A12,"yyyy-mm"))</f>
        <v/>
      </c>
      <c r="G12" s="61" t="str">
        <f aca="false">IF(A12="","",A12-설정!$B$10)</f>
        <v/>
      </c>
      <c r="H12" s="46" t="str">
        <f aca="false">IF(A12="","",IF(AND(G12&gt;=0,G12&lt;=설정!$B$19),B12&amp;" D-"&amp;G12,""))</f>
        <v/>
      </c>
    </row>
    <row r="13" customFormat="false" ht="15" hidden="false" customHeight="false" outlineLevel="0" collapsed="false">
      <c r="A13" s="50"/>
      <c r="B13" s="45"/>
      <c r="C13" s="58"/>
      <c r="D13" s="48"/>
      <c r="E13" s="58"/>
      <c r="F13" s="19" t="str">
        <f aca="false">IF(A13="","",TEXT(A13,"yyyy-mm"))</f>
        <v/>
      </c>
      <c r="G13" s="61" t="str">
        <f aca="false">IF(A13="","",A13-설정!$B$10)</f>
        <v/>
      </c>
      <c r="H13" s="46" t="str">
        <f aca="false">IF(A13="","",IF(AND(G13&gt;=0,G13&lt;=설정!$B$19),B13&amp;" D-"&amp;G13,""))</f>
        <v/>
      </c>
    </row>
    <row r="14" customFormat="false" ht="15" hidden="false" customHeight="false" outlineLevel="0" collapsed="false">
      <c r="A14" s="50"/>
      <c r="B14" s="45"/>
      <c r="C14" s="58"/>
      <c r="D14" s="48"/>
      <c r="E14" s="58"/>
      <c r="F14" s="19" t="str">
        <f aca="false">IF(A14="","",TEXT(A14,"yyyy-mm"))</f>
        <v/>
      </c>
      <c r="G14" s="61" t="str">
        <f aca="false">IF(A14="","",A14-설정!$B$10)</f>
        <v/>
      </c>
      <c r="H14" s="46" t="str">
        <f aca="false">IF(A14="","",IF(AND(G14&gt;=0,G14&lt;=설정!$B$19),B14&amp;" D-"&amp;G14,""))</f>
        <v/>
      </c>
    </row>
    <row r="15" customFormat="false" ht="15" hidden="false" customHeight="false" outlineLevel="0" collapsed="false">
      <c r="A15" s="50"/>
      <c r="B15" s="45"/>
      <c r="C15" s="58"/>
      <c r="D15" s="48"/>
      <c r="E15" s="58"/>
      <c r="F15" s="19" t="str">
        <f aca="false">IF(A15="","",TEXT(A15,"yyyy-mm"))</f>
        <v/>
      </c>
      <c r="G15" s="61" t="str">
        <f aca="false">IF(A15="","",A15-설정!$B$10)</f>
        <v/>
      </c>
      <c r="H15" s="46" t="str">
        <f aca="false">IF(A15="","",IF(AND(G15&gt;=0,G15&lt;=설정!$B$19),B15&amp;" D-"&amp;G15,""))</f>
        <v/>
      </c>
    </row>
    <row r="16" customFormat="false" ht="15" hidden="false" customHeight="false" outlineLevel="0" collapsed="false">
      <c r="A16" s="50"/>
      <c r="B16" s="45"/>
      <c r="C16" s="58"/>
      <c r="D16" s="48"/>
      <c r="E16" s="58"/>
      <c r="F16" s="19" t="str">
        <f aca="false">IF(A16="","",TEXT(A16,"yyyy-mm"))</f>
        <v/>
      </c>
      <c r="G16" s="61" t="str">
        <f aca="false">IF(A16="","",A16-설정!$B$10)</f>
        <v/>
      </c>
      <c r="H16" s="46" t="str">
        <f aca="false">IF(A16="","",IF(AND(G16&gt;=0,G16&lt;=설정!$B$19),B16&amp;" D-"&amp;G16,""))</f>
        <v/>
      </c>
    </row>
    <row r="17" customFormat="false" ht="15" hidden="false" customHeight="false" outlineLevel="0" collapsed="false">
      <c r="A17" s="50"/>
      <c r="B17" s="45"/>
      <c r="C17" s="58"/>
      <c r="D17" s="48"/>
      <c r="E17" s="58"/>
      <c r="F17" s="19" t="str">
        <f aca="false">IF(A17="","",TEXT(A17,"yyyy-mm"))</f>
        <v/>
      </c>
      <c r="G17" s="61" t="str">
        <f aca="false">IF(A17="","",A17-설정!$B$10)</f>
        <v/>
      </c>
      <c r="H17" s="46" t="str">
        <f aca="false">IF(A17="","",IF(AND(G17&gt;=0,G17&lt;=설정!$B$19),B17&amp;" D-"&amp;G17,""))</f>
        <v/>
      </c>
    </row>
    <row r="18" customFormat="false" ht="15" hidden="false" customHeight="false" outlineLevel="0" collapsed="false">
      <c r="A18" s="50"/>
      <c r="B18" s="45"/>
      <c r="C18" s="58"/>
      <c r="D18" s="48"/>
      <c r="E18" s="58"/>
      <c r="F18" s="19" t="str">
        <f aca="false">IF(A18="","",TEXT(A18,"yyyy-mm"))</f>
        <v/>
      </c>
      <c r="G18" s="61" t="str">
        <f aca="false">IF(A18="","",A18-설정!$B$10)</f>
        <v/>
      </c>
      <c r="H18" s="46" t="str">
        <f aca="false">IF(A18="","",IF(AND(G18&gt;=0,G18&lt;=설정!$B$19),B18&amp;" D-"&amp;G18,""))</f>
        <v/>
      </c>
    </row>
    <row r="19" customFormat="false" ht="15" hidden="false" customHeight="false" outlineLevel="0" collapsed="false">
      <c r="A19" s="50"/>
      <c r="B19" s="45"/>
      <c r="C19" s="58"/>
      <c r="D19" s="48"/>
      <c r="E19" s="58"/>
      <c r="F19" s="19" t="str">
        <f aca="false">IF(A19="","",TEXT(A19,"yyyy-mm"))</f>
        <v/>
      </c>
      <c r="G19" s="61" t="str">
        <f aca="false">IF(A19="","",A19-설정!$B$10)</f>
        <v/>
      </c>
      <c r="H19" s="46" t="str">
        <f aca="false">IF(A19="","",IF(AND(G19&gt;=0,G19&lt;=설정!$B$19),B19&amp;" D-"&amp;G19,""))</f>
        <v/>
      </c>
    </row>
    <row r="20" customFormat="false" ht="15" hidden="false" customHeight="false" outlineLevel="0" collapsed="false">
      <c r="A20" s="50"/>
      <c r="B20" s="45"/>
      <c r="C20" s="58"/>
      <c r="D20" s="48"/>
      <c r="E20" s="58"/>
      <c r="F20" s="19" t="str">
        <f aca="false">IF(A20="","",TEXT(A20,"yyyy-mm"))</f>
        <v/>
      </c>
      <c r="G20" s="61" t="str">
        <f aca="false">IF(A20="","",A20-설정!$B$10)</f>
        <v/>
      </c>
      <c r="H20" s="46" t="str">
        <f aca="false">IF(A20="","",IF(AND(G20&gt;=0,G20&lt;=설정!$B$19),B20&amp;" D-"&amp;G20,""))</f>
        <v/>
      </c>
    </row>
    <row r="21" customFormat="false" ht="15" hidden="false" customHeight="false" outlineLevel="0" collapsed="false">
      <c r="A21" s="50"/>
      <c r="B21" s="45"/>
      <c r="C21" s="58"/>
      <c r="D21" s="48"/>
      <c r="E21" s="58"/>
      <c r="F21" s="19" t="str">
        <f aca="false">IF(A21="","",TEXT(A21,"yyyy-mm"))</f>
        <v/>
      </c>
      <c r="G21" s="61" t="str">
        <f aca="false">IF(A21="","",A21-설정!$B$10)</f>
        <v/>
      </c>
      <c r="H21" s="46" t="str">
        <f aca="false">IF(A21="","",IF(AND(G21&gt;=0,G21&lt;=설정!$B$19),B21&amp;" D-"&amp;G21,""))</f>
        <v/>
      </c>
    </row>
    <row r="22" customFormat="false" ht="15" hidden="false" customHeight="false" outlineLevel="0" collapsed="false">
      <c r="A22" s="50"/>
      <c r="B22" s="45"/>
      <c r="C22" s="58"/>
      <c r="D22" s="48"/>
      <c r="E22" s="58"/>
      <c r="F22" s="19" t="str">
        <f aca="false">IF(A22="","",TEXT(A22,"yyyy-mm"))</f>
        <v/>
      </c>
      <c r="G22" s="61" t="str">
        <f aca="false">IF(A22="","",A22-설정!$B$10)</f>
        <v/>
      </c>
      <c r="H22" s="46" t="str">
        <f aca="false">IF(A22="","",IF(AND(G22&gt;=0,G22&lt;=설정!$B$19),B22&amp;" D-"&amp;G22,""))</f>
        <v/>
      </c>
    </row>
    <row r="23" customFormat="false" ht="15" hidden="false" customHeight="false" outlineLevel="0" collapsed="false">
      <c r="A23" s="50"/>
      <c r="B23" s="45"/>
      <c r="C23" s="58"/>
      <c r="D23" s="48"/>
      <c r="E23" s="58"/>
      <c r="F23" s="19" t="str">
        <f aca="false">IF(A23="","",TEXT(A23,"yyyy-mm"))</f>
        <v/>
      </c>
      <c r="G23" s="61" t="str">
        <f aca="false">IF(A23="","",A23-설정!$B$10)</f>
        <v/>
      </c>
      <c r="H23" s="46" t="str">
        <f aca="false">IF(A23="","",IF(AND(G23&gt;=0,G23&lt;=설정!$B$19),B23&amp;" D-"&amp;G23,""))</f>
        <v/>
      </c>
    </row>
    <row r="24" customFormat="false" ht="15" hidden="false" customHeight="false" outlineLevel="0" collapsed="false">
      <c r="A24" s="50"/>
      <c r="B24" s="45"/>
      <c r="C24" s="58"/>
      <c r="D24" s="48"/>
      <c r="E24" s="58"/>
      <c r="F24" s="19" t="str">
        <f aca="false">IF(A24="","",TEXT(A24,"yyyy-mm"))</f>
        <v/>
      </c>
      <c r="G24" s="61" t="str">
        <f aca="false">IF(A24="","",A24-설정!$B$10)</f>
        <v/>
      </c>
      <c r="H24" s="46" t="str">
        <f aca="false">IF(A24="","",IF(AND(G24&gt;=0,G24&lt;=설정!$B$19),B24&amp;" D-"&amp;G24,""))</f>
        <v/>
      </c>
    </row>
    <row r="25" customFormat="false" ht="15" hidden="false" customHeight="false" outlineLevel="0" collapsed="false">
      <c r="A25" s="50"/>
      <c r="B25" s="45"/>
      <c r="C25" s="58"/>
      <c r="D25" s="48"/>
      <c r="E25" s="58"/>
      <c r="F25" s="19" t="str">
        <f aca="false">IF(A25="","",TEXT(A25,"yyyy-mm"))</f>
        <v/>
      </c>
      <c r="G25" s="61" t="str">
        <f aca="false">IF(A25="","",A25-설정!$B$10)</f>
        <v/>
      </c>
      <c r="H25" s="46" t="str">
        <f aca="false">IF(A25="","",IF(AND(G25&gt;=0,G25&lt;=설정!$B$19),B25&amp;" D-"&amp;G25,""))</f>
        <v/>
      </c>
    </row>
    <row r="26" customFormat="false" ht="15" hidden="false" customHeight="false" outlineLevel="0" collapsed="false">
      <c r="A26" s="50"/>
      <c r="B26" s="45"/>
      <c r="C26" s="58"/>
      <c r="D26" s="48"/>
      <c r="E26" s="58"/>
      <c r="F26" s="19" t="str">
        <f aca="false">IF(A26="","",TEXT(A26,"yyyy-mm"))</f>
        <v/>
      </c>
      <c r="G26" s="61" t="str">
        <f aca="false">IF(A26="","",A26-설정!$B$10)</f>
        <v/>
      </c>
      <c r="H26" s="46" t="str">
        <f aca="false">IF(A26="","",IF(AND(G26&gt;=0,G26&lt;=설정!$B$19),B26&amp;" D-"&amp;G26,""))</f>
        <v/>
      </c>
    </row>
    <row r="27" customFormat="false" ht="15" hidden="false" customHeight="false" outlineLevel="0" collapsed="false">
      <c r="A27" s="50"/>
      <c r="B27" s="45"/>
      <c r="C27" s="58"/>
      <c r="D27" s="48"/>
      <c r="E27" s="58"/>
      <c r="F27" s="19" t="str">
        <f aca="false">IF(A27="","",TEXT(A27,"yyyy-mm"))</f>
        <v/>
      </c>
      <c r="G27" s="61" t="str">
        <f aca="false">IF(A27="","",A27-설정!$B$10)</f>
        <v/>
      </c>
      <c r="H27" s="46" t="str">
        <f aca="false">IF(A27="","",IF(AND(G27&gt;=0,G27&lt;=설정!$B$19),B27&amp;" D-"&amp;G27,""))</f>
        <v/>
      </c>
    </row>
    <row r="28" customFormat="false" ht="15" hidden="false" customHeight="false" outlineLevel="0" collapsed="false">
      <c r="A28" s="50"/>
      <c r="B28" s="45"/>
      <c r="C28" s="58"/>
      <c r="D28" s="48"/>
      <c r="E28" s="58"/>
      <c r="F28" s="19" t="str">
        <f aca="false">IF(A28="","",TEXT(A28,"yyyy-mm"))</f>
        <v/>
      </c>
      <c r="G28" s="61" t="str">
        <f aca="false">IF(A28="","",A28-설정!$B$10)</f>
        <v/>
      </c>
      <c r="H28" s="46" t="str">
        <f aca="false">IF(A28="","",IF(AND(G28&gt;=0,G28&lt;=설정!$B$19),B28&amp;" D-"&amp;G28,""))</f>
        <v/>
      </c>
    </row>
    <row r="29" customFormat="false" ht="15" hidden="false" customHeight="false" outlineLevel="0" collapsed="false">
      <c r="A29" s="50"/>
      <c r="B29" s="45"/>
      <c r="C29" s="58"/>
      <c r="D29" s="48"/>
      <c r="E29" s="58"/>
      <c r="F29" s="19" t="str">
        <f aca="false">IF(A29="","",TEXT(A29,"yyyy-mm"))</f>
        <v/>
      </c>
      <c r="G29" s="61" t="str">
        <f aca="false">IF(A29="","",A29-설정!$B$10)</f>
        <v/>
      </c>
      <c r="H29" s="46" t="str">
        <f aca="false">IF(A29="","",IF(AND(G29&gt;=0,G29&lt;=설정!$B$19),B29&amp;" D-"&amp;G29,""))</f>
        <v/>
      </c>
    </row>
    <row r="30" customFormat="false" ht="15" hidden="false" customHeight="false" outlineLevel="0" collapsed="false">
      <c r="A30" s="50"/>
      <c r="B30" s="45"/>
      <c r="C30" s="58"/>
      <c r="D30" s="48"/>
      <c r="E30" s="58"/>
      <c r="F30" s="19" t="str">
        <f aca="false">IF(A30="","",TEXT(A30,"yyyy-mm"))</f>
        <v/>
      </c>
      <c r="G30" s="61" t="str">
        <f aca="false">IF(A30="","",A30-설정!$B$10)</f>
        <v/>
      </c>
      <c r="H30" s="46" t="str">
        <f aca="false">IF(A30="","",IF(AND(G30&gt;=0,G30&lt;=설정!$B$19),B30&amp;" D-"&amp;G30,""))</f>
        <v/>
      </c>
    </row>
    <row r="31" customFormat="false" ht="15" hidden="false" customHeight="false" outlineLevel="0" collapsed="false">
      <c r="A31" s="50"/>
      <c r="B31" s="45"/>
      <c r="C31" s="58"/>
      <c r="D31" s="48"/>
      <c r="E31" s="58"/>
      <c r="F31" s="19" t="str">
        <f aca="false">IF(A31="","",TEXT(A31,"yyyy-mm"))</f>
        <v/>
      </c>
      <c r="G31" s="61" t="str">
        <f aca="false">IF(A31="","",A31-설정!$B$10)</f>
        <v/>
      </c>
      <c r="H31" s="46" t="str">
        <f aca="false">IF(A31="","",IF(AND(G31&gt;=0,G31&lt;=설정!$B$19),B31&amp;" D-"&amp;G31,""))</f>
        <v/>
      </c>
    </row>
    <row r="32" customFormat="false" ht="15" hidden="false" customHeight="false" outlineLevel="0" collapsed="false">
      <c r="A32" s="50"/>
      <c r="B32" s="45"/>
      <c r="C32" s="58"/>
      <c r="D32" s="48"/>
      <c r="E32" s="58"/>
      <c r="F32" s="19" t="str">
        <f aca="false">IF(A32="","",TEXT(A32,"yyyy-mm"))</f>
        <v/>
      </c>
      <c r="G32" s="61" t="str">
        <f aca="false">IF(A32="","",A32-설정!$B$10)</f>
        <v/>
      </c>
      <c r="H32" s="46" t="str">
        <f aca="false">IF(A32="","",IF(AND(G32&gt;=0,G32&lt;=설정!$B$19),B32&amp;" D-"&amp;G32,""))</f>
        <v/>
      </c>
    </row>
    <row r="33" customFormat="false" ht="15" hidden="false" customHeight="false" outlineLevel="0" collapsed="false">
      <c r="A33" s="50"/>
      <c r="B33" s="45"/>
      <c r="C33" s="58"/>
      <c r="D33" s="48"/>
      <c r="E33" s="58"/>
      <c r="F33" s="19" t="str">
        <f aca="false">IF(A33="","",TEXT(A33,"yyyy-mm"))</f>
        <v/>
      </c>
      <c r="G33" s="61" t="str">
        <f aca="false">IF(A33="","",A33-설정!$B$10)</f>
        <v/>
      </c>
      <c r="H33" s="46" t="str">
        <f aca="false">IF(A33="","",IF(AND(G33&gt;=0,G33&lt;=설정!$B$19),B33&amp;" D-"&amp;G33,""))</f>
        <v/>
      </c>
    </row>
    <row r="34" customFormat="false" ht="15" hidden="false" customHeight="false" outlineLevel="0" collapsed="false">
      <c r="A34" s="50"/>
      <c r="B34" s="45"/>
      <c r="C34" s="58"/>
      <c r="D34" s="48"/>
      <c r="E34" s="58"/>
      <c r="F34" s="19" t="str">
        <f aca="false">IF(A34="","",TEXT(A34,"yyyy-mm"))</f>
        <v/>
      </c>
      <c r="G34" s="61" t="str">
        <f aca="false">IF(A34="","",A34-설정!$B$10)</f>
        <v/>
      </c>
      <c r="H34" s="46" t="str">
        <f aca="false">IF(A34="","",IF(AND(G34&gt;=0,G34&lt;=설정!$B$19),B34&amp;" D-"&amp;G34,""))</f>
        <v/>
      </c>
    </row>
    <row r="35" customFormat="false" ht="15" hidden="false" customHeight="false" outlineLevel="0" collapsed="false">
      <c r="A35" s="50"/>
      <c r="B35" s="45"/>
      <c r="C35" s="58"/>
      <c r="D35" s="48"/>
      <c r="E35" s="58"/>
      <c r="F35" s="19" t="str">
        <f aca="false">IF(A35="","",TEXT(A35,"yyyy-mm"))</f>
        <v/>
      </c>
      <c r="G35" s="61" t="str">
        <f aca="false">IF(A35="","",A35-설정!$B$10)</f>
        <v/>
      </c>
      <c r="H35" s="46" t="str">
        <f aca="false">IF(A35="","",IF(AND(G35&gt;=0,G35&lt;=설정!$B$19),B35&amp;" D-"&amp;G35,""))</f>
        <v/>
      </c>
    </row>
    <row r="36" customFormat="false" ht="15" hidden="false" customHeight="false" outlineLevel="0" collapsed="false">
      <c r="A36" s="50"/>
      <c r="B36" s="45"/>
      <c r="C36" s="58"/>
      <c r="D36" s="48"/>
      <c r="E36" s="58"/>
      <c r="F36" s="19" t="str">
        <f aca="false">IF(A36="","",TEXT(A36,"yyyy-mm"))</f>
        <v/>
      </c>
      <c r="G36" s="61" t="str">
        <f aca="false">IF(A36="","",A36-설정!$B$10)</f>
        <v/>
      </c>
      <c r="H36" s="46" t="str">
        <f aca="false">IF(A36="","",IF(AND(G36&gt;=0,G36&lt;=설정!$B$19),B36&amp;" D-"&amp;G36,""))</f>
        <v/>
      </c>
    </row>
    <row r="37" customFormat="false" ht="15" hidden="false" customHeight="false" outlineLevel="0" collapsed="false">
      <c r="A37" s="50"/>
      <c r="B37" s="45"/>
      <c r="C37" s="58"/>
      <c r="D37" s="48"/>
      <c r="E37" s="58"/>
      <c r="F37" s="19" t="str">
        <f aca="false">IF(A37="","",TEXT(A37,"yyyy-mm"))</f>
        <v/>
      </c>
      <c r="G37" s="61" t="str">
        <f aca="false">IF(A37="","",A37-설정!$B$10)</f>
        <v/>
      </c>
      <c r="H37" s="46" t="str">
        <f aca="false">IF(A37="","",IF(AND(G37&gt;=0,G37&lt;=설정!$B$19),B37&amp;" D-"&amp;G37,""))</f>
        <v/>
      </c>
    </row>
    <row r="38" customFormat="false" ht="15" hidden="false" customHeight="false" outlineLevel="0" collapsed="false">
      <c r="A38" s="50"/>
      <c r="B38" s="45"/>
      <c r="C38" s="58"/>
      <c r="D38" s="48"/>
      <c r="E38" s="58"/>
      <c r="F38" s="19" t="str">
        <f aca="false">IF(A38="","",TEXT(A38,"yyyy-mm"))</f>
        <v/>
      </c>
      <c r="G38" s="61" t="str">
        <f aca="false">IF(A38="","",A38-설정!$B$10)</f>
        <v/>
      </c>
      <c r="H38" s="46" t="str">
        <f aca="false">IF(A38="","",IF(AND(G38&gt;=0,G38&lt;=설정!$B$19),B38&amp;" D-"&amp;G38,""))</f>
        <v/>
      </c>
    </row>
    <row r="39" customFormat="false" ht="15" hidden="false" customHeight="false" outlineLevel="0" collapsed="false">
      <c r="A39" s="50"/>
      <c r="B39" s="45"/>
      <c r="C39" s="58"/>
      <c r="D39" s="48"/>
      <c r="E39" s="58"/>
      <c r="F39" s="19" t="str">
        <f aca="false">IF(A39="","",TEXT(A39,"yyyy-mm"))</f>
        <v/>
      </c>
      <c r="G39" s="61" t="str">
        <f aca="false">IF(A39="","",A39-설정!$B$10)</f>
        <v/>
      </c>
      <c r="H39" s="46" t="str">
        <f aca="false">IF(A39="","",IF(AND(G39&gt;=0,G39&lt;=설정!$B$19),B39&amp;" D-"&amp;G39,""))</f>
        <v/>
      </c>
    </row>
    <row r="40" customFormat="false" ht="15" hidden="false" customHeight="false" outlineLevel="0" collapsed="false">
      <c r="A40" s="50"/>
      <c r="B40" s="45"/>
      <c r="C40" s="58"/>
      <c r="D40" s="48"/>
      <c r="E40" s="58"/>
      <c r="F40" s="19" t="str">
        <f aca="false">IF(A40="","",TEXT(A40,"yyyy-mm"))</f>
        <v/>
      </c>
      <c r="G40" s="61" t="str">
        <f aca="false">IF(A40="","",A40-설정!$B$10)</f>
        <v/>
      </c>
      <c r="H40" s="46" t="str">
        <f aca="false">IF(A40="","",IF(AND(G40&gt;=0,G40&lt;=설정!$B$19),B40&amp;" D-"&amp;G40,""))</f>
        <v/>
      </c>
    </row>
    <row r="41" customFormat="false" ht="15" hidden="false" customHeight="false" outlineLevel="0" collapsed="false">
      <c r="A41" s="50"/>
      <c r="B41" s="45"/>
      <c r="C41" s="58"/>
      <c r="D41" s="48"/>
      <c r="E41" s="58"/>
      <c r="F41" s="19" t="str">
        <f aca="false">IF(A41="","",TEXT(A41,"yyyy-mm"))</f>
        <v/>
      </c>
      <c r="G41" s="61" t="str">
        <f aca="false">IF(A41="","",A41-설정!$B$10)</f>
        <v/>
      </c>
      <c r="H41" s="46" t="str">
        <f aca="false">IF(A41="","",IF(AND(G41&gt;=0,G41&lt;=설정!$B$19),B41&amp;" D-"&amp;G41,""))</f>
        <v/>
      </c>
    </row>
    <row r="42" customFormat="false" ht="15" hidden="false" customHeight="false" outlineLevel="0" collapsed="false">
      <c r="A42" s="50"/>
      <c r="B42" s="45"/>
      <c r="C42" s="58"/>
      <c r="D42" s="48"/>
      <c r="E42" s="58"/>
      <c r="F42" s="19" t="str">
        <f aca="false">IF(A42="","",TEXT(A42,"yyyy-mm"))</f>
        <v/>
      </c>
      <c r="G42" s="61" t="str">
        <f aca="false">IF(A42="","",A42-설정!$B$10)</f>
        <v/>
      </c>
      <c r="H42" s="46" t="str">
        <f aca="false">IF(A42="","",IF(AND(G42&gt;=0,G42&lt;=설정!$B$19),B42&amp;" D-"&amp;G42,""))</f>
        <v/>
      </c>
    </row>
    <row r="43" customFormat="false" ht="15" hidden="false" customHeight="false" outlineLevel="0" collapsed="false">
      <c r="A43" s="50"/>
      <c r="B43" s="45"/>
      <c r="C43" s="58"/>
      <c r="D43" s="48"/>
      <c r="E43" s="58"/>
      <c r="F43" s="19" t="str">
        <f aca="false">IF(A43="","",TEXT(A43,"yyyy-mm"))</f>
        <v/>
      </c>
      <c r="G43" s="61" t="str">
        <f aca="false">IF(A43="","",A43-설정!$B$10)</f>
        <v/>
      </c>
      <c r="H43" s="46" t="str">
        <f aca="false">IF(A43="","",IF(AND(G43&gt;=0,G43&lt;=설정!$B$19),B43&amp;" D-"&amp;G43,""))</f>
        <v/>
      </c>
    </row>
    <row r="44" customFormat="false" ht="15" hidden="false" customHeight="false" outlineLevel="0" collapsed="false">
      <c r="A44" s="50"/>
      <c r="B44" s="45"/>
      <c r="C44" s="58"/>
      <c r="D44" s="48"/>
      <c r="E44" s="58"/>
      <c r="F44" s="19" t="str">
        <f aca="false">IF(A44="","",TEXT(A44,"yyyy-mm"))</f>
        <v/>
      </c>
      <c r="G44" s="61" t="str">
        <f aca="false">IF(A44="","",A44-설정!$B$10)</f>
        <v/>
      </c>
      <c r="H44" s="46" t="str">
        <f aca="false">IF(A44="","",IF(AND(G44&gt;=0,G44&lt;=설정!$B$19),B44&amp;" D-"&amp;G44,""))</f>
        <v/>
      </c>
    </row>
    <row r="45" customFormat="false" ht="15" hidden="false" customHeight="false" outlineLevel="0" collapsed="false">
      <c r="A45" s="50"/>
      <c r="B45" s="45"/>
      <c r="C45" s="58"/>
      <c r="D45" s="48"/>
      <c r="E45" s="58"/>
      <c r="F45" s="19" t="str">
        <f aca="false">IF(A45="","",TEXT(A45,"yyyy-mm"))</f>
        <v/>
      </c>
      <c r="G45" s="61" t="str">
        <f aca="false">IF(A45="","",A45-설정!$B$10)</f>
        <v/>
      </c>
      <c r="H45" s="46" t="str">
        <f aca="false">IF(A45="","",IF(AND(G45&gt;=0,G45&lt;=설정!$B$19),B45&amp;" D-"&amp;G45,""))</f>
        <v/>
      </c>
    </row>
    <row r="46" customFormat="false" ht="15" hidden="false" customHeight="false" outlineLevel="0" collapsed="false">
      <c r="A46" s="50"/>
      <c r="B46" s="45"/>
      <c r="C46" s="58"/>
      <c r="D46" s="48"/>
      <c r="E46" s="58"/>
      <c r="F46" s="19" t="str">
        <f aca="false">IF(A46="","",TEXT(A46,"yyyy-mm"))</f>
        <v/>
      </c>
      <c r="G46" s="61" t="str">
        <f aca="false">IF(A46="","",A46-설정!$B$10)</f>
        <v/>
      </c>
      <c r="H46" s="46" t="str">
        <f aca="false">IF(A46="","",IF(AND(G46&gt;=0,G46&lt;=설정!$B$19),B46&amp;" D-"&amp;G46,""))</f>
        <v/>
      </c>
    </row>
    <row r="47" customFormat="false" ht="15" hidden="false" customHeight="false" outlineLevel="0" collapsed="false">
      <c r="A47" s="50"/>
      <c r="B47" s="45"/>
      <c r="C47" s="58"/>
      <c r="D47" s="48"/>
      <c r="E47" s="58"/>
      <c r="F47" s="19" t="str">
        <f aca="false">IF(A47="","",TEXT(A47,"yyyy-mm"))</f>
        <v/>
      </c>
      <c r="G47" s="61" t="str">
        <f aca="false">IF(A47="","",A47-설정!$B$10)</f>
        <v/>
      </c>
      <c r="H47" s="46" t="str">
        <f aca="false">IF(A47="","",IF(AND(G47&gt;=0,G47&lt;=설정!$B$19),B47&amp;" D-"&amp;G47,""))</f>
        <v/>
      </c>
    </row>
    <row r="48" customFormat="false" ht="15" hidden="false" customHeight="false" outlineLevel="0" collapsed="false">
      <c r="A48" s="50"/>
      <c r="B48" s="45"/>
      <c r="C48" s="58"/>
      <c r="D48" s="48"/>
      <c r="E48" s="58"/>
      <c r="F48" s="19" t="str">
        <f aca="false">IF(A48="","",TEXT(A48,"yyyy-mm"))</f>
        <v/>
      </c>
      <c r="G48" s="61" t="str">
        <f aca="false">IF(A48="","",A48-설정!$B$10)</f>
        <v/>
      </c>
      <c r="H48" s="46" t="str">
        <f aca="false">IF(A48="","",IF(AND(G48&gt;=0,G48&lt;=설정!$B$19),B48&amp;" D-"&amp;G48,""))</f>
        <v/>
      </c>
    </row>
    <row r="49" customFormat="false" ht="15" hidden="false" customHeight="false" outlineLevel="0" collapsed="false">
      <c r="A49" s="50"/>
      <c r="B49" s="45"/>
      <c r="C49" s="58"/>
      <c r="D49" s="48"/>
      <c r="E49" s="58"/>
      <c r="F49" s="19" t="str">
        <f aca="false">IF(A49="","",TEXT(A49,"yyyy-mm"))</f>
        <v/>
      </c>
      <c r="G49" s="61" t="str">
        <f aca="false">IF(A49="","",A49-설정!$B$10)</f>
        <v/>
      </c>
      <c r="H49" s="46" t="str">
        <f aca="false">IF(A49="","",IF(AND(G49&gt;=0,G49&lt;=설정!$B$19),B49&amp;" D-"&amp;G49,""))</f>
        <v/>
      </c>
    </row>
    <row r="50" customFormat="false" ht="15" hidden="false" customHeight="false" outlineLevel="0" collapsed="false">
      <c r="A50" s="50"/>
      <c r="B50" s="45"/>
      <c r="C50" s="58"/>
      <c r="D50" s="48"/>
      <c r="E50" s="58"/>
      <c r="F50" s="19" t="str">
        <f aca="false">IF(A50="","",TEXT(A50,"yyyy-mm"))</f>
        <v/>
      </c>
      <c r="G50" s="61" t="str">
        <f aca="false">IF(A50="","",A50-설정!$B$10)</f>
        <v/>
      </c>
      <c r="H50" s="46" t="str">
        <f aca="false">IF(A50="","",IF(AND(G50&gt;=0,G50&lt;=설정!$B$19),B50&amp;" D-"&amp;G50,""))</f>
        <v/>
      </c>
    </row>
    <row r="51" customFormat="false" ht="15" hidden="false" customHeight="false" outlineLevel="0" collapsed="false">
      <c r="A51" s="50"/>
      <c r="B51" s="45"/>
      <c r="C51" s="58"/>
      <c r="D51" s="48"/>
      <c r="E51" s="58"/>
      <c r="F51" s="19" t="str">
        <f aca="false">IF(A51="","",TEXT(A51,"yyyy-mm"))</f>
        <v/>
      </c>
      <c r="G51" s="61" t="str">
        <f aca="false">IF(A51="","",A51-설정!$B$10)</f>
        <v/>
      </c>
      <c r="H51" s="46" t="str">
        <f aca="false">IF(A51="","",IF(AND(G51&gt;=0,G51&lt;=설정!$B$19),B51&amp;" D-"&amp;G51,""))</f>
        <v/>
      </c>
    </row>
    <row r="52" customFormat="false" ht="15" hidden="false" customHeight="false" outlineLevel="0" collapsed="false">
      <c r="A52" s="50"/>
      <c r="B52" s="45"/>
      <c r="C52" s="58"/>
      <c r="D52" s="48"/>
      <c r="E52" s="58"/>
      <c r="F52" s="19" t="str">
        <f aca="false">IF(A52="","",TEXT(A52,"yyyy-mm"))</f>
        <v/>
      </c>
      <c r="G52" s="61" t="str">
        <f aca="false">IF(A52="","",A52-설정!$B$10)</f>
        <v/>
      </c>
      <c r="H52" s="46" t="str">
        <f aca="false">IF(A52="","",IF(AND(G52&gt;=0,G52&lt;=설정!$B$19),B52&amp;" D-"&amp;G52,""))</f>
        <v/>
      </c>
    </row>
    <row r="53" customFormat="false" ht="15" hidden="false" customHeight="false" outlineLevel="0" collapsed="false">
      <c r="A53" s="50"/>
      <c r="B53" s="45"/>
      <c r="C53" s="58"/>
      <c r="D53" s="48"/>
      <c r="E53" s="58"/>
      <c r="F53" s="19" t="str">
        <f aca="false">IF(A53="","",TEXT(A53,"yyyy-mm"))</f>
        <v/>
      </c>
      <c r="G53" s="61" t="str">
        <f aca="false">IF(A53="","",A53-설정!$B$10)</f>
        <v/>
      </c>
      <c r="H53" s="46" t="str">
        <f aca="false">IF(A53="","",IF(AND(G53&gt;=0,G53&lt;=설정!$B$19),B53&amp;" D-"&amp;G53,""))</f>
        <v/>
      </c>
    </row>
    <row r="54" customFormat="false" ht="15" hidden="false" customHeight="false" outlineLevel="0" collapsed="false">
      <c r="A54" s="50"/>
      <c r="B54" s="45"/>
      <c r="C54" s="58"/>
      <c r="D54" s="48"/>
      <c r="E54" s="58"/>
      <c r="F54" s="19" t="str">
        <f aca="false">IF(A54="","",TEXT(A54,"yyyy-mm"))</f>
        <v/>
      </c>
      <c r="G54" s="61" t="str">
        <f aca="false">IF(A54="","",A54-설정!$B$10)</f>
        <v/>
      </c>
      <c r="H54" s="46" t="str">
        <f aca="false">IF(A54="","",IF(AND(G54&gt;=0,G54&lt;=설정!$B$19),B54&amp;" D-"&amp;G54,""))</f>
        <v/>
      </c>
    </row>
    <row r="55" customFormat="false" ht="15" hidden="false" customHeight="false" outlineLevel="0" collapsed="false">
      <c r="A55" s="50"/>
      <c r="B55" s="45"/>
      <c r="C55" s="58"/>
      <c r="D55" s="48"/>
      <c r="E55" s="58"/>
      <c r="F55" s="19" t="str">
        <f aca="false">IF(A55="","",TEXT(A55,"yyyy-mm"))</f>
        <v/>
      </c>
      <c r="G55" s="61" t="str">
        <f aca="false">IF(A55="","",A55-설정!$B$10)</f>
        <v/>
      </c>
      <c r="H55" s="46" t="str">
        <f aca="false">IF(A55="","",IF(AND(G55&gt;=0,G55&lt;=설정!$B$19),B55&amp;" D-"&amp;G55,""))</f>
        <v/>
      </c>
    </row>
    <row r="56" customFormat="false" ht="15" hidden="false" customHeight="false" outlineLevel="0" collapsed="false">
      <c r="A56" s="50"/>
      <c r="B56" s="45"/>
      <c r="C56" s="58"/>
      <c r="D56" s="48"/>
      <c r="E56" s="58"/>
      <c r="F56" s="19" t="str">
        <f aca="false">IF(A56="","",TEXT(A56,"yyyy-mm"))</f>
        <v/>
      </c>
      <c r="G56" s="61" t="str">
        <f aca="false">IF(A56="","",A56-설정!$B$10)</f>
        <v/>
      </c>
      <c r="H56" s="46" t="str">
        <f aca="false">IF(A56="","",IF(AND(G56&gt;=0,G56&lt;=설정!$B$19),B56&amp;" D-"&amp;G56,""))</f>
        <v/>
      </c>
    </row>
    <row r="57" customFormat="false" ht="15" hidden="false" customHeight="false" outlineLevel="0" collapsed="false">
      <c r="A57" s="50"/>
      <c r="B57" s="45"/>
      <c r="C57" s="58"/>
      <c r="D57" s="48"/>
      <c r="E57" s="58"/>
      <c r="F57" s="19" t="str">
        <f aca="false">IF(A57="","",TEXT(A57,"yyyy-mm"))</f>
        <v/>
      </c>
      <c r="G57" s="61" t="str">
        <f aca="false">IF(A57="","",A57-설정!$B$10)</f>
        <v/>
      </c>
      <c r="H57" s="46" t="str">
        <f aca="false">IF(A57="","",IF(AND(G57&gt;=0,G57&lt;=설정!$B$19),B57&amp;" D-"&amp;G57,""))</f>
        <v/>
      </c>
    </row>
    <row r="58" customFormat="false" ht="15" hidden="false" customHeight="false" outlineLevel="0" collapsed="false">
      <c r="A58" s="50"/>
      <c r="B58" s="45"/>
      <c r="C58" s="58"/>
      <c r="D58" s="48"/>
      <c r="E58" s="58"/>
      <c r="F58" s="19" t="str">
        <f aca="false">IF(A58="","",TEXT(A58,"yyyy-mm"))</f>
        <v/>
      </c>
      <c r="G58" s="61" t="str">
        <f aca="false">IF(A58="","",A58-설정!$B$10)</f>
        <v/>
      </c>
      <c r="H58" s="46" t="str">
        <f aca="false">IF(A58="","",IF(AND(G58&gt;=0,G58&lt;=설정!$B$19),B58&amp;" D-"&amp;G58,""))</f>
        <v/>
      </c>
    </row>
    <row r="59" customFormat="false" ht="15" hidden="false" customHeight="false" outlineLevel="0" collapsed="false">
      <c r="A59" s="50"/>
      <c r="B59" s="45"/>
      <c r="C59" s="58"/>
      <c r="D59" s="48"/>
      <c r="E59" s="58"/>
      <c r="F59" s="19" t="str">
        <f aca="false">IF(A59="","",TEXT(A59,"yyyy-mm"))</f>
        <v/>
      </c>
      <c r="G59" s="61" t="str">
        <f aca="false">IF(A59="","",A59-설정!$B$10)</f>
        <v/>
      </c>
      <c r="H59" s="46" t="str">
        <f aca="false">IF(A59="","",IF(AND(G59&gt;=0,G59&lt;=설정!$B$19),B59&amp;" D-"&amp;G59,""))</f>
        <v/>
      </c>
    </row>
    <row r="60" customFormat="false" ht="15" hidden="false" customHeight="false" outlineLevel="0" collapsed="false">
      <c r="A60" s="50"/>
      <c r="B60" s="45"/>
      <c r="C60" s="58"/>
      <c r="D60" s="48"/>
      <c r="E60" s="58"/>
      <c r="F60" s="19" t="str">
        <f aca="false">IF(A60="","",TEXT(A60,"yyyy-mm"))</f>
        <v/>
      </c>
      <c r="G60" s="61" t="str">
        <f aca="false">IF(A60="","",A60-설정!$B$10)</f>
        <v/>
      </c>
      <c r="H60" s="46" t="str">
        <f aca="false">IF(A60="","",IF(AND(G60&gt;=0,G60&lt;=설정!$B$19),B60&amp;" D-"&amp;G60,""))</f>
        <v/>
      </c>
    </row>
    <row r="61" customFormat="false" ht="15" hidden="false" customHeight="false" outlineLevel="0" collapsed="false">
      <c r="A61" s="50"/>
      <c r="B61" s="45"/>
      <c r="C61" s="58"/>
      <c r="D61" s="48"/>
      <c r="E61" s="58"/>
      <c r="F61" s="19" t="str">
        <f aca="false">IF(A61="","",TEXT(A61,"yyyy-mm"))</f>
        <v/>
      </c>
      <c r="G61" s="61" t="str">
        <f aca="false">IF(A61="","",A61-설정!$B$10)</f>
        <v/>
      </c>
      <c r="H61" s="46" t="str">
        <f aca="false">IF(A61="","",IF(AND(G61&gt;=0,G61&lt;=설정!$B$19),B61&amp;" D-"&amp;G61,""))</f>
        <v/>
      </c>
    </row>
    <row r="62" customFormat="false" ht="15" hidden="false" customHeight="false" outlineLevel="0" collapsed="false">
      <c r="A62" s="50"/>
      <c r="B62" s="45"/>
      <c r="C62" s="58"/>
      <c r="D62" s="48"/>
      <c r="E62" s="58"/>
      <c r="F62" s="19" t="str">
        <f aca="false">IF(A62="","",TEXT(A62,"yyyy-mm"))</f>
        <v/>
      </c>
      <c r="G62" s="61" t="str">
        <f aca="false">IF(A62="","",A62-설정!$B$10)</f>
        <v/>
      </c>
      <c r="H62" s="46" t="str">
        <f aca="false">IF(A62="","",IF(AND(G62&gt;=0,G62&lt;=설정!$B$19),B62&amp;" D-"&amp;G62,""))</f>
        <v/>
      </c>
    </row>
    <row r="63" customFormat="false" ht="15" hidden="false" customHeight="false" outlineLevel="0" collapsed="false">
      <c r="A63" s="50"/>
      <c r="B63" s="45"/>
      <c r="C63" s="58"/>
      <c r="D63" s="48"/>
      <c r="E63" s="58"/>
      <c r="F63" s="19" t="str">
        <f aca="false">IF(A63="","",TEXT(A63,"yyyy-mm"))</f>
        <v/>
      </c>
      <c r="G63" s="61" t="str">
        <f aca="false">IF(A63="","",A63-설정!$B$10)</f>
        <v/>
      </c>
      <c r="H63" s="46" t="str">
        <f aca="false">IF(A63="","",IF(AND(G63&gt;=0,G63&lt;=설정!$B$19),B63&amp;" D-"&amp;G63,""))</f>
        <v/>
      </c>
    </row>
  </sheetData>
  <dataValidations count="2">
    <dataValidation allowBlank="true" error="목록에서 선택하세요." errorStyle="stop" errorTitle="입력 확인" operator="between" showDropDown="false" showErrorMessage="false" showInputMessage="false" sqref="C4:C63" type="list">
      <formula1>"유입,유출,알림"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E4:E63" type="list">
      <formula1>설정!$L$3:$L$5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6" min="4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3" min="13" style="0" width="16"/>
  </cols>
  <sheetData>
    <row r="1" customFormat="false" ht="19.7" hidden="false" customHeight="false" outlineLevel="0" collapsed="false">
      <c r="A1" s="34" t="s">
        <v>196</v>
      </c>
    </row>
    <row r="2" customFormat="false" ht="15" hidden="false" customHeight="false" outlineLevel="0" collapsed="false">
      <c r="A2" s="33" t="s">
        <v>197</v>
      </c>
    </row>
    <row r="3" customFormat="false" ht="15" hidden="false" customHeight="false" outlineLevel="0" collapsed="false">
      <c r="A3" s="31" t="s">
        <v>62</v>
      </c>
      <c r="B3" s="31" t="s">
        <v>63</v>
      </c>
      <c r="C3" s="31" t="s">
        <v>198</v>
      </c>
      <c r="D3" s="31" t="s">
        <v>199</v>
      </c>
      <c r="E3" s="32" t="s">
        <v>200</v>
      </c>
      <c r="F3" s="32" t="s">
        <v>96</v>
      </c>
      <c r="G3" s="32" t="s">
        <v>201</v>
      </c>
      <c r="H3" s="32" t="s">
        <v>202</v>
      </c>
      <c r="I3" s="32" t="s">
        <v>25</v>
      </c>
      <c r="J3" s="32" t="s">
        <v>203</v>
      </c>
      <c r="K3" s="32" t="s">
        <v>204</v>
      </c>
      <c r="L3" s="32" t="s">
        <v>205</v>
      </c>
      <c r="M3" s="35" t="s">
        <v>87</v>
      </c>
    </row>
    <row r="4" customFormat="false" ht="15" hidden="false" customHeight="false" outlineLevel="0" collapsed="false">
      <c r="A4" s="56" t="s">
        <v>206</v>
      </c>
      <c r="B4" s="19" t="str">
        <f aca="false">IF(A4="","",IFERROR(INDEX(카테고리!$B$2:$B$200,MATCH(A4,카테고리!$A$2:$A$200,0)),"?"))</f>
        <v>고정비</v>
      </c>
      <c r="C4" s="57" t="s">
        <v>59</v>
      </c>
      <c r="D4" s="48" t="n">
        <v>320000</v>
      </c>
      <c r="E4" s="20" t="n">
        <f aca="false">IF(A4="","",IF(C4="연",D4*설정!$B$9/12,D4))</f>
        <v>320000</v>
      </c>
      <c r="F4" s="20" t="n">
        <f aca="false">IF($A4="","",IF($C4="연",SUMIFS(거래내역!$D$2:$D$5000,거래내역!$E$2:$E$5000,$A4,거래내역!$L$2:$L$5000,"&gt;="&amp;설정!$B$8,거래내역!$L$2:$L$5000,"&lt;="&amp;설정!$B$7,거래내역!$H$2:$H$5000,설정!$B$5),SUMIFS(거래내역!$D$2:$D$5000,거래내역!$E$2:$E$5000,$A4,거래내역!$B$2:$B$5000,설정!$B$3,거래내역!$H$2:$H$5000,설정!$B$5)))</f>
        <v>0</v>
      </c>
      <c r="G4" s="38" t="n">
        <f aca="false">IF(OR(A4="",N(E4)=0),"",F4/E4)</f>
        <v>0</v>
      </c>
      <c r="H4" s="20" t="n">
        <f aca="false">IF(A4="","",E4-F4)</f>
        <v>320000</v>
      </c>
      <c r="I4" s="24" t="str">
        <f aca="false">IF(OR(A4="",N(E4)=0),"",IF(G4&gt;1,"🔴 초과",IF(AND(G4&gt;=0.9,B4&lt;&gt;"고정비"),"⚠ 주의","✅ 양호")))</f>
        <v>✅ 양호</v>
      </c>
      <c r="J4" s="20" t="n">
        <f aca="false">IF($A4="","",IF($C4="연",SUMIFS(거래내역!$D$2:$D$5000,거래내역!$E$2:$E$5000,$A4,거래내역!$L$2:$L$5000,"&gt;="&amp;설정!$B$8,거래내역!$L$2:$L$5000,"&lt;="&amp;설정!$B$7,거래내역!$H$2:$H$5000,"본인"),SUMIFS(거래내역!$D$2:$D$5000,거래내역!$E$2:$E$5000,$A4,거래내역!$B$2:$B$5000,설정!$B$3,거래내역!$H$2:$H$5000,"본인")))</f>
        <v>0</v>
      </c>
      <c r="K4" s="20" t="n">
        <f aca="false">IF($A4="","",IF($C4="연",SUMIFS(거래내역!$D$2:$D$5000,거래내역!$E$2:$E$5000,$A4,거래내역!$L$2:$L$5000,"&gt;="&amp;설정!$B$8,거래내역!$L$2:$L$5000,"&lt;="&amp;설정!$B$7,거래내역!$H$2:$H$5000,"배우자"),SUMIFS(거래내역!$D$2:$D$5000,거래내역!$E$2:$E$5000,$A4,거래내역!$B$2:$B$5000,설정!$B$3,거래내역!$H$2:$H$5000,"배우자")))</f>
        <v>0</v>
      </c>
      <c r="L4" s="20" t="n">
        <f aca="false">IF($A4="","",IF($C4="연",SUMIFS(거래내역!$D$2:$D$5000,거래내역!$E$2:$E$5000,$A4,거래내역!$L$2:$L$5000,"&gt;="&amp;설정!$B$8,거래내역!$L$2:$L$5000,"&lt;="&amp;설정!$B$7,거래내역!$H$2:$H$5000,"공동"),SUMIFS(거래내역!$D$2:$D$5000,거래내역!$E$2:$E$5000,$A4,거래내역!$B$2:$B$5000,설정!$B$3,거래내역!$H$2:$H$5000,"공동")))</f>
        <v>0</v>
      </c>
      <c r="M4" s="39" t="str">
        <f aca="false">IF(ISNUMBER(SEARCH("초과",I4)),A4&amp;" "&amp;TEXT(G4,"0%"),"")</f>
        <v/>
      </c>
    </row>
    <row r="5" customFormat="false" ht="15" hidden="false" customHeight="false" outlineLevel="0" collapsed="false">
      <c r="A5" s="56" t="s">
        <v>207</v>
      </c>
      <c r="B5" s="19" t="str">
        <f aca="false">IF(A5="","",IFERROR(INDEX(카테고리!$B$2:$B$200,MATCH(A5,카테고리!$A$2:$A$200,0)),"?"))</f>
        <v>고정비</v>
      </c>
      <c r="C5" s="57" t="s">
        <v>59</v>
      </c>
      <c r="D5" s="48" t="n">
        <v>1100000</v>
      </c>
      <c r="E5" s="20" t="n">
        <f aca="false">IF(A5="","",IF(C5="연",D5*설정!$B$9/12,D5))</f>
        <v>1100000</v>
      </c>
      <c r="F5" s="20" t="n">
        <f aca="false">IF($A5="","",IF($C5="연",SUMIFS(거래내역!$D$2:$D$5000,거래내역!$E$2:$E$5000,$A5,거래내역!$L$2:$L$5000,"&gt;="&amp;설정!$B$8,거래내역!$L$2:$L$5000,"&lt;="&amp;설정!$B$7,거래내역!$H$2:$H$5000,설정!$B$5),SUMIFS(거래내역!$D$2:$D$5000,거래내역!$E$2:$E$5000,$A5,거래내역!$B$2:$B$5000,설정!$B$3,거래내역!$H$2:$H$5000,설정!$B$5)))</f>
        <v>0</v>
      </c>
      <c r="G5" s="38" t="n">
        <f aca="false">IF(OR(A5="",N(E5)=0),"",F5/E5)</f>
        <v>0</v>
      </c>
      <c r="H5" s="20" t="n">
        <f aca="false">IF(A5="","",E5-F5)</f>
        <v>1100000</v>
      </c>
      <c r="I5" s="24" t="str">
        <f aca="false">IF(OR(A5="",N(E5)=0),"",IF(G5&gt;1,"🔴 초과",IF(AND(G5&gt;=0.9,B5&lt;&gt;"고정비"),"⚠ 주의","✅ 양호")))</f>
        <v>✅ 양호</v>
      </c>
      <c r="J5" s="20" t="n">
        <f aca="false">IF($A5="","",IF($C5="연",SUMIFS(거래내역!$D$2:$D$5000,거래내역!$E$2:$E$5000,$A5,거래내역!$L$2:$L$5000,"&gt;="&amp;설정!$B$8,거래내역!$L$2:$L$5000,"&lt;="&amp;설정!$B$7,거래내역!$H$2:$H$5000,"본인"),SUMIFS(거래내역!$D$2:$D$5000,거래내역!$E$2:$E$5000,$A5,거래내역!$B$2:$B$5000,설정!$B$3,거래내역!$H$2:$H$5000,"본인")))</f>
        <v>0</v>
      </c>
      <c r="K5" s="20" t="n">
        <f aca="false">IF($A5="","",IF($C5="연",SUMIFS(거래내역!$D$2:$D$5000,거래내역!$E$2:$E$5000,$A5,거래내역!$L$2:$L$5000,"&gt;="&amp;설정!$B$8,거래내역!$L$2:$L$5000,"&lt;="&amp;설정!$B$7,거래내역!$H$2:$H$5000,"배우자"),SUMIFS(거래내역!$D$2:$D$5000,거래내역!$E$2:$E$5000,$A5,거래내역!$B$2:$B$5000,설정!$B$3,거래내역!$H$2:$H$5000,"배우자")))</f>
        <v>0</v>
      </c>
      <c r="L5" s="20" t="n">
        <f aca="false">IF($A5="","",IF($C5="연",SUMIFS(거래내역!$D$2:$D$5000,거래내역!$E$2:$E$5000,$A5,거래내역!$L$2:$L$5000,"&gt;="&amp;설정!$B$8,거래내역!$L$2:$L$5000,"&lt;="&amp;설정!$B$7,거래내역!$H$2:$H$5000,"공동"),SUMIFS(거래내역!$D$2:$D$5000,거래내역!$E$2:$E$5000,$A5,거래내역!$B$2:$B$5000,설정!$B$3,거래내역!$H$2:$H$5000,"공동")))</f>
        <v>0</v>
      </c>
      <c r="M5" s="39" t="str">
        <f aca="false">IF(ISNUMBER(SEARCH("초과",I5)),A5&amp;" "&amp;TEXT(G5,"0%"),"")</f>
        <v/>
      </c>
    </row>
    <row r="6" customFormat="false" ht="15" hidden="false" customHeight="false" outlineLevel="0" collapsed="false">
      <c r="A6" s="56" t="s">
        <v>208</v>
      </c>
      <c r="B6" s="19" t="str">
        <f aca="false">IF(A6="","",IFERROR(INDEX(카테고리!$B$2:$B$200,MATCH(A6,카테고리!$A$2:$A$200,0)),"?"))</f>
        <v>고정비</v>
      </c>
      <c r="C6" s="57" t="s">
        <v>59</v>
      </c>
      <c r="D6" s="48" t="n">
        <v>400000</v>
      </c>
      <c r="E6" s="20" t="n">
        <f aca="false">IF(A6="","",IF(C6="연",D6*설정!$B$9/12,D6))</f>
        <v>400000</v>
      </c>
      <c r="F6" s="20" t="n">
        <f aca="false">IF($A6="","",IF($C6="연",SUMIFS(거래내역!$D$2:$D$5000,거래내역!$E$2:$E$5000,$A6,거래내역!$L$2:$L$5000,"&gt;="&amp;설정!$B$8,거래내역!$L$2:$L$5000,"&lt;="&amp;설정!$B$7,거래내역!$H$2:$H$5000,설정!$B$5),SUMIFS(거래내역!$D$2:$D$5000,거래내역!$E$2:$E$5000,$A6,거래내역!$B$2:$B$5000,설정!$B$3,거래내역!$H$2:$H$5000,설정!$B$5)))</f>
        <v>0</v>
      </c>
      <c r="G6" s="38" t="n">
        <f aca="false">IF(OR(A6="",N(E6)=0),"",F6/E6)</f>
        <v>0</v>
      </c>
      <c r="H6" s="20" t="n">
        <f aca="false">IF(A6="","",E6-F6)</f>
        <v>400000</v>
      </c>
      <c r="I6" s="24" t="str">
        <f aca="false">IF(OR(A6="",N(E6)=0),"",IF(G6&gt;1,"🔴 초과",IF(AND(G6&gt;=0.9,B6&lt;&gt;"고정비"),"⚠ 주의","✅ 양호")))</f>
        <v>✅ 양호</v>
      </c>
      <c r="J6" s="20" t="n">
        <f aca="false">IF($A6="","",IF($C6="연",SUMIFS(거래내역!$D$2:$D$5000,거래내역!$E$2:$E$5000,$A6,거래내역!$L$2:$L$5000,"&gt;="&amp;설정!$B$8,거래내역!$L$2:$L$5000,"&lt;="&amp;설정!$B$7,거래내역!$H$2:$H$5000,"본인"),SUMIFS(거래내역!$D$2:$D$5000,거래내역!$E$2:$E$5000,$A6,거래내역!$B$2:$B$5000,설정!$B$3,거래내역!$H$2:$H$5000,"본인")))</f>
        <v>0</v>
      </c>
      <c r="K6" s="20" t="n">
        <f aca="false">IF($A6="","",IF($C6="연",SUMIFS(거래내역!$D$2:$D$5000,거래내역!$E$2:$E$5000,$A6,거래내역!$L$2:$L$5000,"&gt;="&amp;설정!$B$8,거래내역!$L$2:$L$5000,"&lt;="&amp;설정!$B$7,거래내역!$H$2:$H$5000,"배우자"),SUMIFS(거래내역!$D$2:$D$5000,거래내역!$E$2:$E$5000,$A6,거래내역!$B$2:$B$5000,설정!$B$3,거래내역!$H$2:$H$5000,"배우자")))</f>
        <v>0</v>
      </c>
      <c r="L6" s="20" t="n">
        <f aca="false">IF($A6="","",IF($C6="연",SUMIFS(거래내역!$D$2:$D$5000,거래내역!$E$2:$E$5000,$A6,거래내역!$L$2:$L$5000,"&gt;="&amp;설정!$B$8,거래내역!$L$2:$L$5000,"&lt;="&amp;설정!$B$7,거래내역!$H$2:$H$5000,"공동"),SUMIFS(거래내역!$D$2:$D$5000,거래내역!$E$2:$E$5000,$A6,거래내역!$B$2:$B$5000,설정!$B$3,거래내역!$H$2:$H$5000,"공동")))</f>
        <v>0</v>
      </c>
      <c r="M6" s="39" t="str">
        <f aca="false">IF(ISNUMBER(SEARCH("초과",I6)),A6&amp;" "&amp;TEXT(G6,"0%"),"")</f>
        <v/>
      </c>
    </row>
    <row r="7" customFormat="false" ht="15" hidden="false" customHeight="false" outlineLevel="0" collapsed="false">
      <c r="A7" s="56" t="s">
        <v>209</v>
      </c>
      <c r="B7" s="19" t="str">
        <f aca="false">IF(A7="","",IFERROR(INDEX(카테고리!$B$2:$B$200,MATCH(A7,카테고리!$A$2:$A$200,0)),"?"))</f>
        <v>고정비</v>
      </c>
      <c r="C7" s="57" t="s">
        <v>59</v>
      </c>
      <c r="D7" s="48" t="n">
        <v>160000</v>
      </c>
      <c r="E7" s="20" t="n">
        <f aca="false">IF(A7="","",IF(C7="연",D7*설정!$B$9/12,D7))</f>
        <v>160000</v>
      </c>
      <c r="F7" s="20" t="n">
        <f aca="false">IF($A7="","",IF($C7="연",SUMIFS(거래내역!$D$2:$D$5000,거래내역!$E$2:$E$5000,$A7,거래내역!$L$2:$L$5000,"&gt;="&amp;설정!$B$8,거래내역!$L$2:$L$5000,"&lt;="&amp;설정!$B$7,거래내역!$H$2:$H$5000,설정!$B$5),SUMIFS(거래내역!$D$2:$D$5000,거래내역!$E$2:$E$5000,$A7,거래내역!$B$2:$B$5000,설정!$B$3,거래내역!$H$2:$H$5000,설정!$B$5)))</f>
        <v>0</v>
      </c>
      <c r="G7" s="38" t="n">
        <f aca="false">IF(OR(A7="",N(E7)=0),"",F7/E7)</f>
        <v>0</v>
      </c>
      <c r="H7" s="20" t="n">
        <f aca="false">IF(A7="","",E7-F7)</f>
        <v>160000</v>
      </c>
      <c r="I7" s="24" t="str">
        <f aca="false">IF(OR(A7="",N(E7)=0),"",IF(G7&gt;1,"🔴 초과",IF(AND(G7&gt;=0.9,B7&lt;&gt;"고정비"),"⚠ 주의","✅ 양호")))</f>
        <v>✅ 양호</v>
      </c>
      <c r="J7" s="20" t="n">
        <f aca="false">IF($A7="","",IF($C7="연",SUMIFS(거래내역!$D$2:$D$5000,거래내역!$E$2:$E$5000,$A7,거래내역!$L$2:$L$5000,"&gt;="&amp;설정!$B$8,거래내역!$L$2:$L$5000,"&lt;="&amp;설정!$B$7,거래내역!$H$2:$H$5000,"본인"),SUMIFS(거래내역!$D$2:$D$5000,거래내역!$E$2:$E$5000,$A7,거래내역!$B$2:$B$5000,설정!$B$3,거래내역!$H$2:$H$5000,"본인")))</f>
        <v>0</v>
      </c>
      <c r="K7" s="20" t="n">
        <f aca="false">IF($A7="","",IF($C7="연",SUMIFS(거래내역!$D$2:$D$5000,거래내역!$E$2:$E$5000,$A7,거래내역!$L$2:$L$5000,"&gt;="&amp;설정!$B$8,거래내역!$L$2:$L$5000,"&lt;="&amp;설정!$B$7,거래내역!$H$2:$H$5000,"배우자"),SUMIFS(거래내역!$D$2:$D$5000,거래내역!$E$2:$E$5000,$A7,거래내역!$B$2:$B$5000,설정!$B$3,거래내역!$H$2:$H$5000,"배우자")))</f>
        <v>0</v>
      </c>
      <c r="L7" s="20" t="n">
        <f aca="false">IF($A7="","",IF($C7="연",SUMIFS(거래내역!$D$2:$D$5000,거래내역!$E$2:$E$5000,$A7,거래내역!$L$2:$L$5000,"&gt;="&amp;설정!$B$8,거래내역!$L$2:$L$5000,"&lt;="&amp;설정!$B$7,거래내역!$H$2:$H$5000,"공동"),SUMIFS(거래내역!$D$2:$D$5000,거래내역!$E$2:$E$5000,$A7,거래내역!$B$2:$B$5000,설정!$B$3,거래내역!$H$2:$H$5000,"공동")))</f>
        <v>0</v>
      </c>
      <c r="M7" s="39" t="str">
        <f aca="false">IF(ISNUMBER(SEARCH("초과",I7)),A7&amp;" "&amp;TEXT(G7,"0%"),"")</f>
        <v/>
      </c>
    </row>
    <row r="8" customFormat="false" ht="15" hidden="false" customHeight="false" outlineLevel="0" collapsed="false">
      <c r="A8" s="56" t="s">
        <v>210</v>
      </c>
      <c r="B8" s="19" t="str">
        <f aca="false">IF(A8="","",IFERROR(INDEX(카테고리!$B$2:$B$200,MATCH(A8,카테고리!$A$2:$A$200,0)),"?"))</f>
        <v>고정비</v>
      </c>
      <c r="C8" s="57" t="s">
        <v>59</v>
      </c>
      <c r="D8" s="48" t="n">
        <v>550000</v>
      </c>
      <c r="E8" s="20" t="n">
        <f aca="false">IF(A8="","",IF(C8="연",D8*설정!$B$9/12,D8))</f>
        <v>550000</v>
      </c>
      <c r="F8" s="20" t="n">
        <f aca="false">IF($A8="","",IF($C8="연",SUMIFS(거래내역!$D$2:$D$5000,거래내역!$E$2:$E$5000,$A8,거래내역!$L$2:$L$5000,"&gt;="&amp;설정!$B$8,거래내역!$L$2:$L$5000,"&lt;="&amp;설정!$B$7,거래내역!$H$2:$H$5000,설정!$B$5),SUMIFS(거래내역!$D$2:$D$5000,거래내역!$E$2:$E$5000,$A8,거래내역!$B$2:$B$5000,설정!$B$3,거래내역!$H$2:$H$5000,설정!$B$5)))</f>
        <v>0</v>
      </c>
      <c r="G8" s="38" t="n">
        <f aca="false">IF(OR(A8="",N(E8)=0),"",F8/E8)</f>
        <v>0</v>
      </c>
      <c r="H8" s="20" t="n">
        <f aca="false">IF(A8="","",E8-F8)</f>
        <v>550000</v>
      </c>
      <c r="I8" s="24" t="str">
        <f aca="false">IF(OR(A8="",N(E8)=0),"",IF(G8&gt;1,"🔴 초과",IF(AND(G8&gt;=0.9,B8&lt;&gt;"고정비"),"⚠ 주의","✅ 양호")))</f>
        <v>✅ 양호</v>
      </c>
      <c r="J8" s="20" t="n">
        <f aca="false">IF($A8="","",IF($C8="연",SUMIFS(거래내역!$D$2:$D$5000,거래내역!$E$2:$E$5000,$A8,거래내역!$L$2:$L$5000,"&gt;="&amp;설정!$B$8,거래내역!$L$2:$L$5000,"&lt;="&amp;설정!$B$7,거래내역!$H$2:$H$5000,"본인"),SUMIFS(거래내역!$D$2:$D$5000,거래내역!$E$2:$E$5000,$A8,거래내역!$B$2:$B$5000,설정!$B$3,거래내역!$H$2:$H$5000,"본인")))</f>
        <v>0</v>
      </c>
      <c r="K8" s="20" t="n">
        <f aca="false">IF($A8="","",IF($C8="연",SUMIFS(거래내역!$D$2:$D$5000,거래내역!$E$2:$E$5000,$A8,거래내역!$L$2:$L$5000,"&gt;="&amp;설정!$B$8,거래내역!$L$2:$L$5000,"&lt;="&amp;설정!$B$7,거래내역!$H$2:$H$5000,"배우자"),SUMIFS(거래내역!$D$2:$D$5000,거래내역!$E$2:$E$5000,$A8,거래내역!$B$2:$B$5000,설정!$B$3,거래내역!$H$2:$H$5000,"배우자")))</f>
        <v>0</v>
      </c>
      <c r="L8" s="20" t="n">
        <f aca="false">IF($A8="","",IF($C8="연",SUMIFS(거래내역!$D$2:$D$5000,거래내역!$E$2:$E$5000,$A8,거래내역!$L$2:$L$5000,"&gt;="&amp;설정!$B$8,거래내역!$L$2:$L$5000,"&lt;="&amp;설정!$B$7,거래내역!$H$2:$H$5000,"공동"),SUMIFS(거래내역!$D$2:$D$5000,거래내역!$E$2:$E$5000,$A8,거래내역!$B$2:$B$5000,설정!$B$3,거래내역!$H$2:$H$5000,"공동")))</f>
        <v>0</v>
      </c>
      <c r="M8" s="39" t="str">
        <f aca="false">IF(ISNUMBER(SEARCH("초과",I8)),A8&amp;" "&amp;TEXT(G8,"0%"),"")</f>
        <v/>
      </c>
    </row>
    <row r="9" customFormat="false" ht="15" hidden="false" customHeight="false" outlineLevel="0" collapsed="false">
      <c r="A9" s="56" t="s">
        <v>211</v>
      </c>
      <c r="B9" s="19" t="str">
        <f aca="false">IF(A9="","",IFERROR(INDEX(카테고리!$B$2:$B$200,MATCH(A9,카테고리!$A$2:$A$200,0)),"?"))</f>
        <v>고정비</v>
      </c>
      <c r="C9" s="57" t="s">
        <v>59</v>
      </c>
      <c r="D9" s="48" t="n">
        <v>50000</v>
      </c>
      <c r="E9" s="20" t="n">
        <f aca="false">IF(A9="","",IF(C9="연",D9*설정!$B$9/12,D9))</f>
        <v>50000</v>
      </c>
      <c r="F9" s="20" t="n">
        <f aca="false">IF($A9="","",IF($C9="연",SUMIFS(거래내역!$D$2:$D$5000,거래내역!$E$2:$E$5000,$A9,거래내역!$L$2:$L$5000,"&gt;="&amp;설정!$B$8,거래내역!$L$2:$L$5000,"&lt;="&amp;설정!$B$7,거래내역!$H$2:$H$5000,설정!$B$5),SUMIFS(거래내역!$D$2:$D$5000,거래내역!$E$2:$E$5000,$A9,거래내역!$B$2:$B$5000,설정!$B$3,거래내역!$H$2:$H$5000,설정!$B$5)))</f>
        <v>0</v>
      </c>
      <c r="G9" s="38" t="n">
        <f aca="false">IF(OR(A9="",N(E9)=0),"",F9/E9)</f>
        <v>0</v>
      </c>
      <c r="H9" s="20" t="n">
        <f aca="false">IF(A9="","",E9-F9)</f>
        <v>50000</v>
      </c>
      <c r="I9" s="24" t="str">
        <f aca="false">IF(OR(A9="",N(E9)=0),"",IF(G9&gt;1,"🔴 초과",IF(AND(G9&gt;=0.9,B9&lt;&gt;"고정비"),"⚠ 주의","✅ 양호")))</f>
        <v>✅ 양호</v>
      </c>
      <c r="J9" s="20" t="n">
        <f aca="false">IF($A9="","",IF($C9="연",SUMIFS(거래내역!$D$2:$D$5000,거래내역!$E$2:$E$5000,$A9,거래내역!$L$2:$L$5000,"&gt;="&amp;설정!$B$8,거래내역!$L$2:$L$5000,"&lt;="&amp;설정!$B$7,거래내역!$H$2:$H$5000,"본인"),SUMIFS(거래내역!$D$2:$D$5000,거래내역!$E$2:$E$5000,$A9,거래내역!$B$2:$B$5000,설정!$B$3,거래내역!$H$2:$H$5000,"본인")))</f>
        <v>0</v>
      </c>
      <c r="K9" s="20" t="n">
        <f aca="false">IF($A9="","",IF($C9="연",SUMIFS(거래내역!$D$2:$D$5000,거래내역!$E$2:$E$5000,$A9,거래내역!$L$2:$L$5000,"&gt;="&amp;설정!$B$8,거래내역!$L$2:$L$5000,"&lt;="&amp;설정!$B$7,거래내역!$H$2:$H$5000,"배우자"),SUMIFS(거래내역!$D$2:$D$5000,거래내역!$E$2:$E$5000,$A9,거래내역!$B$2:$B$5000,설정!$B$3,거래내역!$H$2:$H$5000,"배우자")))</f>
        <v>0</v>
      </c>
      <c r="L9" s="20" t="n">
        <f aca="false">IF($A9="","",IF($C9="연",SUMIFS(거래내역!$D$2:$D$5000,거래내역!$E$2:$E$5000,$A9,거래내역!$L$2:$L$5000,"&gt;="&amp;설정!$B$8,거래내역!$L$2:$L$5000,"&lt;="&amp;설정!$B$7,거래내역!$H$2:$H$5000,"공동"),SUMIFS(거래내역!$D$2:$D$5000,거래내역!$E$2:$E$5000,$A9,거래내역!$B$2:$B$5000,설정!$B$3,거래내역!$H$2:$H$5000,"공동")))</f>
        <v>0</v>
      </c>
      <c r="M9" s="39" t="str">
        <f aca="false">IF(ISNUMBER(SEARCH("초과",I9)),A9&amp;" "&amp;TEXT(G9,"0%"),"")</f>
        <v/>
      </c>
    </row>
    <row r="10" customFormat="false" ht="15" hidden="false" customHeight="false" outlineLevel="0" collapsed="false">
      <c r="A10" s="56" t="s">
        <v>212</v>
      </c>
      <c r="B10" s="19" t="str">
        <f aca="false">IF(A10="","",IFERROR(INDEX(카테고리!$B$2:$B$200,MATCH(A10,카테고리!$A$2:$A$200,0)),"?"))</f>
        <v>변동비</v>
      </c>
      <c r="C10" s="57" t="s">
        <v>59</v>
      </c>
      <c r="D10" s="48" t="n">
        <v>900000</v>
      </c>
      <c r="E10" s="20" t="n">
        <f aca="false">IF(A10="","",IF(C10="연",D10*설정!$B$9/12,D10))</f>
        <v>900000</v>
      </c>
      <c r="F10" s="20" t="n">
        <f aca="false">IF($A10="","",IF($C10="연",SUMIFS(거래내역!$D$2:$D$5000,거래내역!$E$2:$E$5000,$A10,거래내역!$L$2:$L$5000,"&gt;="&amp;설정!$B$8,거래내역!$L$2:$L$5000,"&lt;="&amp;설정!$B$7,거래내역!$H$2:$H$5000,설정!$B$5),SUMIFS(거래내역!$D$2:$D$5000,거래내역!$E$2:$E$5000,$A10,거래내역!$B$2:$B$5000,설정!$B$3,거래내역!$H$2:$H$5000,설정!$B$5)))</f>
        <v>0</v>
      </c>
      <c r="G10" s="38" t="n">
        <f aca="false">IF(OR(A10="",N(E10)=0),"",F10/E10)</f>
        <v>0</v>
      </c>
      <c r="H10" s="20" t="n">
        <f aca="false">IF(A10="","",E10-F10)</f>
        <v>900000</v>
      </c>
      <c r="I10" s="24" t="str">
        <f aca="false">IF(OR(A10="",N(E10)=0),"",IF(G10&gt;1,"🔴 초과",IF(AND(G10&gt;=0.9,B10&lt;&gt;"고정비"),"⚠ 주의","✅ 양호")))</f>
        <v>✅ 양호</v>
      </c>
      <c r="J10" s="20" t="n">
        <f aca="false">IF($A10="","",IF($C10="연",SUMIFS(거래내역!$D$2:$D$5000,거래내역!$E$2:$E$5000,$A10,거래내역!$L$2:$L$5000,"&gt;="&amp;설정!$B$8,거래내역!$L$2:$L$5000,"&lt;="&amp;설정!$B$7,거래내역!$H$2:$H$5000,"본인"),SUMIFS(거래내역!$D$2:$D$5000,거래내역!$E$2:$E$5000,$A10,거래내역!$B$2:$B$5000,설정!$B$3,거래내역!$H$2:$H$5000,"본인")))</f>
        <v>0</v>
      </c>
      <c r="K10" s="20" t="n">
        <f aca="false">IF($A10="","",IF($C10="연",SUMIFS(거래내역!$D$2:$D$5000,거래내역!$E$2:$E$5000,$A10,거래내역!$L$2:$L$5000,"&gt;="&amp;설정!$B$8,거래내역!$L$2:$L$5000,"&lt;="&amp;설정!$B$7,거래내역!$H$2:$H$5000,"배우자"),SUMIFS(거래내역!$D$2:$D$5000,거래내역!$E$2:$E$5000,$A10,거래내역!$B$2:$B$5000,설정!$B$3,거래내역!$H$2:$H$5000,"배우자")))</f>
        <v>0</v>
      </c>
      <c r="L10" s="20" t="n">
        <f aca="false">IF($A10="","",IF($C10="연",SUMIFS(거래내역!$D$2:$D$5000,거래내역!$E$2:$E$5000,$A10,거래내역!$L$2:$L$5000,"&gt;="&amp;설정!$B$8,거래내역!$L$2:$L$5000,"&lt;="&amp;설정!$B$7,거래내역!$H$2:$H$5000,"공동"),SUMIFS(거래내역!$D$2:$D$5000,거래내역!$E$2:$E$5000,$A10,거래내역!$B$2:$B$5000,설정!$B$3,거래내역!$H$2:$H$5000,"공동")))</f>
        <v>0</v>
      </c>
      <c r="M10" s="39" t="str">
        <f aca="false">IF(ISNUMBER(SEARCH("초과",I10)),A10&amp;" "&amp;TEXT(G10,"0%"),"")</f>
        <v/>
      </c>
    </row>
    <row r="11" customFormat="false" ht="15" hidden="false" customHeight="false" outlineLevel="0" collapsed="false">
      <c r="A11" s="56" t="s">
        <v>213</v>
      </c>
      <c r="B11" s="19" t="str">
        <f aca="false">IF(A11="","",IFERROR(INDEX(카테고리!$B$2:$B$200,MATCH(A11,카테고리!$A$2:$A$200,0)),"?"))</f>
        <v>변동비</v>
      </c>
      <c r="C11" s="57" t="s">
        <v>59</v>
      </c>
      <c r="D11" s="48" t="n">
        <v>400000</v>
      </c>
      <c r="E11" s="20" t="n">
        <f aca="false">IF(A11="","",IF(C11="연",D11*설정!$B$9/12,D11))</f>
        <v>400000</v>
      </c>
      <c r="F11" s="20" t="n">
        <f aca="false">IF($A11="","",IF($C11="연",SUMIFS(거래내역!$D$2:$D$5000,거래내역!$E$2:$E$5000,$A11,거래내역!$L$2:$L$5000,"&gt;="&amp;설정!$B$8,거래내역!$L$2:$L$5000,"&lt;="&amp;설정!$B$7,거래내역!$H$2:$H$5000,설정!$B$5),SUMIFS(거래내역!$D$2:$D$5000,거래내역!$E$2:$E$5000,$A11,거래내역!$B$2:$B$5000,설정!$B$3,거래내역!$H$2:$H$5000,설정!$B$5)))</f>
        <v>0</v>
      </c>
      <c r="G11" s="38" t="n">
        <f aca="false">IF(OR(A11="",N(E11)=0),"",F11/E11)</f>
        <v>0</v>
      </c>
      <c r="H11" s="20" t="n">
        <f aca="false">IF(A11="","",E11-F11)</f>
        <v>400000</v>
      </c>
      <c r="I11" s="24" t="str">
        <f aca="false">IF(OR(A11="",N(E11)=0),"",IF(G11&gt;1,"🔴 초과",IF(AND(G11&gt;=0.9,B11&lt;&gt;"고정비"),"⚠ 주의","✅ 양호")))</f>
        <v>✅ 양호</v>
      </c>
      <c r="J11" s="20" t="n">
        <f aca="false">IF($A11="","",IF($C11="연",SUMIFS(거래내역!$D$2:$D$5000,거래내역!$E$2:$E$5000,$A11,거래내역!$L$2:$L$5000,"&gt;="&amp;설정!$B$8,거래내역!$L$2:$L$5000,"&lt;="&amp;설정!$B$7,거래내역!$H$2:$H$5000,"본인"),SUMIFS(거래내역!$D$2:$D$5000,거래내역!$E$2:$E$5000,$A11,거래내역!$B$2:$B$5000,설정!$B$3,거래내역!$H$2:$H$5000,"본인")))</f>
        <v>0</v>
      </c>
      <c r="K11" s="20" t="n">
        <f aca="false">IF($A11="","",IF($C11="연",SUMIFS(거래내역!$D$2:$D$5000,거래내역!$E$2:$E$5000,$A11,거래내역!$L$2:$L$5000,"&gt;="&amp;설정!$B$8,거래내역!$L$2:$L$5000,"&lt;="&amp;설정!$B$7,거래내역!$H$2:$H$5000,"배우자"),SUMIFS(거래내역!$D$2:$D$5000,거래내역!$E$2:$E$5000,$A11,거래내역!$B$2:$B$5000,설정!$B$3,거래내역!$H$2:$H$5000,"배우자")))</f>
        <v>0</v>
      </c>
      <c r="L11" s="20" t="n">
        <f aca="false">IF($A11="","",IF($C11="연",SUMIFS(거래내역!$D$2:$D$5000,거래내역!$E$2:$E$5000,$A11,거래내역!$L$2:$L$5000,"&gt;="&amp;설정!$B$8,거래내역!$L$2:$L$5000,"&lt;="&amp;설정!$B$7,거래내역!$H$2:$H$5000,"공동"),SUMIFS(거래내역!$D$2:$D$5000,거래내역!$E$2:$E$5000,$A11,거래내역!$B$2:$B$5000,설정!$B$3,거래내역!$H$2:$H$5000,"공동")))</f>
        <v>0</v>
      </c>
      <c r="M11" s="39" t="str">
        <f aca="false">IF(ISNUMBER(SEARCH("초과",I11)),A11&amp;" "&amp;TEXT(G11,"0%"),"")</f>
        <v/>
      </c>
    </row>
    <row r="12" customFormat="false" ht="15" hidden="false" customHeight="false" outlineLevel="0" collapsed="false">
      <c r="A12" s="56" t="s">
        <v>214</v>
      </c>
      <c r="B12" s="19" t="str">
        <f aca="false">IF(A12="","",IFERROR(INDEX(카테고리!$B$2:$B$200,MATCH(A12,카테고리!$A$2:$A$200,0)),"?"))</f>
        <v>변동비</v>
      </c>
      <c r="C12" s="57" t="s">
        <v>59</v>
      </c>
      <c r="D12" s="48" t="n">
        <v>250000</v>
      </c>
      <c r="E12" s="20" t="n">
        <f aca="false">IF(A12="","",IF(C12="연",D12*설정!$B$9/12,D12))</f>
        <v>250000</v>
      </c>
      <c r="F12" s="20" t="n">
        <f aca="false">IF($A12="","",IF($C12="연",SUMIFS(거래내역!$D$2:$D$5000,거래내역!$E$2:$E$5000,$A12,거래내역!$L$2:$L$5000,"&gt;="&amp;설정!$B$8,거래내역!$L$2:$L$5000,"&lt;="&amp;설정!$B$7,거래내역!$H$2:$H$5000,설정!$B$5),SUMIFS(거래내역!$D$2:$D$5000,거래내역!$E$2:$E$5000,$A12,거래내역!$B$2:$B$5000,설정!$B$3,거래내역!$H$2:$H$5000,설정!$B$5)))</f>
        <v>0</v>
      </c>
      <c r="G12" s="38" t="n">
        <f aca="false">IF(OR(A12="",N(E12)=0),"",F12/E12)</f>
        <v>0</v>
      </c>
      <c r="H12" s="20" t="n">
        <f aca="false">IF(A12="","",E12-F12)</f>
        <v>250000</v>
      </c>
      <c r="I12" s="24" t="str">
        <f aca="false">IF(OR(A12="",N(E12)=0),"",IF(G12&gt;1,"🔴 초과",IF(AND(G12&gt;=0.9,B12&lt;&gt;"고정비"),"⚠ 주의","✅ 양호")))</f>
        <v>✅ 양호</v>
      </c>
      <c r="J12" s="20" t="n">
        <f aca="false">IF($A12="","",IF($C12="연",SUMIFS(거래내역!$D$2:$D$5000,거래내역!$E$2:$E$5000,$A12,거래내역!$L$2:$L$5000,"&gt;="&amp;설정!$B$8,거래내역!$L$2:$L$5000,"&lt;="&amp;설정!$B$7,거래내역!$H$2:$H$5000,"본인"),SUMIFS(거래내역!$D$2:$D$5000,거래내역!$E$2:$E$5000,$A12,거래내역!$B$2:$B$5000,설정!$B$3,거래내역!$H$2:$H$5000,"본인")))</f>
        <v>0</v>
      </c>
      <c r="K12" s="20" t="n">
        <f aca="false">IF($A12="","",IF($C12="연",SUMIFS(거래내역!$D$2:$D$5000,거래내역!$E$2:$E$5000,$A12,거래내역!$L$2:$L$5000,"&gt;="&amp;설정!$B$8,거래내역!$L$2:$L$5000,"&lt;="&amp;설정!$B$7,거래내역!$H$2:$H$5000,"배우자"),SUMIFS(거래내역!$D$2:$D$5000,거래내역!$E$2:$E$5000,$A12,거래내역!$B$2:$B$5000,설정!$B$3,거래내역!$H$2:$H$5000,"배우자")))</f>
        <v>0</v>
      </c>
      <c r="L12" s="20" t="n">
        <f aca="false">IF($A12="","",IF($C12="연",SUMIFS(거래내역!$D$2:$D$5000,거래내역!$E$2:$E$5000,$A12,거래내역!$L$2:$L$5000,"&gt;="&amp;설정!$B$8,거래내역!$L$2:$L$5000,"&lt;="&amp;설정!$B$7,거래내역!$H$2:$H$5000,"공동"),SUMIFS(거래내역!$D$2:$D$5000,거래내역!$E$2:$E$5000,$A12,거래내역!$B$2:$B$5000,설정!$B$3,거래내역!$H$2:$H$5000,"공동")))</f>
        <v>0</v>
      </c>
      <c r="M12" s="39" t="str">
        <f aca="false">IF(ISNUMBER(SEARCH("초과",I12)),A12&amp;" "&amp;TEXT(G12,"0%"),"")</f>
        <v/>
      </c>
    </row>
    <row r="13" customFormat="false" ht="15" hidden="false" customHeight="false" outlineLevel="0" collapsed="false">
      <c r="A13" s="56" t="s">
        <v>215</v>
      </c>
      <c r="B13" s="19" t="str">
        <f aca="false">IF(A13="","",IFERROR(INDEX(카테고리!$B$2:$B$200,MATCH(A13,카테고리!$A$2:$A$200,0)),"?"))</f>
        <v>변동비</v>
      </c>
      <c r="C13" s="57" t="s">
        <v>59</v>
      </c>
      <c r="D13" s="48" t="n">
        <v>330000</v>
      </c>
      <c r="E13" s="20" t="n">
        <f aca="false">IF(A13="","",IF(C13="연",D13*설정!$B$9/12,D13))</f>
        <v>330000</v>
      </c>
      <c r="F13" s="20" t="n">
        <f aca="false">IF($A13="","",IF($C13="연",SUMIFS(거래내역!$D$2:$D$5000,거래내역!$E$2:$E$5000,$A13,거래내역!$L$2:$L$5000,"&gt;="&amp;설정!$B$8,거래내역!$L$2:$L$5000,"&lt;="&amp;설정!$B$7,거래내역!$H$2:$H$5000,설정!$B$5),SUMIFS(거래내역!$D$2:$D$5000,거래내역!$E$2:$E$5000,$A13,거래내역!$B$2:$B$5000,설정!$B$3,거래내역!$H$2:$H$5000,설정!$B$5)))</f>
        <v>0</v>
      </c>
      <c r="G13" s="38" t="n">
        <f aca="false">IF(OR(A13="",N(E13)=0),"",F13/E13)</f>
        <v>0</v>
      </c>
      <c r="H13" s="20" t="n">
        <f aca="false">IF(A13="","",E13-F13)</f>
        <v>330000</v>
      </c>
      <c r="I13" s="24" t="str">
        <f aca="false">IF(OR(A13="",N(E13)=0),"",IF(G13&gt;1,"🔴 초과",IF(AND(G13&gt;=0.9,B13&lt;&gt;"고정비"),"⚠ 주의","✅ 양호")))</f>
        <v>✅ 양호</v>
      </c>
      <c r="J13" s="20" t="n">
        <f aca="false">IF($A13="","",IF($C13="연",SUMIFS(거래내역!$D$2:$D$5000,거래내역!$E$2:$E$5000,$A13,거래내역!$L$2:$L$5000,"&gt;="&amp;설정!$B$8,거래내역!$L$2:$L$5000,"&lt;="&amp;설정!$B$7,거래내역!$H$2:$H$5000,"본인"),SUMIFS(거래내역!$D$2:$D$5000,거래내역!$E$2:$E$5000,$A13,거래내역!$B$2:$B$5000,설정!$B$3,거래내역!$H$2:$H$5000,"본인")))</f>
        <v>0</v>
      </c>
      <c r="K13" s="20" t="n">
        <f aca="false">IF($A13="","",IF($C13="연",SUMIFS(거래내역!$D$2:$D$5000,거래내역!$E$2:$E$5000,$A13,거래내역!$L$2:$L$5000,"&gt;="&amp;설정!$B$8,거래내역!$L$2:$L$5000,"&lt;="&amp;설정!$B$7,거래내역!$H$2:$H$5000,"배우자"),SUMIFS(거래내역!$D$2:$D$5000,거래내역!$E$2:$E$5000,$A13,거래내역!$B$2:$B$5000,설정!$B$3,거래내역!$H$2:$H$5000,"배우자")))</f>
        <v>0</v>
      </c>
      <c r="L13" s="20" t="n">
        <f aca="false">IF($A13="","",IF($C13="연",SUMIFS(거래내역!$D$2:$D$5000,거래내역!$E$2:$E$5000,$A13,거래내역!$L$2:$L$5000,"&gt;="&amp;설정!$B$8,거래내역!$L$2:$L$5000,"&lt;="&amp;설정!$B$7,거래내역!$H$2:$H$5000,"공동"),SUMIFS(거래내역!$D$2:$D$5000,거래내역!$E$2:$E$5000,$A13,거래내역!$B$2:$B$5000,설정!$B$3,거래내역!$H$2:$H$5000,"공동")))</f>
        <v>0</v>
      </c>
      <c r="M13" s="39" t="str">
        <f aca="false">IF(ISNUMBER(SEARCH("초과",I13)),A13&amp;" "&amp;TEXT(G13,"0%"),"")</f>
        <v/>
      </c>
    </row>
    <row r="14" customFormat="false" ht="15" hidden="false" customHeight="false" outlineLevel="0" collapsed="false">
      <c r="A14" s="56" t="s">
        <v>216</v>
      </c>
      <c r="B14" s="19" t="str">
        <f aca="false">IF(A14="","",IFERROR(INDEX(카테고리!$B$2:$B$200,MATCH(A14,카테고리!$A$2:$A$200,0)),"?"))</f>
        <v>변동비</v>
      </c>
      <c r="C14" s="57" t="s">
        <v>59</v>
      </c>
      <c r="D14" s="48" t="n">
        <v>300000</v>
      </c>
      <c r="E14" s="20" t="n">
        <f aca="false">IF(A14="","",IF(C14="연",D14*설정!$B$9/12,D14))</f>
        <v>300000</v>
      </c>
      <c r="F14" s="20" t="n">
        <f aca="false">IF($A14="","",IF($C14="연",SUMIFS(거래내역!$D$2:$D$5000,거래내역!$E$2:$E$5000,$A14,거래내역!$L$2:$L$5000,"&gt;="&amp;설정!$B$8,거래내역!$L$2:$L$5000,"&lt;="&amp;설정!$B$7,거래내역!$H$2:$H$5000,설정!$B$5),SUMIFS(거래내역!$D$2:$D$5000,거래내역!$E$2:$E$5000,$A14,거래내역!$B$2:$B$5000,설정!$B$3,거래내역!$H$2:$H$5000,설정!$B$5)))</f>
        <v>0</v>
      </c>
      <c r="G14" s="38" t="n">
        <f aca="false">IF(OR(A14="",N(E14)=0),"",F14/E14)</f>
        <v>0</v>
      </c>
      <c r="H14" s="20" t="n">
        <f aca="false">IF(A14="","",E14-F14)</f>
        <v>300000</v>
      </c>
      <c r="I14" s="24" t="str">
        <f aca="false">IF(OR(A14="",N(E14)=0),"",IF(G14&gt;1,"🔴 초과",IF(AND(G14&gt;=0.9,B14&lt;&gt;"고정비"),"⚠ 주의","✅ 양호")))</f>
        <v>✅ 양호</v>
      </c>
      <c r="J14" s="20" t="n">
        <f aca="false">IF($A14="","",IF($C14="연",SUMIFS(거래내역!$D$2:$D$5000,거래내역!$E$2:$E$5000,$A14,거래내역!$L$2:$L$5000,"&gt;="&amp;설정!$B$8,거래내역!$L$2:$L$5000,"&lt;="&amp;설정!$B$7,거래내역!$H$2:$H$5000,"본인"),SUMIFS(거래내역!$D$2:$D$5000,거래내역!$E$2:$E$5000,$A14,거래내역!$B$2:$B$5000,설정!$B$3,거래내역!$H$2:$H$5000,"본인")))</f>
        <v>0</v>
      </c>
      <c r="K14" s="20" t="n">
        <f aca="false">IF($A14="","",IF($C14="연",SUMIFS(거래내역!$D$2:$D$5000,거래내역!$E$2:$E$5000,$A14,거래내역!$L$2:$L$5000,"&gt;="&amp;설정!$B$8,거래내역!$L$2:$L$5000,"&lt;="&amp;설정!$B$7,거래내역!$H$2:$H$5000,"배우자"),SUMIFS(거래내역!$D$2:$D$5000,거래내역!$E$2:$E$5000,$A14,거래내역!$B$2:$B$5000,설정!$B$3,거래내역!$H$2:$H$5000,"배우자")))</f>
        <v>0</v>
      </c>
      <c r="L14" s="20" t="n">
        <f aca="false">IF($A14="","",IF($C14="연",SUMIFS(거래내역!$D$2:$D$5000,거래내역!$E$2:$E$5000,$A14,거래내역!$L$2:$L$5000,"&gt;="&amp;설정!$B$8,거래내역!$L$2:$L$5000,"&lt;="&amp;설정!$B$7,거래내역!$H$2:$H$5000,"공동"),SUMIFS(거래내역!$D$2:$D$5000,거래내역!$E$2:$E$5000,$A14,거래내역!$B$2:$B$5000,설정!$B$3,거래내역!$H$2:$H$5000,"공동")))</f>
        <v>0</v>
      </c>
      <c r="M14" s="39" t="str">
        <f aca="false">IF(ISNUMBER(SEARCH("초과",I14)),A14&amp;" "&amp;TEXT(G14,"0%"),"")</f>
        <v/>
      </c>
    </row>
    <row r="15" customFormat="false" ht="15" hidden="false" customHeight="false" outlineLevel="0" collapsed="false">
      <c r="A15" s="56" t="s">
        <v>217</v>
      </c>
      <c r="B15" s="19" t="str">
        <f aca="false">IF(A15="","",IFERROR(INDEX(카테고리!$B$2:$B$200,MATCH(A15,카테고리!$A$2:$A$200,0)),"?"))</f>
        <v>변동비</v>
      </c>
      <c r="C15" s="57" t="s">
        <v>59</v>
      </c>
      <c r="D15" s="48" t="n">
        <v>120000</v>
      </c>
      <c r="E15" s="20" t="n">
        <f aca="false">IF(A15="","",IF(C15="연",D15*설정!$B$9/12,D15))</f>
        <v>120000</v>
      </c>
      <c r="F15" s="20" t="n">
        <f aca="false">IF($A15="","",IF($C15="연",SUMIFS(거래내역!$D$2:$D$5000,거래내역!$E$2:$E$5000,$A15,거래내역!$L$2:$L$5000,"&gt;="&amp;설정!$B$8,거래내역!$L$2:$L$5000,"&lt;="&amp;설정!$B$7,거래내역!$H$2:$H$5000,설정!$B$5),SUMIFS(거래내역!$D$2:$D$5000,거래내역!$E$2:$E$5000,$A15,거래내역!$B$2:$B$5000,설정!$B$3,거래내역!$H$2:$H$5000,설정!$B$5)))</f>
        <v>0</v>
      </c>
      <c r="G15" s="38" t="n">
        <f aca="false">IF(OR(A15="",N(E15)=0),"",F15/E15)</f>
        <v>0</v>
      </c>
      <c r="H15" s="20" t="n">
        <f aca="false">IF(A15="","",E15-F15)</f>
        <v>120000</v>
      </c>
      <c r="I15" s="24" t="str">
        <f aca="false">IF(OR(A15="",N(E15)=0),"",IF(G15&gt;1,"🔴 초과",IF(AND(G15&gt;=0.9,B15&lt;&gt;"고정비"),"⚠ 주의","✅ 양호")))</f>
        <v>✅ 양호</v>
      </c>
      <c r="J15" s="20" t="n">
        <f aca="false">IF($A15="","",IF($C15="연",SUMIFS(거래내역!$D$2:$D$5000,거래내역!$E$2:$E$5000,$A15,거래내역!$L$2:$L$5000,"&gt;="&amp;설정!$B$8,거래내역!$L$2:$L$5000,"&lt;="&amp;설정!$B$7,거래내역!$H$2:$H$5000,"본인"),SUMIFS(거래내역!$D$2:$D$5000,거래내역!$E$2:$E$5000,$A15,거래내역!$B$2:$B$5000,설정!$B$3,거래내역!$H$2:$H$5000,"본인")))</f>
        <v>0</v>
      </c>
      <c r="K15" s="20" t="n">
        <f aca="false">IF($A15="","",IF($C15="연",SUMIFS(거래내역!$D$2:$D$5000,거래내역!$E$2:$E$5000,$A15,거래내역!$L$2:$L$5000,"&gt;="&amp;설정!$B$8,거래내역!$L$2:$L$5000,"&lt;="&amp;설정!$B$7,거래내역!$H$2:$H$5000,"배우자"),SUMIFS(거래내역!$D$2:$D$5000,거래내역!$E$2:$E$5000,$A15,거래내역!$B$2:$B$5000,설정!$B$3,거래내역!$H$2:$H$5000,"배우자")))</f>
        <v>0</v>
      </c>
      <c r="L15" s="20" t="n">
        <f aca="false">IF($A15="","",IF($C15="연",SUMIFS(거래내역!$D$2:$D$5000,거래내역!$E$2:$E$5000,$A15,거래내역!$L$2:$L$5000,"&gt;="&amp;설정!$B$8,거래내역!$L$2:$L$5000,"&lt;="&amp;설정!$B$7,거래내역!$H$2:$H$5000,"공동"),SUMIFS(거래내역!$D$2:$D$5000,거래내역!$E$2:$E$5000,$A15,거래내역!$B$2:$B$5000,설정!$B$3,거래내역!$H$2:$H$5000,"공동")))</f>
        <v>0</v>
      </c>
      <c r="M15" s="39" t="str">
        <f aca="false">IF(ISNUMBER(SEARCH("초과",I15)),A15&amp;" "&amp;TEXT(G15,"0%"),"")</f>
        <v/>
      </c>
    </row>
    <row r="16" customFormat="false" ht="15" hidden="false" customHeight="false" outlineLevel="0" collapsed="false">
      <c r="A16" s="56" t="s">
        <v>218</v>
      </c>
      <c r="B16" s="19" t="str">
        <f aca="false">IF(A16="","",IFERROR(INDEX(카테고리!$B$2:$B$200,MATCH(A16,카테고리!$A$2:$A$200,0)),"?"))</f>
        <v>변동비</v>
      </c>
      <c r="C16" s="57" t="s">
        <v>59</v>
      </c>
      <c r="D16" s="48" t="n">
        <v>200000</v>
      </c>
      <c r="E16" s="20" t="n">
        <f aca="false">IF(A16="","",IF(C16="연",D16*설정!$B$9/12,D16))</f>
        <v>200000</v>
      </c>
      <c r="F16" s="20" t="n">
        <f aca="false">IF($A16="","",IF($C16="연",SUMIFS(거래내역!$D$2:$D$5000,거래내역!$E$2:$E$5000,$A16,거래내역!$L$2:$L$5000,"&gt;="&amp;설정!$B$8,거래내역!$L$2:$L$5000,"&lt;="&amp;설정!$B$7,거래내역!$H$2:$H$5000,설정!$B$5),SUMIFS(거래내역!$D$2:$D$5000,거래내역!$E$2:$E$5000,$A16,거래내역!$B$2:$B$5000,설정!$B$3,거래내역!$H$2:$H$5000,설정!$B$5)))</f>
        <v>0</v>
      </c>
      <c r="G16" s="38" t="n">
        <f aca="false">IF(OR(A16="",N(E16)=0),"",F16/E16)</f>
        <v>0</v>
      </c>
      <c r="H16" s="20" t="n">
        <f aca="false">IF(A16="","",E16-F16)</f>
        <v>200000</v>
      </c>
      <c r="I16" s="24" t="str">
        <f aca="false">IF(OR(A16="",N(E16)=0),"",IF(G16&gt;1,"🔴 초과",IF(AND(G16&gt;=0.9,B16&lt;&gt;"고정비"),"⚠ 주의","✅ 양호")))</f>
        <v>✅ 양호</v>
      </c>
      <c r="J16" s="20" t="n">
        <f aca="false">IF($A16="","",IF($C16="연",SUMIFS(거래내역!$D$2:$D$5000,거래내역!$E$2:$E$5000,$A16,거래내역!$L$2:$L$5000,"&gt;="&amp;설정!$B$8,거래내역!$L$2:$L$5000,"&lt;="&amp;설정!$B$7,거래내역!$H$2:$H$5000,"본인"),SUMIFS(거래내역!$D$2:$D$5000,거래내역!$E$2:$E$5000,$A16,거래내역!$B$2:$B$5000,설정!$B$3,거래내역!$H$2:$H$5000,"본인")))</f>
        <v>0</v>
      </c>
      <c r="K16" s="20" t="n">
        <f aca="false">IF($A16="","",IF($C16="연",SUMIFS(거래내역!$D$2:$D$5000,거래내역!$E$2:$E$5000,$A16,거래내역!$L$2:$L$5000,"&gt;="&amp;설정!$B$8,거래내역!$L$2:$L$5000,"&lt;="&amp;설정!$B$7,거래내역!$H$2:$H$5000,"배우자"),SUMIFS(거래내역!$D$2:$D$5000,거래내역!$E$2:$E$5000,$A16,거래내역!$B$2:$B$5000,설정!$B$3,거래내역!$H$2:$H$5000,"배우자")))</f>
        <v>0</v>
      </c>
      <c r="L16" s="20" t="n">
        <f aca="false">IF($A16="","",IF($C16="연",SUMIFS(거래내역!$D$2:$D$5000,거래내역!$E$2:$E$5000,$A16,거래내역!$L$2:$L$5000,"&gt;="&amp;설정!$B$8,거래내역!$L$2:$L$5000,"&lt;="&amp;설정!$B$7,거래내역!$H$2:$H$5000,"공동"),SUMIFS(거래내역!$D$2:$D$5000,거래내역!$E$2:$E$5000,$A16,거래내역!$B$2:$B$5000,설정!$B$3,거래내역!$H$2:$H$5000,"공동")))</f>
        <v>0</v>
      </c>
      <c r="M16" s="39" t="str">
        <f aca="false">IF(ISNUMBER(SEARCH("초과",I16)),A16&amp;" "&amp;TEXT(G16,"0%"),"")</f>
        <v/>
      </c>
    </row>
    <row r="17" customFormat="false" ht="15" hidden="false" customHeight="false" outlineLevel="0" collapsed="false">
      <c r="A17" s="56" t="s">
        <v>219</v>
      </c>
      <c r="B17" s="19" t="str">
        <f aca="false">IF(A17="","",IFERROR(INDEX(카테고리!$B$2:$B$200,MATCH(A17,카테고리!$A$2:$A$200,0)),"?"))</f>
        <v>변동비</v>
      </c>
      <c r="C17" s="57" t="s">
        <v>59</v>
      </c>
      <c r="D17" s="48" t="n">
        <v>600000</v>
      </c>
      <c r="E17" s="20" t="n">
        <f aca="false">IF(A17="","",IF(C17="연",D17*설정!$B$9/12,D17))</f>
        <v>600000</v>
      </c>
      <c r="F17" s="20" t="n">
        <f aca="false">IF($A17="","",IF($C17="연",SUMIFS(거래내역!$D$2:$D$5000,거래내역!$E$2:$E$5000,$A17,거래내역!$L$2:$L$5000,"&gt;="&amp;설정!$B$8,거래내역!$L$2:$L$5000,"&lt;="&amp;설정!$B$7,거래내역!$H$2:$H$5000,설정!$B$5),SUMIFS(거래내역!$D$2:$D$5000,거래내역!$E$2:$E$5000,$A17,거래내역!$B$2:$B$5000,설정!$B$3,거래내역!$H$2:$H$5000,설정!$B$5)))</f>
        <v>0</v>
      </c>
      <c r="G17" s="38" t="n">
        <f aca="false">IF(OR(A17="",N(E17)=0),"",F17/E17)</f>
        <v>0</v>
      </c>
      <c r="H17" s="20" t="n">
        <f aca="false">IF(A17="","",E17-F17)</f>
        <v>600000</v>
      </c>
      <c r="I17" s="24" t="str">
        <f aca="false">IF(OR(A17="",N(E17)=0),"",IF(G17&gt;1,"🔴 초과",IF(AND(G17&gt;=0.9,B17&lt;&gt;"고정비"),"⚠ 주의","✅ 양호")))</f>
        <v>✅ 양호</v>
      </c>
      <c r="J17" s="20" t="n">
        <f aca="false">IF($A17="","",IF($C17="연",SUMIFS(거래내역!$D$2:$D$5000,거래내역!$E$2:$E$5000,$A17,거래내역!$L$2:$L$5000,"&gt;="&amp;설정!$B$8,거래내역!$L$2:$L$5000,"&lt;="&amp;설정!$B$7,거래내역!$H$2:$H$5000,"본인"),SUMIFS(거래내역!$D$2:$D$5000,거래내역!$E$2:$E$5000,$A17,거래내역!$B$2:$B$5000,설정!$B$3,거래내역!$H$2:$H$5000,"본인")))</f>
        <v>0</v>
      </c>
      <c r="K17" s="20" t="n">
        <f aca="false">IF($A17="","",IF($C17="연",SUMIFS(거래내역!$D$2:$D$5000,거래내역!$E$2:$E$5000,$A17,거래내역!$L$2:$L$5000,"&gt;="&amp;설정!$B$8,거래내역!$L$2:$L$5000,"&lt;="&amp;설정!$B$7,거래내역!$H$2:$H$5000,"배우자"),SUMIFS(거래내역!$D$2:$D$5000,거래내역!$E$2:$E$5000,$A17,거래내역!$B$2:$B$5000,설정!$B$3,거래내역!$H$2:$H$5000,"배우자")))</f>
        <v>0</v>
      </c>
      <c r="L17" s="20" t="n">
        <f aca="false">IF($A17="","",IF($C17="연",SUMIFS(거래내역!$D$2:$D$5000,거래내역!$E$2:$E$5000,$A17,거래내역!$L$2:$L$5000,"&gt;="&amp;설정!$B$8,거래내역!$L$2:$L$5000,"&lt;="&amp;설정!$B$7,거래내역!$H$2:$H$5000,"공동"),SUMIFS(거래내역!$D$2:$D$5000,거래내역!$E$2:$E$5000,$A17,거래내역!$B$2:$B$5000,설정!$B$3,거래내역!$H$2:$H$5000,"공동")))</f>
        <v>0</v>
      </c>
      <c r="M17" s="39" t="str">
        <f aca="false">IF(ISNUMBER(SEARCH("초과",I17)),A17&amp;" "&amp;TEXT(G17,"0%"),"")</f>
        <v/>
      </c>
    </row>
    <row r="18" customFormat="false" ht="15" hidden="false" customHeight="false" outlineLevel="0" collapsed="false">
      <c r="A18" s="56" t="s">
        <v>220</v>
      </c>
      <c r="B18" s="19" t="str">
        <f aca="false">IF(A18="","",IFERROR(INDEX(카테고리!$B$2:$B$200,MATCH(A18,카테고리!$A$2:$A$200,0)),"?"))</f>
        <v>비정기비</v>
      </c>
      <c r="C18" s="57" t="s">
        <v>221</v>
      </c>
      <c r="D18" s="48" t="n">
        <v>1200000</v>
      </c>
      <c r="E18" s="20" t="n">
        <f aca="false">IF(A18="","",IF(C18="연",D18*설정!$B$9/12,D18))</f>
        <v>900000</v>
      </c>
      <c r="F18" s="20" t="n">
        <f aca="false">IF($A18="","",IF($C18="연",SUMIFS(거래내역!$D$2:$D$5000,거래내역!$E$2:$E$5000,$A18,거래내역!$L$2:$L$5000,"&gt;="&amp;설정!$B$8,거래내역!$L$2:$L$5000,"&lt;="&amp;설정!$B$7,거래내역!$H$2:$H$5000,설정!$B$5),SUMIFS(거래내역!$D$2:$D$5000,거래내역!$E$2:$E$5000,$A18,거래내역!$B$2:$B$5000,설정!$B$3,거래내역!$H$2:$H$5000,설정!$B$5)))</f>
        <v>0</v>
      </c>
      <c r="G18" s="38" t="n">
        <f aca="false">IF(OR(A18="",N(E18)=0),"",F18/E18)</f>
        <v>0</v>
      </c>
      <c r="H18" s="20" t="n">
        <f aca="false">IF(A18="","",E18-F18)</f>
        <v>900000</v>
      </c>
      <c r="I18" s="24" t="str">
        <f aca="false">IF(OR(A18="",N(E18)=0),"",IF(G18&gt;1,"🔴 초과",IF(AND(G18&gt;=0.9,B18&lt;&gt;"고정비"),"⚠ 주의","✅ 양호")))</f>
        <v>✅ 양호</v>
      </c>
      <c r="J18" s="20" t="n">
        <f aca="false">IF($A18="","",IF($C18="연",SUMIFS(거래내역!$D$2:$D$5000,거래내역!$E$2:$E$5000,$A18,거래내역!$L$2:$L$5000,"&gt;="&amp;설정!$B$8,거래내역!$L$2:$L$5000,"&lt;="&amp;설정!$B$7,거래내역!$H$2:$H$5000,"본인"),SUMIFS(거래내역!$D$2:$D$5000,거래내역!$E$2:$E$5000,$A18,거래내역!$B$2:$B$5000,설정!$B$3,거래내역!$H$2:$H$5000,"본인")))</f>
        <v>0</v>
      </c>
      <c r="K18" s="20" t="n">
        <f aca="false">IF($A18="","",IF($C18="연",SUMIFS(거래내역!$D$2:$D$5000,거래내역!$E$2:$E$5000,$A18,거래내역!$L$2:$L$5000,"&gt;="&amp;설정!$B$8,거래내역!$L$2:$L$5000,"&lt;="&amp;설정!$B$7,거래내역!$H$2:$H$5000,"배우자"),SUMIFS(거래내역!$D$2:$D$5000,거래내역!$E$2:$E$5000,$A18,거래내역!$B$2:$B$5000,설정!$B$3,거래내역!$H$2:$H$5000,"배우자")))</f>
        <v>0</v>
      </c>
      <c r="L18" s="20" t="n">
        <f aca="false">IF($A18="","",IF($C18="연",SUMIFS(거래내역!$D$2:$D$5000,거래내역!$E$2:$E$5000,$A18,거래내역!$L$2:$L$5000,"&gt;="&amp;설정!$B$8,거래내역!$L$2:$L$5000,"&lt;="&amp;설정!$B$7,거래내역!$H$2:$H$5000,"공동"),SUMIFS(거래내역!$D$2:$D$5000,거래내역!$E$2:$E$5000,$A18,거래내역!$B$2:$B$5000,설정!$B$3,거래내역!$H$2:$H$5000,"공동")))</f>
        <v>0</v>
      </c>
      <c r="M18" s="39" t="str">
        <f aca="false">IF(ISNUMBER(SEARCH("초과",I18)),A18&amp;" "&amp;TEXT(G18,"0%"),"")</f>
        <v/>
      </c>
    </row>
    <row r="19" customFormat="false" ht="15" hidden="false" customHeight="false" outlineLevel="0" collapsed="false">
      <c r="A19" s="56" t="s">
        <v>222</v>
      </c>
      <c r="B19" s="19" t="str">
        <f aca="false">IF(A19="","",IFERROR(INDEX(카테고리!$B$2:$B$200,MATCH(A19,카테고리!$A$2:$A$200,0)),"?"))</f>
        <v>비정기비</v>
      </c>
      <c r="C19" s="57" t="s">
        <v>221</v>
      </c>
      <c r="D19" s="48" t="n">
        <v>5200000</v>
      </c>
      <c r="E19" s="20" t="n">
        <f aca="false">IF(A19="","",IF(C19="연",D19*설정!$B$9/12,D19))</f>
        <v>3900000</v>
      </c>
      <c r="F19" s="20" t="n">
        <f aca="false">IF($A19="","",IF($C19="연",SUMIFS(거래내역!$D$2:$D$5000,거래내역!$E$2:$E$5000,$A19,거래내역!$L$2:$L$5000,"&gt;="&amp;설정!$B$8,거래내역!$L$2:$L$5000,"&lt;="&amp;설정!$B$7,거래내역!$H$2:$H$5000,설정!$B$5),SUMIFS(거래내역!$D$2:$D$5000,거래내역!$E$2:$E$5000,$A19,거래내역!$B$2:$B$5000,설정!$B$3,거래내역!$H$2:$H$5000,설정!$B$5)))</f>
        <v>0</v>
      </c>
      <c r="G19" s="38" t="n">
        <f aca="false">IF(OR(A19="",N(E19)=0),"",F19/E19)</f>
        <v>0</v>
      </c>
      <c r="H19" s="20" t="n">
        <f aca="false">IF(A19="","",E19-F19)</f>
        <v>3900000</v>
      </c>
      <c r="I19" s="24" t="str">
        <f aca="false">IF(OR(A19="",N(E19)=0),"",IF(G19&gt;1,"🔴 초과",IF(AND(G19&gt;=0.9,B19&lt;&gt;"고정비"),"⚠ 주의","✅ 양호")))</f>
        <v>✅ 양호</v>
      </c>
      <c r="J19" s="20" t="n">
        <f aca="false">IF($A19="","",IF($C19="연",SUMIFS(거래내역!$D$2:$D$5000,거래내역!$E$2:$E$5000,$A19,거래내역!$L$2:$L$5000,"&gt;="&amp;설정!$B$8,거래내역!$L$2:$L$5000,"&lt;="&amp;설정!$B$7,거래내역!$H$2:$H$5000,"본인"),SUMIFS(거래내역!$D$2:$D$5000,거래내역!$E$2:$E$5000,$A19,거래내역!$B$2:$B$5000,설정!$B$3,거래내역!$H$2:$H$5000,"본인")))</f>
        <v>0</v>
      </c>
      <c r="K19" s="20" t="n">
        <f aca="false">IF($A19="","",IF($C19="연",SUMIFS(거래내역!$D$2:$D$5000,거래내역!$E$2:$E$5000,$A19,거래내역!$L$2:$L$5000,"&gt;="&amp;설정!$B$8,거래내역!$L$2:$L$5000,"&lt;="&amp;설정!$B$7,거래내역!$H$2:$H$5000,"배우자"),SUMIFS(거래내역!$D$2:$D$5000,거래내역!$E$2:$E$5000,$A19,거래내역!$B$2:$B$5000,설정!$B$3,거래내역!$H$2:$H$5000,"배우자")))</f>
        <v>0</v>
      </c>
      <c r="L19" s="20" t="n">
        <f aca="false">IF($A19="","",IF($C19="연",SUMIFS(거래내역!$D$2:$D$5000,거래내역!$E$2:$E$5000,$A19,거래내역!$L$2:$L$5000,"&gt;="&amp;설정!$B$8,거래내역!$L$2:$L$5000,"&lt;="&amp;설정!$B$7,거래내역!$H$2:$H$5000,"공동"),SUMIFS(거래내역!$D$2:$D$5000,거래내역!$E$2:$E$5000,$A19,거래내역!$B$2:$B$5000,설정!$B$3,거래내역!$H$2:$H$5000,"공동")))</f>
        <v>0</v>
      </c>
      <c r="M19" s="39" t="str">
        <f aca="false">IF(ISNUMBER(SEARCH("초과",I19)),A19&amp;" "&amp;TEXT(G19,"0%"),"")</f>
        <v/>
      </c>
    </row>
    <row r="20" customFormat="false" ht="15" hidden="false" customHeight="false" outlineLevel="0" collapsed="false">
      <c r="A20" s="56" t="s">
        <v>223</v>
      </c>
      <c r="B20" s="19" t="str">
        <f aca="false">IF(A20="","",IFERROR(INDEX(카테고리!$B$2:$B$200,MATCH(A20,카테고리!$A$2:$A$200,0)),"?"))</f>
        <v>비정기비</v>
      </c>
      <c r="C20" s="57" t="s">
        <v>221</v>
      </c>
      <c r="D20" s="48" t="n">
        <v>1500000</v>
      </c>
      <c r="E20" s="20" t="n">
        <f aca="false">IF(A20="","",IF(C20="연",D20*설정!$B$9/12,D20))</f>
        <v>1125000</v>
      </c>
      <c r="F20" s="20" t="n">
        <f aca="false">IF($A20="","",IF($C20="연",SUMIFS(거래내역!$D$2:$D$5000,거래내역!$E$2:$E$5000,$A20,거래내역!$L$2:$L$5000,"&gt;="&amp;설정!$B$8,거래내역!$L$2:$L$5000,"&lt;="&amp;설정!$B$7,거래내역!$H$2:$H$5000,설정!$B$5),SUMIFS(거래내역!$D$2:$D$5000,거래내역!$E$2:$E$5000,$A20,거래내역!$B$2:$B$5000,설정!$B$3,거래내역!$H$2:$H$5000,설정!$B$5)))</f>
        <v>0</v>
      </c>
      <c r="G20" s="38" t="n">
        <f aca="false">IF(OR(A20="",N(E20)=0),"",F20/E20)</f>
        <v>0</v>
      </c>
      <c r="H20" s="20" t="n">
        <f aca="false">IF(A20="","",E20-F20)</f>
        <v>1125000</v>
      </c>
      <c r="I20" s="24" t="str">
        <f aca="false">IF(OR(A20="",N(E20)=0),"",IF(G20&gt;1,"🔴 초과",IF(AND(G20&gt;=0.9,B20&lt;&gt;"고정비"),"⚠ 주의","✅ 양호")))</f>
        <v>✅ 양호</v>
      </c>
      <c r="J20" s="20" t="n">
        <f aca="false">IF($A20="","",IF($C20="연",SUMIFS(거래내역!$D$2:$D$5000,거래내역!$E$2:$E$5000,$A20,거래내역!$L$2:$L$5000,"&gt;="&amp;설정!$B$8,거래내역!$L$2:$L$5000,"&lt;="&amp;설정!$B$7,거래내역!$H$2:$H$5000,"본인"),SUMIFS(거래내역!$D$2:$D$5000,거래내역!$E$2:$E$5000,$A20,거래내역!$B$2:$B$5000,설정!$B$3,거래내역!$H$2:$H$5000,"본인")))</f>
        <v>0</v>
      </c>
      <c r="K20" s="20" t="n">
        <f aca="false">IF($A20="","",IF($C20="연",SUMIFS(거래내역!$D$2:$D$5000,거래내역!$E$2:$E$5000,$A20,거래내역!$L$2:$L$5000,"&gt;="&amp;설정!$B$8,거래내역!$L$2:$L$5000,"&lt;="&amp;설정!$B$7,거래내역!$H$2:$H$5000,"배우자"),SUMIFS(거래내역!$D$2:$D$5000,거래내역!$E$2:$E$5000,$A20,거래내역!$B$2:$B$5000,설정!$B$3,거래내역!$H$2:$H$5000,"배우자")))</f>
        <v>0</v>
      </c>
      <c r="L20" s="20" t="n">
        <f aca="false">IF($A20="","",IF($C20="연",SUMIFS(거래내역!$D$2:$D$5000,거래내역!$E$2:$E$5000,$A20,거래내역!$L$2:$L$5000,"&gt;="&amp;설정!$B$8,거래내역!$L$2:$L$5000,"&lt;="&amp;설정!$B$7,거래내역!$H$2:$H$5000,"공동"),SUMIFS(거래내역!$D$2:$D$5000,거래내역!$E$2:$E$5000,$A20,거래내역!$B$2:$B$5000,설정!$B$3,거래내역!$H$2:$H$5000,"공동")))</f>
        <v>0</v>
      </c>
      <c r="M20" s="39" t="str">
        <f aca="false">IF(ISNUMBER(SEARCH("초과",I20)),A20&amp;" "&amp;TEXT(G20,"0%"),"")</f>
        <v/>
      </c>
    </row>
    <row r="21" customFormat="false" ht="15" hidden="false" customHeight="false" outlineLevel="0" collapsed="false">
      <c r="A21" s="56" t="s">
        <v>224</v>
      </c>
      <c r="B21" s="19" t="str">
        <f aca="false">IF(A21="","",IFERROR(INDEX(카테고리!$B$2:$B$200,MATCH(A21,카테고리!$A$2:$A$200,0)),"?"))</f>
        <v>비정기비</v>
      </c>
      <c r="C21" s="57" t="s">
        <v>221</v>
      </c>
      <c r="D21" s="48" t="n">
        <v>1800000</v>
      </c>
      <c r="E21" s="20" t="n">
        <f aca="false">IF(A21="","",IF(C21="연",D21*설정!$B$9/12,D21))</f>
        <v>1350000</v>
      </c>
      <c r="F21" s="20" t="n">
        <f aca="false">IF($A21="","",IF($C21="연",SUMIFS(거래내역!$D$2:$D$5000,거래내역!$E$2:$E$5000,$A21,거래내역!$L$2:$L$5000,"&gt;="&amp;설정!$B$8,거래내역!$L$2:$L$5000,"&lt;="&amp;설정!$B$7,거래내역!$H$2:$H$5000,설정!$B$5),SUMIFS(거래내역!$D$2:$D$5000,거래내역!$E$2:$E$5000,$A21,거래내역!$B$2:$B$5000,설정!$B$3,거래내역!$H$2:$H$5000,설정!$B$5)))</f>
        <v>0</v>
      </c>
      <c r="G21" s="38" t="n">
        <f aca="false">IF(OR(A21="",N(E21)=0),"",F21/E21)</f>
        <v>0</v>
      </c>
      <c r="H21" s="20" t="n">
        <f aca="false">IF(A21="","",E21-F21)</f>
        <v>1350000</v>
      </c>
      <c r="I21" s="24" t="str">
        <f aca="false">IF(OR(A21="",N(E21)=0),"",IF(G21&gt;1,"🔴 초과",IF(AND(G21&gt;=0.9,B21&lt;&gt;"고정비"),"⚠ 주의","✅ 양호")))</f>
        <v>✅ 양호</v>
      </c>
      <c r="J21" s="20" t="n">
        <f aca="false">IF($A21="","",IF($C21="연",SUMIFS(거래내역!$D$2:$D$5000,거래내역!$E$2:$E$5000,$A21,거래내역!$L$2:$L$5000,"&gt;="&amp;설정!$B$8,거래내역!$L$2:$L$5000,"&lt;="&amp;설정!$B$7,거래내역!$H$2:$H$5000,"본인"),SUMIFS(거래내역!$D$2:$D$5000,거래내역!$E$2:$E$5000,$A21,거래내역!$B$2:$B$5000,설정!$B$3,거래내역!$H$2:$H$5000,"본인")))</f>
        <v>0</v>
      </c>
      <c r="K21" s="20" t="n">
        <f aca="false">IF($A21="","",IF($C21="연",SUMIFS(거래내역!$D$2:$D$5000,거래내역!$E$2:$E$5000,$A21,거래내역!$L$2:$L$5000,"&gt;="&amp;설정!$B$8,거래내역!$L$2:$L$5000,"&lt;="&amp;설정!$B$7,거래내역!$H$2:$H$5000,"배우자"),SUMIFS(거래내역!$D$2:$D$5000,거래내역!$E$2:$E$5000,$A21,거래내역!$B$2:$B$5000,설정!$B$3,거래내역!$H$2:$H$5000,"배우자")))</f>
        <v>0</v>
      </c>
      <c r="L21" s="20" t="n">
        <f aca="false">IF($A21="","",IF($C21="연",SUMIFS(거래내역!$D$2:$D$5000,거래내역!$E$2:$E$5000,$A21,거래내역!$L$2:$L$5000,"&gt;="&amp;설정!$B$8,거래내역!$L$2:$L$5000,"&lt;="&amp;설정!$B$7,거래내역!$H$2:$H$5000,"공동"),SUMIFS(거래내역!$D$2:$D$5000,거래내역!$E$2:$E$5000,$A21,거래내역!$B$2:$B$5000,설정!$B$3,거래내역!$H$2:$H$5000,"공동")))</f>
        <v>0</v>
      </c>
      <c r="M21" s="39" t="str">
        <f aca="false">IF(ISNUMBER(SEARCH("초과",I21)),A21&amp;" "&amp;TEXT(G21,"0%"),"")</f>
        <v/>
      </c>
    </row>
    <row r="22" customFormat="false" ht="15" hidden="false" customHeight="false" outlineLevel="0" collapsed="false">
      <c r="A22" s="56"/>
      <c r="B22" s="19" t="str">
        <f aca="false">IF(A22="","",IFERROR(INDEX(카테고리!$B$2:$B$200,MATCH(A22,카테고리!$A$2:$A$200,0)),"?"))</f>
        <v/>
      </c>
      <c r="C22" s="45"/>
      <c r="D22" s="48"/>
      <c r="E22" s="20" t="str">
        <f aca="false">IF(A22="","",IF(C22="연",D22*설정!$B$9/12,D22))</f>
        <v/>
      </c>
      <c r="F22" s="20" t="str">
        <f aca="false">IF($A22="","",IF($C22="연",SUMIFS(거래내역!$D$2:$D$5000,거래내역!$E$2:$E$5000,$A22,거래내역!$L$2:$L$5000,"&gt;="&amp;설정!$B$8,거래내역!$L$2:$L$5000,"&lt;="&amp;설정!$B$7,거래내역!$H$2:$H$5000,설정!$B$5),SUMIFS(거래내역!$D$2:$D$5000,거래내역!$E$2:$E$5000,$A22,거래내역!$B$2:$B$5000,설정!$B$3,거래내역!$H$2:$H$5000,설정!$B$5)))</f>
        <v/>
      </c>
      <c r="G22" s="38" t="str">
        <f aca="false">IF(OR(A22="",N(E22)=0),"",F22/E22)</f>
        <v/>
      </c>
      <c r="H22" s="20" t="str">
        <f aca="false">IF(A22="","",E22-F22)</f>
        <v/>
      </c>
      <c r="I22" s="24" t="str">
        <f aca="false">IF(OR(A22="",N(E22)=0),"",IF(G22&gt;1,"🔴 초과",IF(AND(G22&gt;=0.9,B22&lt;&gt;"고정비"),"⚠ 주의","✅ 양호")))</f>
        <v/>
      </c>
      <c r="J22" s="20" t="str">
        <f aca="false">IF($A22="","",IF($C22="연",SUMIFS(거래내역!$D$2:$D$5000,거래내역!$E$2:$E$5000,$A22,거래내역!$L$2:$L$5000,"&gt;="&amp;설정!$B$8,거래내역!$L$2:$L$5000,"&lt;="&amp;설정!$B$7,거래내역!$H$2:$H$5000,"본인"),SUMIFS(거래내역!$D$2:$D$5000,거래내역!$E$2:$E$5000,$A22,거래내역!$B$2:$B$5000,설정!$B$3,거래내역!$H$2:$H$5000,"본인")))</f>
        <v/>
      </c>
      <c r="K22" s="20" t="str">
        <f aca="false">IF($A22="","",IF($C22="연",SUMIFS(거래내역!$D$2:$D$5000,거래내역!$E$2:$E$5000,$A22,거래내역!$L$2:$L$5000,"&gt;="&amp;설정!$B$8,거래내역!$L$2:$L$5000,"&lt;="&amp;설정!$B$7,거래내역!$H$2:$H$5000,"배우자"),SUMIFS(거래내역!$D$2:$D$5000,거래내역!$E$2:$E$5000,$A22,거래내역!$B$2:$B$5000,설정!$B$3,거래내역!$H$2:$H$5000,"배우자")))</f>
        <v/>
      </c>
      <c r="L22" s="20" t="str">
        <f aca="false">IF($A22="","",IF($C22="연",SUMIFS(거래내역!$D$2:$D$5000,거래내역!$E$2:$E$5000,$A22,거래내역!$L$2:$L$5000,"&gt;="&amp;설정!$B$8,거래내역!$L$2:$L$5000,"&lt;="&amp;설정!$B$7,거래내역!$H$2:$H$5000,"공동"),SUMIFS(거래내역!$D$2:$D$5000,거래내역!$E$2:$E$5000,$A22,거래내역!$B$2:$B$5000,설정!$B$3,거래내역!$H$2:$H$5000,"공동")))</f>
        <v/>
      </c>
      <c r="M22" s="39" t="str">
        <f aca="false">IF(ISNUMBER(SEARCH("초과",I22)),A22&amp;" "&amp;TEXT(G22,"0%"),"")</f>
        <v/>
      </c>
    </row>
    <row r="23" customFormat="false" ht="15" hidden="false" customHeight="false" outlineLevel="0" collapsed="false">
      <c r="A23" s="56"/>
      <c r="B23" s="19" t="str">
        <f aca="false">IF(A23="","",IFERROR(INDEX(카테고리!$B$2:$B$200,MATCH(A23,카테고리!$A$2:$A$200,0)),"?"))</f>
        <v/>
      </c>
      <c r="C23" s="45"/>
      <c r="D23" s="48"/>
      <c r="E23" s="20" t="str">
        <f aca="false">IF(A23="","",IF(C23="연",D23*설정!$B$9/12,D23))</f>
        <v/>
      </c>
      <c r="F23" s="20" t="str">
        <f aca="false">IF($A23="","",IF($C23="연",SUMIFS(거래내역!$D$2:$D$5000,거래내역!$E$2:$E$5000,$A23,거래내역!$L$2:$L$5000,"&gt;="&amp;설정!$B$8,거래내역!$L$2:$L$5000,"&lt;="&amp;설정!$B$7,거래내역!$H$2:$H$5000,설정!$B$5),SUMIFS(거래내역!$D$2:$D$5000,거래내역!$E$2:$E$5000,$A23,거래내역!$B$2:$B$5000,설정!$B$3,거래내역!$H$2:$H$5000,설정!$B$5)))</f>
        <v/>
      </c>
      <c r="G23" s="38" t="str">
        <f aca="false">IF(OR(A23="",N(E23)=0),"",F23/E23)</f>
        <v/>
      </c>
      <c r="H23" s="20" t="str">
        <f aca="false">IF(A23="","",E23-F23)</f>
        <v/>
      </c>
      <c r="I23" s="24" t="str">
        <f aca="false">IF(OR(A23="",N(E23)=0),"",IF(G23&gt;1,"🔴 초과",IF(AND(G23&gt;=0.9,B23&lt;&gt;"고정비"),"⚠ 주의","✅ 양호")))</f>
        <v/>
      </c>
      <c r="J23" s="20" t="str">
        <f aca="false">IF($A23="","",IF($C23="연",SUMIFS(거래내역!$D$2:$D$5000,거래내역!$E$2:$E$5000,$A23,거래내역!$L$2:$L$5000,"&gt;="&amp;설정!$B$8,거래내역!$L$2:$L$5000,"&lt;="&amp;설정!$B$7,거래내역!$H$2:$H$5000,"본인"),SUMIFS(거래내역!$D$2:$D$5000,거래내역!$E$2:$E$5000,$A23,거래내역!$B$2:$B$5000,설정!$B$3,거래내역!$H$2:$H$5000,"본인")))</f>
        <v/>
      </c>
      <c r="K23" s="20" t="str">
        <f aca="false">IF($A23="","",IF($C23="연",SUMIFS(거래내역!$D$2:$D$5000,거래내역!$E$2:$E$5000,$A23,거래내역!$L$2:$L$5000,"&gt;="&amp;설정!$B$8,거래내역!$L$2:$L$5000,"&lt;="&amp;설정!$B$7,거래내역!$H$2:$H$5000,"배우자"),SUMIFS(거래내역!$D$2:$D$5000,거래내역!$E$2:$E$5000,$A23,거래내역!$B$2:$B$5000,설정!$B$3,거래내역!$H$2:$H$5000,"배우자")))</f>
        <v/>
      </c>
      <c r="L23" s="20" t="str">
        <f aca="false">IF($A23="","",IF($C23="연",SUMIFS(거래내역!$D$2:$D$5000,거래내역!$E$2:$E$5000,$A23,거래내역!$L$2:$L$5000,"&gt;="&amp;설정!$B$8,거래내역!$L$2:$L$5000,"&lt;="&amp;설정!$B$7,거래내역!$H$2:$H$5000,"공동"),SUMIFS(거래내역!$D$2:$D$5000,거래내역!$E$2:$E$5000,$A23,거래내역!$B$2:$B$5000,설정!$B$3,거래내역!$H$2:$H$5000,"공동")))</f>
        <v/>
      </c>
      <c r="M23" s="39" t="str">
        <f aca="false">IF(ISNUMBER(SEARCH("초과",I23)),A23&amp;" "&amp;TEXT(G23,"0%"),"")</f>
        <v/>
      </c>
    </row>
    <row r="24" customFormat="false" ht="15" hidden="false" customHeight="false" outlineLevel="0" collapsed="false">
      <c r="A24" s="56"/>
      <c r="B24" s="19" t="str">
        <f aca="false">IF(A24="","",IFERROR(INDEX(카테고리!$B$2:$B$200,MATCH(A24,카테고리!$A$2:$A$200,0)),"?"))</f>
        <v/>
      </c>
      <c r="C24" s="45"/>
      <c r="D24" s="48"/>
      <c r="E24" s="20" t="str">
        <f aca="false">IF(A24="","",IF(C24="연",D24*설정!$B$9/12,D24))</f>
        <v/>
      </c>
      <c r="F24" s="20" t="str">
        <f aca="false">IF($A24="","",IF($C24="연",SUMIFS(거래내역!$D$2:$D$5000,거래내역!$E$2:$E$5000,$A24,거래내역!$L$2:$L$5000,"&gt;="&amp;설정!$B$8,거래내역!$L$2:$L$5000,"&lt;="&amp;설정!$B$7,거래내역!$H$2:$H$5000,설정!$B$5),SUMIFS(거래내역!$D$2:$D$5000,거래내역!$E$2:$E$5000,$A24,거래내역!$B$2:$B$5000,설정!$B$3,거래내역!$H$2:$H$5000,설정!$B$5)))</f>
        <v/>
      </c>
      <c r="G24" s="38" t="str">
        <f aca="false">IF(OR(A24="",N(E24)=0),"",F24/E24)</f>
        <v/>
      </c>
      <c r="H24" s="20" t="str">
        <f aca="false">IF(A24="","",E24-F24)</f>
        <v/>
      </c>
      <c r="I24" s="24" t="str">
        <f aca="false">IF(OR(A24="",N(E24)=0),"",IF(G24&gt;1,"🔴 초과",IF(AND(G24&gt;=0.9,B24&lt;&gt;"고정비"),"⚠ 주의","✅ 양호")))</f>
        <v/>
      </c>
      <c r="J24" s="20" t="str">
        <f aca="false">IF($A24="","",IF($C24="연",SUMIFS(거래내역!$D$2:$D$5000,거래내역!$E$2:$E$5000,$A24,거래내역!$L$2:$L$5000,"&gt;="&amp;설정!$B$8,거래내역!$L$2:$L$5000,"&lt;="&amp;설정!$B$7,거래내역!$H$2:$H$5000,"본인"),SUMIFS(거래내역!$D$2:$D$5000,거래내역!$E$2:$E$5000,$A24,거래내역!$B$2:$B$5000,설정!$B$3,거래내역!$H$2:$H$5000,"본인")))</f>
        <v/>
      </c>
      <c r="K24" s="20" t="str">
        <f aca="false">IF($A24="","",IF($C24="연",SUMIFS(거래내역!$D$2:$D$5000,거래내역!$E$2:$E$5000,$A24,거래내역!$L$2:$L$5000,"&gt;="&amp;설정!$B$8,거래내역!$L$2:$L$5000,"&lt;="&amp;설정!$B$7,거래내역!$H$2:$H$5000,"배우자"),SUMIFS(거래내역!$D$2:$D$5000,거래내역!$E$2:$E$5000,$A24,거래내역!$B$2:$B$5000,설정!$B$3,거래내역!$H$2:$H$5000,"배우자")))</f>
        <v/>
      </c>
      <c r="L24" s="20" t="str">
        <f aca="false">IF($A24="","",IF($C24="연",SUMIFS(거래내역!$D$2:$D$5000,거래내역!$E$2:$E$5000,$A24,거래내역!$L$2:$L$5000,"&gt;="&amp;설정!$B$8,거래내역!$L$2:$L$5000,"&lt;="&amp;설정!$B$7,거래내역!$H$2:$H$5000,"공동"),SUMIFS(거래내역!$D$2:$D$5000,거래내역!$E$2:$E$5000,$A24,거래내역!$B$2:$B$5000,설정!$B$3,거래내역!$H$2:$H$5000,"공동")))</f>
        <v/>
      </c>
      <c r="M24" s="39" t="str">
        <f aca="false">IF(ISNUMBER(SEARCH("초과",I24)),A24&amp;" "&amp;TEXT(G24,"0%"),"")</f>
        <v/>
      </c>
    </row>
    <row r="25" customFormat="false" ht="15" hidden="false" customHeight="false" outlineLevel="0" collapsed="false">
      <c r="A25" s="56"/>
      <c r="B25" s="19" t="str">
        <f aca="false">IF(A25="","",IFERROR(INDEX(카테고리!$B$2:$B$200,MATCH(A25,카테고리!$A$2:$A$200,0)),"?"))</f>
        <v/>
      </c>
      <c r="C25" s="45"/>
      <c r="D25" s="48"/>
      <c r="E25" s="20" t="str">
        <f aca="false">IF(A25="","",IF(C25="연",D25*설정!$B$9/12,D25))</f>
        <v/>
      </c>
      <c r="F25" s="20" t="str">
        <f aca="false">IF($A25="","",IF($C25="연",SUMIFS(거래내역!$D$2:$D$5000,거래내역!$E$2:$E$5000,$A25,거래내역!$L$2:$L$5000,"&gt;="&amp;설정!$B$8,거래내역!$L$2:$L$5000,"&lt;="&amp;설정!$B$7,거래내역!$H$2:$H$5000,설정!$B$5),SUMIFS(거래내역!$D$2:$D$5000,거래내역!$E$2:$E$5000,$A25,거래내역!$B$2:$B$5000,설정!$B$3,거래내역!$H$2:$H$5000,설정!$B$5)))</f>
        <v/>
      </c>
      <c r="G25" s="38" t="str">
        <f aca="false">IF(OR(A25="",N(E25)=0),"",F25/E25)</f>
        <v/>
      </c>
      <c r="H25" s="20" t="str">
        <f aca="false">IF(A25="","",E25-F25)</f>
        <v/>
      </c>
      <c r="I25" s="24" t="str">
        <f aca="false">IF(OR(A25="",N(E25)=0),"",IF(G25&gt;1,"🔴 초과",IF(AND(G25&gt;=0.9,B25&lt;&gt;"고정비"),"⚠ 주의","✅ 양호")))</f>
        <v/>
      </c>
      <c r="J25" s="20" t="str">
        <f aca="false">IF($A25="","",IF($C25="연",SUMIFS(거래내역!$D$2:$D$5000,거래내역!$E$2:$E$5000,$A25,거래내역!$L$2:$L$5000,"&gt;="&amp;설정!$B$8,거래내역!$L$2:$L$5000,"&lt;="&amp;설정!$B$7,거래내역!$H$2:$H$5000,"본인"),SUMIFS(거래내역!$D$2:$D$5000,거래내역!$E$2:$E$5000,$A25,거래내역!$B$2:$B$5000,설정!$B$3,거래내역!$H$2:$H$5000,"본인")))</f>
        <v/>
      </c>
      <c r="K25" s="20" t="str">
        <f aca="false">IF($A25="","",IF($C25="연",SUMIFS(거래내역!$D$2:$D$5000,거래내역!$E$2:$E$5000,$A25,거래내역!$L$2:$L$5000,"&gt;="&amp;설정!$B$8,거래내역!$L$2:$L$5000,"&lt;="&amp;설정!$B$7,거래내역!$H$2:$H$5000,"배우자"),SUMIFS(거래내역!$D$2:$D$5000,거래내역!$E$2:$E$5000,$A25,거래내역!$B$2:$B$5000,설정!$B$3,거래내역!$H$2:$H$5000,"배우자")))</f>
        <v/>
      </c>
      <c r="L25" s="20" t="str">
        <f aca="false">IF($A25="","",IF($C25="연",SUMIFS(거래내역!$D$2:$D$5000,거래내역!$E$2:$E$5000,$A25,거래내역!$L$2:$L$5000,"&gt;="&amp;설정!$B$8,거래내역!$L$2:$L$5000,"&lt;="&amp;설정!$B$7,거래내역!$H$2:$H$5000,"공동"),SUMIFS(거래내역!$D$2:$D$5000,거래내역!$E$2:$E$5000,$A25,거래내역!$B$2:$B$5000,설정!$B$3,거래내역!$H$2:$H$5000,"공동")))</f>
        <v/>
      </c>
      <c r="M25" s="39" t="str">
        <f aca="false">IF(ISNUMBER(SEARCH("초과",I25)),A25&amp;" "&amp;TEXT(G25,"0%"),"")</f>
        <v/>
      </c>
    </row>
    <row r="26" customFormat="false" ht="15" hidden="false" customHeight="false" outlineLevel="0" collapsed="false">
      <c r="A26" s="56"/>
      <c r="B26" s="19" t="str">
        <f aca="false">IF(A26="","",IFERROR(INDEX(카테고리!$B$2:$B$200,MATCH(A26,카테고리!$A$2:$A$200,0)),"?"))</f>
        <v/>
      </c>
      <c r="C26" s="45"/>
      <c r="D26" s="48"/>
      <c r="E26" s="20" t="str">
        <f aca="false">IF(A26="","",IF(C26="연",D26*설정!$B$9/12,D26))</f>
        <v/>
      </c>
      <c r="F26" s="20" t="str">
        <f aca="false">IF($A26="","",IF($C26="연",SUMIFS(거래내역!$D$2:$D$5000,거래내역!$E$2:$E$5000,$A26,거래내역!$L$2:$L$5000,"&gt;="&amp;설정!$B$8,거래내역!$L$2:$L$5000,"&lt;="&amp;설정!$B$7,거래내역!$H$2:$H$5000,설정!$B$5),SUMIFS(거래내역!$D$2:$D$5000,거래내역!$E$2:$E$5000,$A26,거래내역!$B$2:$B$5000,설정!$B$3,거래내역!$H$2:$H$5000,설정!$B$5)))</f>
        <v/>
      </c>
      <c r="G26" s="38" t="str">
        <f aca="false">IF(OR(A26="",N(E26)=0),"",F26/E26)</f>
        <v/>
      </c>
      <c r="H26" s="20" t="str">
        <f aca="false">IF(A26="","",E26-F26)</f>
        <v/>
      </c>
      <c r="I26" s="24" t="str">
        <f aca="false">IF(OR(A26="",N(E26)=0),"",IF(G26&gt;1,"🔴 초과",IF(AND(G26&gt;=0.9,B26&lt;&gt;"고정비"),"⚠ 주의","✅ 양호")))</f>
        <v/>
      </c>
      <c r="J26" s="20" t="str">
        <f aca="false">IF($A26="","",IF($C26="연",SUMIFS(거래내역!$D$2:$D$5000,거래내역!$E$2:$E$5000,$A26,거래내역!$L$2:$L$5000,"&gt;="&amp;설정!$B$8,거래내역!$L$2:$L$5000,"&lt;="&amp;설정!$B$7,거래내역!$H$2:$H$5000,"본인"),SUMIFS(거래내역!$D$2:$D$5000,거래내역!$E$2:$E$5000,$A26,거래내역!$B$2:$B$5000,설정!$B$3,거래내역!$H$2:$H$5000,"본인")))</f>
        <v/>
      </c>
      <c r="K26" s="20" t="str">
        <f aca="false">IF($A26="","",IF($C26="연",SUMIFS(거래내역!$D$2:$D$5000,거래내역!$E$2:$E$5000,$A26,거래내역!$L$2:$L$5000,"&gt;="&amp;설정!$B$8,거래내역!$L$2:$L$5000,"&lt;="&amp;설정!$B$7,거래내역!$H$2:$H$5000,"배우자"),SUMIFS(거래내역!$D$2:$D$5000,거래내역!$E$2:$E$5000,$A26,거래내역!$B$2:$B$5000,설정!$B$3,거래내역!$H$2:$H$5000,"배우자")))</f>
        <v/>
      </c>
      <c r="L26" s="20" t="str">
        <f aca="false">IF($A26="","",IF($C26="연",SUMIFS(거래내역!$D$2:$D$5000,거래내역!$E$2:$E$5000,$A26,거래내역!$L$2:$L$5000,"&gt;="&amp;설정!$B$8,거래내역!$L$2:$L$5000,"&lt;="&amp;설정!$B$7,거래내역!$H$2:$H$5000,"공동"),SUMIFS(거래내역!$D$2:$D$5000,거래내역!$E$2:$E$5000,$A26,거래내역!$B$2:$B$5000,설정!$B$3,거래내역!$H$2:$H$5000,"공동")))</f>
        <v/>
      </c>
      <c r="M26" s="39" t="str">
        <f aca="false">IF(ISNUMBER(SEARCH("초과",I26)),A26&amp;" "&amp;TEXT(G26,"0%"),"")</f>
        <v/>
      </c>
    </row>
    <row r="27" customFormat="false" ht="15" hidden="false" customHeight="false" outlineLevel="0" collapsed="false">
      <c r="A27" s="56"/>
      <c r="B27" s="19" t="str">
        <f aca="false">IF(A27="","",IFERROR(INDEX(카테고리!$B$2:$B$200,MATCH(A27,카테고리!$A$2:$A$200,0)),"?"))</f>
        <v/>
      </c>
      <c r="C27" s="45"/>
      <c r="D27" s="48"/>
      <c r="E27" s="20" t="str">
        <f aca="false">IF(A27="","",IF(C27="연",D27*설정!$B$9/12,D27))</f>
        <v/>
      </c>
      <c r="F27" s="20" t="str">
        <f aca="false">IF($A27="","",IF($C27="연",SUMIFS(거래내역!$D$2:$D$5000,거래내역!$E$2:$E$5000,$A27,거래내역!$L$2:$L$5000,"&gt;="&amp;설정!$B$8,거래내역!$L$2:$L$5000,"&lt;="&amp;설정!$B$7,거래내역!$H$2:$H$5000,설정!$B$5),SUMIFS(거래내역!$D$2:$D$5000,거래내역!$E$2:$E$5000,$A27,거래내역!$B$2:$B$5000,설정!$B$3,거래내역!$H$2:$H$5000,설정!$B$5)))</f>
        <v/>
      </c>
      <c r="G27" s="38" t="str">
        <f aca="false">IF(OR(A27="",N(E27)=0),"",F27/E27)</f>
        <v/>
      </c>
      <c r="H27" s="20" t="str">
        <f aca="false">IF(A27="","",E27-F27)</f>
        <v/>
      </c>
      <c r="I27" s="24" t="str">
        <f aca="false">IF(OR(A27="",N(E27)=0),"",IF(G27&gt;1,"🔴 초과",IF(AND(G27&gt;=0.9,B27&lt;&gt;"고정비"),"⚠ 주의","✅ 양호")))</f>
        <v/>
      </c>
      <c r="J27" s="20" t="str">
        <f aca="false">IF($A27="","",IF($C27="연",SUMIFS(거래내역!$D$2:$D$5000,거래내역!$E$2:$E$5000,$A27,거래내역!$L$2:$L$5000,"&gt;="&amp;설정!$B$8,거래내역!$L$2:$L$5000,"&lt;="&amp;설정!$B$7,거래내역!$H$2:$H$5000,"본인"),SUMIFS(거래내역!$D$2:$D$5000,거래내역!$E$2:$E$5000,$A27,거래내역!$B$2:$B$5000,설정!$B$3,거래내역!$H$2:$H$5000,"본인")))</f>
        <v/>
      </c>
      <c r="K27" s="20" t="str">
        <f aca="false">IF($A27="","",IF($C27="연",SUMIFS(거래내역!$D$2:$D$5000,거래내역!$E$2:$E$5000,$A27,거래내역!$L$2:$L$5000,"&gt;="&amp;설정!$B$8,거래내역!$L$2:$L$5000,"&lt;="&amp;설정!$B$7,거래내역!$H$2:$H$5000,"배우자"),SUMIFS(거래내역!$D$2:$D$5000,거래내역!$E$2:$E$5000,$A27,거래내역!$B$2:$B$5000,설정!$B$3,거래내역!$H$2:$H$5000,"배우자")))</f>
        <v/>
      </c>
      <c r="L27" s="20" t="str">
        <f aca="false">IF($A27="","",IF($C27="연",SUMIFS(거래내역!$D$2:$D$5000,거래내역!$E$2:$E$5000,$A27,거래내역!$L$2:$L$5000,"&gt;="&amp;설정!$B$8,거래내역!$L$2:$L$5000,"&lt;="&amp;설정!$B$7,거래내역!$H$2:$H$5000,"공동"),SUMIFS(거래내역!$D$2:$D$5000,거래내역!$E$2:$E$5000,$A27,거래내역!$B$2:$B$5000,설정!$B$3,거래내역!$H$2:$H$5000,"공동")))</f>
        <v/>
      </c>
      <c r="M27" s="39" t="str">
        <f aca="false">IF(ISNUMBER(SEARCH("초과",I27)),A27&amp;" "&amp;TEXT(G27,"0%"),"")</f>
        <v/>
      </c>
    </row>
    <row r="28" customFormat="false" ht="15" hidden="false" customHeight="false" outlineLevel="0" collapsed="false">
      <c r="A28" s="56"/>
      <c r="B28" s="19" t="str">
        <f aca="false">IF(A28="","",IFERROR(INDEX(카테고리!$B$2:$B$200,MATCH(A28,카테고리!$A$2:$A$200,0)),"?"))</f>
        <v/>
      </c>
      <c r="C28" s="45"/>
      <c r="D28" s="48"/>
      <c r="E28" s="20" t="str">
        <f aca="false">IF(A28="","",IF(C28="연",D28*설정!$B$9/12,D28))</f>
        <v/>
      </c>
      <c r="F28" s="20" t="str">
        <f aca="false">IF($A28="","",IF($C28="연",SUMIFS(거래내역!$D$2:$D$5000,거래내역!$E$2:$E$5000,$A28,거래내역!$L$2:$L$5000,"&gt;="&amp;설정!$B$8,거래내역!$L$2:$L$5000,"&lt;="&amp;설정!$B$7,거래내역!$H$2:$H$5000,설정!$B$5),SUMIFS(거래내역!$D$2:$D$5000,거래내역!$E$2:$E$5000,$A28,거래내역!$B$2:$B$5000,설정!$B$3,거래내역!$H$2:$H$5000,설정!$B$5)))</f>
        <v/>
      </c>
      <c r="G28" s="38" t="str">
        <f aca="false">IF(OR(A28="",N(E28)=0),"",F28/E28)</f>
        <v/>
      </c>
      <c r="H28" s="20" t="str">
        <f aca="false">IF(A28="","",E28-F28)</f>
        <v/>
      </c>
      <c r="I28" s="24" t="str">
        <f aca="false">IF(OR(A28="",N(E28)=0),"",IF(G28&gt;1,"🔴 초과",IF(AND(G28&gt;=0.9,B28&lt;&gt;"고정비"),"⚠ 주의","✅ 양호")))</f>
        <v/>
      </c>
      <c r="J28" s="20" t="str">
        <f aca="false">IF($A28="","",IF($C28="연",SUMIFS(거래내역!$D$2:$D$5000,거래내역!$E$2:$E$5000,$A28,거래내역!$L$2:$L$5000,"&gt;="&amp;설정!$B$8,거래내역!$L$2:$L$5000,"&lt;="&amp;설정!$B$7,거래내역!$H$2:$H$5000,"본인"),SUMIFS(거래내역!$D$2:$D$5000,거래내역!$E$2:$E$5000,$A28,거래내역!$B$2:$B$5000,설정!$B$3,거래내역!$H$2:$H$5000,"본인")))</f>
        <v/>
      </c>
      <c r="K28" s="20" t="str">
        <f aca="false">IF($A28="","",IF($C28="연",SUMIFS(거래내역!$D$2:$D$5000,거래내역!$E$2:$E$5000,$A28,거래내역!$L$2:$L$5000,"&gt;="&amp;설정!$B$8,거래내역!$L$2:$L$5000,"&lt;="&amp;설정!$B$7,거래내역!$H$2:$H$5000,"배우자"),SUMIFS(거래내역!$D$2:$D$5000,거래내역!$E$2:$E$5000,$A28,거래내역!$B$2:$B$5000,설정!$B$3,거래내역!$H$2:$H$5000,"배우자")))</f>
        <v/>
      </c>
      <c r="L28" s="20" t="str">
        <f aca="false">IF($A28="","",IF($C28="연",SUMIFS(거래내역!$D$2:$D$5000,거래내역!$E$2:$E$5000,$A28,거래내역!$L$2:$L$5000,"&gt;="&amp;설정!$B$8,거래내역!$L$2:$L$5000,"&lt;="&amp;설정!$B$7,거래내역!$H$2:$H$5000,"공동"),SUMIFS(거래내역!$D$2:$D$5000,거래내역!$E$2:$E$5000,$A28,거래내역!$B$2:$B$5000,설정!$B$3,거래내역!$H$2:$H$5000,"공동")))</f>
        <v/>
      </c>
      <c r="M28" s="39" t="str">
        <f aca="false">IF(ISNUMBER(SEARCH("초과",I28)),A28&amp;" "&amp;TEXT(G28,"0%"),"")</f>
        <v/>
      </c>
    </row>
    <row r="29" customFormat="false" ht="15" hidden="false" customHeight="false" outlineLevel="0" collapsed="false">
      <c r="A29" s="56"/>
      <c r="B29" s="19" t="str">
        <f aca="false">IF(A29="","",IFERROR(INDEX(카테고리!$B$2:$B$200,MATCH(A29,카테고리!$A$2:$A$200,0)),"?"))</f>
        <v/>
      </c>
      <c r="C29" s="45"/>
      <c r="D29" s="48"/>
      <c r="E29" s="20" t="str">
        <f aca="false">IF(A29="","",IF(C29="연",D29*설정!$B$9/12,D29))</f>
        <v/>
      </c>
      <c r="F29" s="20" t="str">
        <f aca="false">IF($A29="","",IF($C29="연",SUMIFS(거래내역!$D$2:$D$5000,거래내역!$E$2:$E$5000,$A29,거래내역!$L$2:$L$5000,"&gt;="&amp;설정!$B$8,거래내역!$L$2:$L$5000,"&lt;="&amp;설정!$B$7,거래내역!$H$2:$H$5000,설정!$B$5),SUMIFS(거래내역!$D$2:$D$5000,거래내역!$E$2:$E$5000,$A29,거래내역!$B$2:$B$5000,설정!$B$3,거래내역!$H$2:$H$5000,설정!$B$5)))</f>
        <v/>
      </c>
      <c r="G29" s="38" t="str">
        <f aca="false">IF(OR(A29="",N(E29)=0),"",F29/E29)</f>
        <v/>
      </c>
      <c r="H29" s="20" t="str">
        <f aca="false">IF(A29="","",E29-F29)</f>
        <v/>
      </c>
      <c r="I29" s="24" t="str">
        <f aca="false">IF(OR(A29="",N(E29)=0),"",IF(G29&gt;1,"🔴 초과",IF(AND(G29&gt;=0.9,B29&lt;&gt;"고정비"),"⚠ 주의","✅ 양호")))</f>
        <v/>
      </c>
      <c r="J29" s="20" t="str">
        <f aca="false">IF($A29="","",IF($C29="연",SUMIFS(거래내역!$D$2:$D$5000,거래내역!$E$2:$E$5000,$A29,거래내역!$L$2:$L$5000,"&gt;="&amp;설정!$B$8,거래내역!$L$2:$L$5000,"&lt;="&amp;설정!$B$7,거래내역!$H$2:$H$5000,"본인"),SUMIFS(거래내역!$D$2:$D$5000,거래내역!$E$2:$E$5000,$A29,거래내역!$B$2:$B$5000,설정!$B$3,거래내역!$H$2:$H$5000,"본인")))</f>
        <v/>
      </c>
      <c r="K29" s="20" t="str">
        <f aca="false">IF($A29="","",IF($C29="연",SUMIFS(거래내역!$D$2:$D$5000,거래내역!$E$2:$E$5000,$A29,거래내역!$L$2:$L$5000,"&gt;="&amp;설정!$B$8,거래내역!$L$2:$L$5000,"&lt;="&amp;설정!$B$7,거래내역!$H$2:$H$5000,"배우자"),SUMIFS(거래내역!$D$2:$D$5000,거래내역!$E$2:$E$5000,$A29,거래내역!$B$2:$B$5000,설정!$B$3,거래내역!$H$2:$H$5000,"배우자")))</f>
        <v/>
      </c>
      <c r="L29" s="20" t="str">
        <f aca="false">IF($A29="","",IF($C29="연",SUMIFS(거래내역!$D$2:$D$5000,거래내역!$E$2:$E$5000,$A29,거래내역!$L$2:$L$5000,"&gt;="&amp;설정!$B$8,거래내역!$L$2:$L$5000,"&lt;="&amp;설정!$B$7,거래내역!$H$2:$H$5000,"공동"),SUMIFS(거래내역!$D$2:$D$5000,거래내역!$E$2:$E$5000,$A29,거래내역!$B$2:$B$5000,설정!$B$3,거래내역!$H$2:$H$5000,"공동")))</f>
        <v/>
      </c>
      <c r="M29" s="39" t="str">
        <f aca="false">IF(ISNUMBER(SEARCH("초과",I29)),A29&amp;" "&amp;TEXT(G29,"0%"),"")</f>
        <v/>
      </c>
    </row>
    <row r="30" customFormat="false" ht="15" hidden="false" customHeight="false" outlineLevel="0" collapsed="false">
      <c r="A30" s="56"/>
      <c r="B30" s="19" t="str">
        <f aca="false">IF(A30="","",IFERROR(INDEX(카테고리!$B$2:$B$200,MATCH(A30,카테고리!$A$2:$A$200,0)),"?"))</f>
        <v/>
      </c>
      <c r="C30" s="45"/>
      <c r="D30" s="48"/>
      <c r="E30" s="20" t="str">
        <f aca="false">IF(A30="","",IF(C30="연",D30*설정!$B$9/12,D30))</f>
        <v/>
      </c>
      <c r="F30" s="20" t="str">
        <f aca="false">IF($A30="","",IF($C30="연",SUMIFS(거래내역!$D$2:$D$5000,거래내역!$E$2:$E$5000,$A30,거래내역!$L$2:$L$5000,"&gt;="&amp;설정!$B$8,거래내역!$L$2:$L$5000,"&lt;="&amp;설정!$B$7,거래내역!$H$2:$H$5000,설정!$B$5),SUMIFS(거래내역!$D$2:$D$5000,거래내역!$E$2:$E$5000,$A30,거래내역!$B$2:$B$5000,설정!$B$3,거래내역!$H$2:$H$5000,설정!$B$5)))</f>
        <v/>
      </c>
      <c r="G30" s="38" t="str">
        <f aca="false">IF(OR(A30="",N(E30)=0),"",F30/E30)</f>
        <v/>
      </c>
      <c r="H30" s="20" t="str">
        <f aca="false">IF(A30="","",E30-F30)</f>
        <v/>
      </c>
      <c r="I30" s="24" t="str">
        <f aca="false">IF(OR(A30="",N(E30)=0),"",IF(G30&gt;1,"🔴 초과",IF(AND(G30&gt;=0.9,B30&lt;&gt;"고정비"),"⚠ 주의","✅ 양호")))</f>
        <v/>
      </c>
      <c r="J30" s="20" t="str">
        <f aca="false">IF($A30="","",IF($C30="연",SUMIFS(거래내역!$D$2:$D$5000,거래내역!$E$2:$E$5000,$A30,거래내역!$L$2:$L$5000,"&gt;="&amp;설정!$B$8,거래내역!$L$2:$L$5000,"&lt;="&amp;설정!$B$7,거래내역!$H$2:$H$5000,"본인"),SUMIFS(거래내역!$D$2:$D$5000,거래내역!$E$2:$E$5000,$A30,거래내역!$B$2:$B$5000,설정!$B$3,거래내역!$H$2:$H$5000,"본인")))</f>
        <v/>
      </c>
      <c r="K30" s="20" t="str">
        <f aca="false">IF($A30="","",IF($C30="연",SUMIFS(거래내역!$D$2:$D$5000,거래내역!$E$2:$E$5000,$A30,거래내역!$L$2:$L$5000,"&gt;="&amp;설정!$B$8,거래내역!$L$2:$L$5000,"&lt;="&amp;설정!$B$7,거래내역!$H$2:$H$5000,"배우자"),SUMIFS(거래내역!$D$2:$D$5000,거래내역!$E$2:$E$5000,$A30,거래내역!$B$2:$B$5000,설정!$B$3,거래내역!$H$2:$H$5000,"배우자")))</f>
        <v/>
      </c>
      <c r="L30" s="20" t="str">
        <f aca="false">IF($A30="","",IF($C30="연",SUMIFS(거래내역!$D$2:$D$5000,거래내역!$E$2:$E$5000,$A30,거래내역!$L$2:$L$5000,"&gt;="&amp;설정!$B$8,거래내역!$L$2:$L$5000,"&lt;="&amp;설정!$B$7,거래내역!$H$2:$H$5000,"공동"),SUMIFS(거래내역!$D$2:$D$5000,거래내역!$E$2:$E$5000,$A30,거래내역!$B$2:$B$5000,설정!$B$3,거래내역!$H$2:$H$5000,"공동")))</f>
        <v/>
      </c>
      <c r="M30" s="39" t="str">
        <f aca="false">IF(ISNUMBER(SEARCH("초과",I30)),A30&amp;" "&amp;TEXT(G30,"0%"),"")</f>
        <v/>
      </c>
    </row>
    <row r="31" customFormat="false" ht="15" hidden="false" customHeight="false" outlineLevel="0" collapsed="false">
      <c r="A31" s="56"/>
      <c r="B31" s="19" t="str">
        <f aca="false">IF(A31="","",IFERROR(INDEX(카테고리!$B$2:$B$200,MATCH(A31,카테고리!$A$2:$A$200,0)),"?"))</f>
        <v/>
      </c>
      <c r="C31" s="45"/>
      <c r="D31" s="48"/>
      <c r="E31" s="20" t="str">
        <f aca="false">IF(A31="","",IF(C31="연",D31*설정!$B$9/12,D31))</f>
        <v/>
      </c>
      <c r="F31" s="20" t="str">
        <f aca="false">IF($A31="","",IF($C31="연",SUMIFS(거래내역!$D$2:$D$5000,거래내역!$E$2:$E$5000,$A31,거래내역!$L$2:$L$5000,"&gt;="&amp;설정!$B$8,거래내역!$L$2:$L$5000,"&lt;="&amp;설정!$B$7,거래내역!$H$2:$H$5000,설정!$B$5),SUMIFS(거래내역!$D$2:$D$5000,거래내역!$E$2:$E$5000,$A31,거래내역!$B$2:$B$5000,설정!$B$3,거래내역!$H$2:$H$5000,설정!$B$5)))</f>
        <v/>
      </c>
      <c r="G31" s="38" t="str">
        <f aca="false">IF(OR(A31="",N(E31)=0),"",F31/E31)</f>
        <v/>
      </c>
      <c r="H31" s="20" t="str">
        <f aca="false">IF(A31="","",E31-F31)</f>
        <v/>
      </c>
      <c r="I31" s="24" t="str">
        <f aca="false">IF(OR(A31="",N(E31)=0),"",IF(G31&gt;1,"🔴 초과",IF(AND(G31&gt;=0.9,B31&lt;&gt;"고정비"),"⚠ 주의","✅ 양호")))</f>
        <v/>
      </c>
      <c r="J31" s="20" t="str">
        <f aca="false">IF($A31="","",IF($C31="연",SUMIFS(거래내역!$D$2:$D$5000,거래내역!$E$2:$E$5000,$A31,거래내역!$L$2:$L$5000,"&gt;="&amp;설정!$B$8,거래내역!$L$2:$L$5000,"&lt;="&amp;설정!$B$7,거래내역!$H$2:$H$5000,"본인"),SUMIFS(거래내역!$D$2:$D$5000,거래내역!$E$2:$E$5000,$A31,거래내역!$B$2:$B$5000,설정!$B$3,거래내역!$H$2:$H$5000,"본인")))</f>
        <v/>
      </c>
      <c r="K31" s="20" t="str">
        <f aca="false">IF($A31="","",IF($C31="연",SUMIFS(거래내역!$D$2:$D$5000,거래내역!$E$2:$E$5000,$A31,거래내역!$L$2:$L$5000,"&gt;="&amp;설정!$B$8,거래내역!$L$2:$L$5000,"&lt;="&amp;설정!$B$7,거래내역!$H$2:$H$5000,"배우자"),SUMIFS(거래내역!$D$2:$D$5000,거래내역!$E$2:$E$5000,$A31,거래내역!$B$2:$B$5000,설정!$B$3,거래내역!$H$2:$H$5000,"배우자")))</f>
        <v/>
      </c>
      <c r="L31" s="20" t="str">
        <f aca="false">IF($A31="","",IF($C31="연",SUMIFS(거래내역!$D$2:$D$5000,거래내역!$E$2:$E$5000,$A31,거래내역!$L$2:$L$5000,"&gt;="&amp;설정!$B$8,거래내역!$L$2:$L$5000,"&lt;="&amp;설정!$B$7,거래내역!$H$2:$H$5000,"공동"),SUMIFS(거래내역!$D$2:$D$5000,거래내역!$E$2:$E$5000,$A31,거래내역!$B$2:$B$5000,설정!$B$3,거래내역!$H$2:$H$5000,"공동")))</f>
        <v/>
      </c>
      <c r="M31" s="39" t="str">
        <f aca="false">IF(ISNUMBER(SEARCH("초과",I31)),A31&amp;" "&amp;TEXT(G31,"0%"),"")</f>
        <v/>
      </c>
    </row>
    <row r="32" customFormat="false" ht="15" hidden="false" customHeight="false" outlineLevel="0" collapsed="false">
      <c r="A32" s="56"/>
      <c r="B32" s="19" t="str">
        <f aca="false">IF(A32="","",IFERROR(INDEX(카테고리!$B$2:$B$200,MATCH(A32,카테고리!$A$2:$A$200,0)),"?"))</f>
        <v/>
      </c>
      <c r="C32" s="45"/>
      <c r="D32" s="48"/>
      <c r="E32" s="20" t="str">
        <f aca="false">IF(A32="","",IF(C32="연",D32*설정!$B$9/12,D32))</f>
        <v/>
      </c>
      <c r="F32" s="20" t="str">
        <f aca="false">IF($A32="","",IF($C32="연",SUMIFS(거래내역!$D$2:$D$5000,거래내역!$E$2:$E$5000,$A32,거래내역!$L$2:$L$5000,"&gt;="&amp;설정!$B$8,거래내역!$L$2:$L$5000,"&lt;="&amp;설정!$B$7,거래내역!$H$2:$H$5000,설정!$B$5),SUMIFS(거래내역!$D$2:$D$5000,거래내역!$E$2:$E$5000,$A32,거래내역!$B$2:$B$5000,설정!$B$3,거래내역!$H$2:$H$5000,설정!$B$5)))</f>
        <v/>
      </c>
      <c r="G32" s="38" t="str">
        <f aca="false">IF(OR(A32="",N(E32)=0),"",F32/E32)</f>
        <v/>
      </c>
      <c r="H32" s="20" t="str">
        <f aca="false">IF(A32="","",E32-F32)</f>
        <v/>
      </c>
      <c r="I32" s="24" t="str">
        <f aca="false">IF(OR(A32="",N(E32)=0),"",IF(G32&gt;1,"🔴 초과",IF(AND(G32&gt;=0.9,B32&lt;&gt;"고정비"),"⚠ 주의","✅ 양호")))</f>
        <v/>
      </c>
      <c r="J32" s="20" t="str">
        <f aca="false">IF($A32="","",IF($C32="연",SUMIFS(거래내역!$D$2:$D$5000,거래내역!$E$2:$E$5000,$A32,거래내역!$L$2:$L$5000,"&gt;="&amp;설정!$B$8,거래내역!$L$2:$L$5000,"&lt;="&amp;설정!$B$7,거래내역!$H$2:$H$5000,"본인"),SUMIFS(거래내역!$D$2:$D$5000,거래내역!$E$2:$E$5000,$A32,거래내역!$B$2:$B$5000,설정!$B$3,거래내역!$H$2:$H$5000,"본인")))</f>
        <v/>
      </c>
      <c r="K32" s="20" t="str">
        <f aca="false">IF($A32="","",IF($C32="연",SUMIFS(거래내역!$D$2:$D$5000,거래내역!$E$2:$E$5000,$A32,거래내역!$L$2:$L$5000,"&gt;="&amp;설정!$B$8,거래내역!$L$2:$L$5000,"&lt;="&amp;설정!$B$7,거래내역!$H$2:$H$5000,"배우자"),SUMIFS(거래내역!$D$2:$D$5000,거래내역!$E$2:$E$5000,$A32,거래내역!$B$2:$B$5000,설정!$B$3,거래내역!$H$2:$H$5000,"배우자")))</f>
        <v/>
      </c>
      <c r="L32" s="20" t="str">
        <f aca="false">IF($A32="","",IF($C32="연",SUMIFS(거래내역!$D$2:$D$5000,거래내역!$E$2:$E$5000,$A32,거래내역!$L$2:$L$5000,"&gt;="&amp;설정!$B$8,거래내역!$L$2:$L$5000,"&lt;="&amp;설정!$B$7,거래내역!$H$2:$H$5000,"공동"),SUMIFS(거래내역!$D$2:$D$5000,거래내역!$E$2:$E$5000,$A32,거래내역!$B$2:$B$5000,설정!$B$3,거래내역!$H$2:$H$5000,"공동")))</f>
        <v/>
      </c>
      <c r="M32" s="39" t="str">
        <f aca="false">IF(ISNUMBER(SEARCH("초과",I32)),A32&amp;" "&amp;TEXT(G32,"0%"),"")</f>
        <v/>
      </c>
    </row>
    <row r="33" customFormat="false" ht="15" hidden="false" customHeight="false" outlineLevel="0" collapsed="false">
      <c r="A33" s="56"/>
      <c r="B33" s="19" t="str">
        <f aca="false">IF(A33="","",IFERROR(INDEX(카테고리!$B$2:$B$200,MATCH(A33,카테고리!$A$2:$A$200,0)),"?"))</f>
        <v/>
      </c>
      <c r="C33" s="45"/>
      <c r="D33" s="48"/>
      <c r="E33" s="20" t="str">
        <f aca="false">IF(A33="","",IF(C33="연",D33*설정!$B$9/12,D33))</f>
        <v/>
      </c>
      <c r="F33" s="20" t="str">
        <f aca="false">IF($A33="","",IF($C33="연",SUMIFS(거래내역!$D$2:$D$5000,거래내역!$E$2:$E$5000,$A33,거래내역!$L$2:$L$5000,"&gt;="&amp;설정!$B$8,거래내역!$L$2:$L$5000,"&lt;="&amp;설정!$B$7,거래내역!$H$2:$H$5000,설정!$B$5),SUMIFS(거래내역!$D$2:$D$5000,거래내역!$E$2:$E$5000,$A33,거래내역!$B$2:$B$5000,설정!$B$3,거래내역!$H$2:$H$5000,설정!$B$5)))</f>
        <v/>
      </c>
      <c r="G33" s="38" t="str">
        <f aca="false">IF(OR(A33="",N(E33)=0),"",F33/E33)</f>
        <v/>
      </c>
      <c r="H33" s="20" t="str">
        <f aca="false">IF(A33="","",E33-F33)</f>
        <v/>
      </c>
      <c r="I33" s="24" t="str">
        <f aca="false">IF(OR(A33="",N(E33)=0),"",IF(G33&gt;1,"🔴 초과",IF(AND(G33&gt;=0.9,B33&lt;&gt;"고정비"),"⚠ 주의","✅ 양호")))</f>
        <v/>
      </c>
      <c r="J33" s="20" t="str">
        <f aca="false">IF($A33="","",IF($C33="연",SUMIFS(거래내역!$D$2:$D$5000,거래내역!$E$2:$E$5000,$A33,거래내역!$L$2:$L$5000,"&gt;="&amp;설정!$B$8,거래내역!$L$2:$L$5000,"&lt;="&amp;설정!$B$7,거래내역!$H$2:$H$5000,"본인"),SUMIFS(거래내역!$D$2:$D$5000,거래내역!$E$2:$E$5000,$A33,거래내역!$B$2:$B$5000,설정!$B$3,거래내역!$H$2:$H$5000,"본인")))</f>
        <v/>
      </c>
      <c r="K33" s="20" t="str">
        <f aca="false">IF($A33="","",IF($C33="연",SUMIFS(거래내역!$D$2:$D$5000,거래내역!$E$2:$E$5000,$A33,거래내역!$L$2:$L$5000,"&gt;="&amp;설정!$B$8,거래내역!$L$2:$L$5000,"&lt;="&amp;설정!$B$7,거래내역!$H$2:$H$5000,"배우자"),SUMIFS(거래내역!$D$2:$D$5000,거래내역!$E$2:$E$5000,$A33,거래내역!$B$2:$B$5000,설정!$B$3,거래내역!$H$2:$H$5000,"배우자")))</f>
        <v/>
      </c>
      <c r="L33" s="20" t="str">
        <f aca="false">IF($A33="","",IF($C33="연",SUMIFS(거래내역!$D$2:$D$5000,거래내역!$E$2:$E$5000,$A33,거래내역!$L$2:$L$5000,"&gt;="&amp;설정!$B$8,거래내역!$L$2:$L$5000,"&lt;="&amp;설정!$B$7,거래내역!$H$2:$H$5000,"공동"),SUMIFS(거래내역!$D$2:$D$5000,거래내역!$E$2:$E$5000,$A33,거래내역!$B$2:$B$5000,설정!$B$3,거래내역!$H$2:$H$5000,"공동")))</f>
        <v/>
      </c>
      <c r="M33" s="39" t="str">
        <f aca="false">IF(ISNUMBER(SEARCH("초과",I33)),A33&amp;" "&amp;TEXT(G33,"0%"),"")</f>
        <v/>
      </c>
    </row>
    <row r="34" customFormat="false" ht="15" hidden="false" customHeight="false" outlineLevel="0" collapsed="false">
      <c r="A34" s="56"/>
      <c r="B34" s="19" t="str">
        <f aca="false">IF(A34="","",IFERROR(INDEX(카테고리!$B$2:$B$200,MATCH(A34,카테고리!$A$2:$A$200,0)),"?"))</f>
        <v/>
      </c>
      <c r="C34" s="45"/>
      <c r="D34" s="48"/>
      <c r="E34" s="20" t="str">
        <f aca="false">IF(A34="","",IF(C34="연",D34*설정!$B$9/12,D34))</f>
        <v/>
      </c>
      <c r="F34" s="20" t="str">
        <f aca="false">IF($A34="","",IF($C34="연",SUMIFS(거래내역!$D$2:$D$5000,거래내역!$E$2:$E$5000,$A34,거래내역!$L$2:$L$5000,"&gt;="&amp;설정!$B$8,거래내역!$L$2:$L$5000,"&lt;="&amp;설정!$B$7,거래내역!$H$2:$H$5000,설정!$B$5),SUMIFS(거래내역!$D$2:$D$5000,거래내역!$E$2:$E$5000,$A34,거래내역!$B$2:$B$5000,설정!$B$3,거래내역!$H$2:$H$5000,설정!$B$5)))</f>
        <v/>
      </c>
      <c r="G34" s="38" t="str">
        <f aca="false">IF(OR(A34="",N(E34)=0),"",F34/E34)</f>
        <v/>
      </c>
      <c r="H34" s="20" t="str">
        <f aca="false">IF(A34="","",E34-F34)</f>
        <v/>
      </c>
      <c r="I34" s="24" t="str">
        <f aca="false">IF(OR(A34="",N(E34)=0),"",IF(G34&gt;1,"🔴 초과",IF(AND(G34&gt;=0.9,B34&lt;&gt;"고정비"),"⚠ 주의","✅ 양호")))</f>
        <v/>
      </c>
      <c r="J34" s="20" t="str">
        <f aca="false">IF($A34="","",IF($C34="연",SUMIFS(거래내역!$D$2:$D$5000,거래내역!$E$2:$E$5000,$A34,거래내역!$L$2:$L$5000,"&gt;="&amp;설정!$B$8,거래내역!$L$2:$L$5000,"&lt;="&amp;설정!$B$7,거래내역!$H$2:$H$5000,"본인"),SUMIFS(거래내역!$D$2:$D$5000,거래내역!$E$2:$E$5000,$A34,거래내역!$B$2:$B$5000,설정!$B$3,거래내역!$H$2:$H$5000,"본인")))</f>
        <v/>
      </c>
      <c r="K34" s="20" t="str">
        <f aca="false">IF($A34="","",IF($C34="연",SUMIFS(거래내역!$D$2:$D$5000,거래내역!$E$2:$E$5000,$A34,거래내역!$L$2:$L$5000,"&gt;="&amp;설정!$B$8,거래내역!$L$2:$L$5000,"&lt;="&amp;설정!$B$7,거래내역!$H$2:$H$5000,"배우자"),SUMIFS(거래내역!$D$2:$D$5000,거래내역!$E$2:$E$5000,$A34,거래내역!$B$2:$B$5000,설정!$B$3,거래내역!$H$2:$H$5000,"배우자")))</f>
        <v/>
      </c>
      <c r="L34" s="20" t="str">
        <f aca="false">IF($A34="","",IF($C34="연",SUMIFS(거래내역!$D$2:$D$5000,거래내역!$E$2:$E$5000,$A34,거래내역!$L$2:$L$5000,"&gt;="&amp;설정!$B$8,거래내역!$L$2:$L$5000,"&lt;="&amp;설정!$B$7,거래내역!$H$2:$H$5000,"공동"),SUMIFS(거래내역!$D$2:$D$5000,거래내역!$E$2:$E$5000,$A34,거래내역!$B$2:$B$5000,설정!$B$3,거래내역!$H$2:$H$5000,"공동")))</f>
        <v/>
      </c>
      <c r="M34" s="39" t="str">
        <f aca="false">IF(ISNUMBER(SEARCH("초과",I34)),A34&amp;" "&amp;TEXT(G34,"0%"),"")</f>
        <v/>
      </c>
    </row>
    <row r="35" customFormat="false" ht="15" hidden="false" customHeight="false" outlineLevel="0" collapsed="false">
      <c r="A35" s="56"/>
      <c r="B35" s="19" t="str">
        <f aca="false">IF(A35="","",IFERROR(INDEX(카테고리!$B$2:$B$200,MATCH(A35,카테고리!$A$2:$A$200,0)),"?"))</f>
        <v/>
      </c>
      <c r="C35" s="45"/>
      <c r="D35" s="48"/>
      <c r="E35" s="20" t="str">
        <f aca="false">IF(A35="","",IF(C35="연",D35*설정!$B$9/12,D35))</f>
        <v/>
      </c>
      <c r="F35" s="20" t="str">
        <f aca="false">IF($A35="","",IF($C35="연",SUMIFS(거래내역!$D$2:$D$5000,거래내역!$E$2:$E$5000,$A35,거래내역!$L$2:$L$5000,"&gt;="&amp;설정!$B$8,거래내역!$L$2:$L$5000,"&lt;="&amp;설정!$B$7,거래내역!$H$2:$H$5000,설정!$B$5),SUMIFS(거래내역!$D$2:$D$5000,거래내역!$E$2:$E$5000,$A35,거래내역!$B$2:$B$5000,설정!$B$3,거래내역!$H$2:$H$5000,설정!$B$5)))</f>
        <v/>
      </c>
      <c r="G35" s="38" t="str">
        <f aca="false">IF(OR(A35="",N(E35)=0),"",F35/E35)</f>
        <v/>
      </c>
      <c r="H35" s="20" t="str">
        <f aca="false">IF(A35="","",E35-F35)</f>
        <v/>
      </c>
      <c r="I35" s="24" t="str">
        <f aca="false">IF(OR(A35="",N(E35)=0),"",IF(G35&gt;1,"🔴 초과",IF(AND(G35&gt;=0.9,B35&lt;&gt;"고정비"),"⚠ 주의","✅ 양호")))</f>
        <v/>
      </c>
      <c r="J35" s="20" t="str">
        <f aca="false">IF($A35="","",IF($C35="연",SUMIFS(거래내역!$D$2:$D$5000,거래내역!$E$2:$E$5000,$A35,거래내역!$L$2:$L$5000,"&gt;="&amp;설정!$B$8,거래내역!$L$2:$L$5000,"&lt;="&amp;설정!$B$7,거래내역!$H$2:$H$5000,"본인"),SUMIFS(거래내역!$D$2:$D$5000,거래내역!$E$2:$E$5000,$A35,거래내역!$B$2:$B$5000,설정!$B$3,거래내역!$H$2:$H$5000,"본인")))</f>
        <v/>
      </c>
      <c r="K35" s="20" t="str">
        <f aca="false">IF($A35="","",IF($C35="연",SUMIFS(거래내역!$D$2:$D$5000,거래내역!$E$2:$E$5000,$A35,거래내역!$L$2:$L$5000,"&gt;="&amp;설정!$B$8,거래내역!$L$2:$L$5000,"&lt;="&amp;설정!$B$7,거래내역!$H$2:$H$5000,"배우자"),SUMIFS(거래내역!$D$2:$D$5000,거래내역!$E$2:$E$5000,$A35,거래내역!$B$2:$B$5000,설정!$B$3,거래내역!$H$2:$H$5000,"배우자")))</f>
        <v/>
      </c>
      <c r="L35" s="20" t="str">
        <f aca="false">IF($A35="","",IF($C35="연",SUMIFS(거래내역!$D$2:$D$5000,거래내역!$E$2:$E$5000,$A35,거래내역!$L$2:$L$5000,"&gt;="&amp;설정!$B$8,거래내역!$L$2:$L$5000,"&lt;="&amp;설정!$B$7,거래내역!$H$2:$H$5000,"공동"),SUMIFS(거래내역!$D$2:$D$5000,거래내역!$E$2:$E$5000,$A35,거래내역!$B$2:$B$5000,설정!$B$3,거래내역!$H$2:$H$5000,"공동")))</f>
        <v/>
      </c>
      <c r="M35" s="39" t="str">
        <f aca="false">IF(ISNUMBER(SEARCH("초과",I35)),A35&amp;" "&amp;TEXT(G35,"0%"),"")</f>
        <v/>
      </c>
    </row>
    <row r="36" customFormat="false" ht="15" hidden="false" customHeight="false" outlineLevel="0" collapsed="false">
      <c r="A36" s="56"/>
      <c r="B36" s="19" t="str">
        <f aca="false">IF(A36="","",IFERROR(INDEX(카테고리!$B$2:$B$200,MATCH(A36,카테고리!$A$2:$A$200,0)),"?"))</f>
        <v/>
      </c>
      <c r="C36" s="45"/>
      <c r="D36" s="48"/>
      <c r="E36" s="20" t="str">
        <f aca="false">IF(A36="","",IF(C36="연",D36*설정!$B$9/12,D36))</f>
        <v/>
      </c>
      <c r="F36" s="20" t="str">
        <f aca="false">IF($A36="","",IF($C36="연",SUMIFS(거래내역!$D$2:$D$5000,거래내역!$E$2:$E$5000,$A36,거래내역!$L$2:$L$5000,"&gt;="&amp;설정!$B$8,거래내역!$L$2:$L$5000,"&lt;="&amp;설정!$B$7,거래내역!$H$2:$H$5000,설정!$B$5),SUMIFS(거래내역!$D$2:$D$5000,거래내역!$E$2:$E$5000,$A36,거래내역!$B$2:$B$5000,설정!$B$3,거래내역!$H$2:$H$5000,설정!$B$5)))</f>
        <v/>
      </c>
      <c r="G36" s="38" t="str">
        <f aca="false">IF(OR(A36="",N(E36)=0),"",F36/E36)</f>
        <v/>
      </c>
      <c r="H36" s="20" t="str">
        <f aca="false">IF(A36="","",E36-F36)</f>
        <v/>
      </c>
      <c r="I36" s="24" t="str">
        <f aca="false">IF(OR(A36="",N(E36)=0),"",IF(G36&gt;1,"🔴 초과",IF(AND(G36&gt;=0.9,B36&lt;&gt;"고정비"),"⚠ 주의","✅ 양호")))</f>
        <v/>
      </c>
      <c r="J36" s="20" t="str">
        <f aca="false">IF($A36="","",IF($C36="연",SUMIFS(거래내역!$D$2:$D$5000,거래내역!$E$2:$E$5000,$A36,거래내역!$L$2:$L$5000,"&gt;="&amp;설정!$B$8,거래내역!$L$2:$L$5000,"&lt;="&amp;설정!$B$7,거래내역!$H$2:$H$5000,"본인"),SUMIFS(거래내역!$D$2:$D$5000,거래내역!$E$2:$E$5000,$A36,거래내역!$B$2:$B$5000,설정!$B$3,거래내역!$H$2:$H$5000,"본인")))</f>
        <v/>
      </c>
      <c r="K36" s="20" t="str">
        <f aca="false">IF($A36="","",IF($C36="연",SUMIFS(거래내역!$D$2:$D$5000,거래내역!$E$2:$E$5000,$A36,거래내역!$L$2:$L$5000,"&gt;="&amp;설정!$B$8,거래내역!$L$2:$L$5000,"&lt;="&amp;설정!$B$7,거래내역!$H$2:$H$5000,"배우자"),SUMIFS(거래내역!$D$2:$D$5000,거래내역!$E$2:$E$5000,$A36,거래내역!$B$2:$B$5000,설정!$B$3,거래내역!$H$2:$H$5000,"배우자")))</f>
        <v/>
      </c>
      <c r="L36" s="20" t="str">
        <f aca="false">IF($A36="","",IF($C36="연",SUMIFS(거래내역!$D$2:$D$5000,거래내역!$E$2:$E$5000,$A36,거래내역!$L$2:$L$5000,"&gt;="&amp;설정!$B$8,거래내역!$L$2:$L$5000,"&lt;="&amp;설정!$B$7,거래내역!$H$2:$H$5000,"공동"),SUMIFS(거래내역!$D$2:$D$5000,거래내역!$E$2:$E$5000,$A36,거래내역!$B$2:$B$5000,설정!$B$3,거래내역!$H$2:$H$5000,"공동")))</f>
        <v/>
      </c>
      <c r="M36" s="39" t="str">
        <f aca="false">IF(ISNUMBER(SEARCH("초과",I36)),A36&amp;" "&amp;TEXT(G36,"0%"),"")</f>
        <v/>
      </c>
    </row>
    <row r="37" customFormat="false" ht="15" hidden="false" customHeight="false" outlineLevel="0" collapsed="false">
      <c r="A37" s="56"/>
      <c r="B37" s="19" t="str">
        <f aca="false">IF(A37="","",IFERROR(INDEX(카테고리!$B$2:$B$200,MATCH(A37,카테고리!$A$2:$A$200,0)),"?"))</f>
        <v/>
      </c>
      <c r="C37" s="45"/>
      <c r="D37" s="48"/>
      <c r="E37" s="20" t="str">
        <f aca="false">IF(A37="","",IF(C37="연",D37*설정!$B$9/12,D37))</f>
        <v/>
      </c>
      <c r="F37" s="20" t="str">
        <f aca="false">IF($A37="","",IF($C37="연",SUMIFS(거래내역!$D$2:$D$5000,거래내역!$E$2:$E$5000,$A37,거래내역!$L$2:$L$5000,"&gt;="&amp;설정!$B$8,거래내역!$L$2:$L$5000,"&lt;="&amp;설정!$B$7,거래내역!$H$2:$H$5000,설정!$B$5),SUMIFS(거래내역!$D$2:$D$5000,거래내역!$E$2:$E$5000,$A37,거래내역!$B$2:$B$5000,설정!$B$3,거래내역!$H$2:$H$5000,설정!$B$5)))</f>
        <v/>
      </c>
      <c r="G37" s="38" t="str">
        <f aca="false">IF(OR(A37="",N(E37)=0),"",F37/E37)</f>
        <v/>
      </c>
      <c r="H37" s="20" t="str">
        <f aca="false">IF(A37="","",E37-F37)</f>
        <v/>
      </c>
      <c r="I37" s="24" t="str">
        <f aca="false">IF(OR(A37="",N(E37)=0),"",IF(G37&gt;1,"🔴 초과",IF(AND(G37&gt;=0.9,B37&lt;&gt;"고정비"),"⚠ 주의","✅ 양호")))</f>
        <v/>
      </c>
      <c r="J37" s="20" t="str">
        <f aca="false">IF($A37="","",IF($C37="연",SUMIFS(거래내역!$D$2:$D$5000,거래내역!$E$2:$E$5000,$A37,거래내역!$L$2:$L$5000,"&gt;="&amp;설정!$B$8,거래내역!$L$2:$L$5000,"&lt;="&amp;설정!$B$7,거래내역!$H$2:$H$5000,"본인"),SUMIFS(거래내역!$D$2:$D$5000,거래내역!$E$2:$E$5000,$A37,거래내역!$B$2:$B$5000,설정!$B$3,거래내역!$H$2:$H$5000,"본인")))</f>
        <v/>
      </c>
      <c r="K37" s="20" t="str">
        <f aca="false">IF($A37="","",IF($C37="연",SUMIFS(거래내역!$D$2:$D$5000,거래내역!$E$2:$E$5000,$A37,거래내역!$L$2:$L$5000,"&gt;="&amp;설정!$B$8,거래내역!$L$2:$L$5000,"&lt;="&amp;설정!$B$7,거래내역!$H$2:$H$5000,"배우자"),SUMIFS(거래내역!$D$2:$D$5000,거래내역!$E$2:$E$5000,$A37,거래내역!$B$2:$B$5000,설정!$B$3,거래내역!$H$2:$H$5000,"배우자")))</f>
        <v/>
      </c>
      <c r="L37" s="20" t="str">
        <f aca="false">IF($A37="","",IF($C37="연",SUMIFS(거래내역!$D$2:$D$5000,거래내역!$E$2:$E$5000,$A37,거래내역!$L$2:$L$5000,"&gt;="&amp;설정!$B$8,거래내역!$L$2:$L$5000,"&lt;="&amp;설정!$B$7,거래내역!$H$2:$H$5000,"공동"),SUMIFS(거래내역!$D$2:$D$5000,거래내역!$E$2:$E$5000,$A37,거래내역!$B$2:$B$5000,설정!$B$3,거래내역!$H$2:$H$5000,"공동")))</f>
        <v/>
      </c>
      <c r="M37" s="39" t="str">
        <f aca="false">IF(ISNUMBER(SEARCH("초과",I37)),A37&amp;" "&amp;TEXT(G37,"0%"),"")</f>
        <v/>
      </c>
    </row>
    <row r="38" customFormat="false" ht="15" hidden="false" customHeight="false" outlineLevel="0" collapsed="false">
      <c r="A38" s="56"/>
      <c r="B38" s="19" t="str">
        <f aca="false">IF(A38="","",IFERROR(INDEX(카테고리!$B$2:$B$200,MATCH(A38,카테고리!$A$2:$A$200,0)),"?"))</f>
        <v/>
      </c>
      <c r="C38" s="45"/>
      <c r="D38" s="48"/>
      <c r="E38" s="20" t="str">
        <f aca="false">IF(A38="","",IF(C38="연",D38*설정!$B$9/12,D38))</f>
        <v/>
      </c>
      <c r="F38" s="20" t="str">
        <f aca="false">IF($A38="","",IF($C38="연",SUMIFS(거래내역!$D$2:$D$5000,거래내역!$E$2:$E$5000,$A38,거래내역!$L$2:$L$5000,"&gt;="&amp;설정!$B$8,거래내역!$L$2:$L$5000,"&lt;="&amp;설정!$B$7,거래내역!$H$2:$H$5000,설정!$B$5),SUMIFS(거래내역!$D$2:$D$5000,거래내역!$E$2:$E$5000,$A38,거래내역!$B$2:$B$5000,설정!$B$3,거래내역!$H$2:$H$5000,설정!$B$5)))</f>
        <v/>
      </c>
      <c r="G38" s="38" t="str">
        <f aca="false">IF(OR(A38="",N(E38)=0),"",F38/E38)</f>
        <v/>
      </c>
      <c r="H38" s="20" t="str">
        <f aca="false">IF(A38="","",E38-F38)</f>
        <v/>
      </c>
      <c r="I38" s="24" t="str">
        <f aca="false">IF(OR(A38="",N(E38)=0),"",IF(G38&gt;1,"🔴 초과",IF(AND(G38&gt;=0.9,B38&lt;&gt;"고정비"),"⚠ 주의","✅ 양호")))</f>
        <v/>
      </c>
      <c r="J38" s="20" t="str">
        <f aca="false">IF($A38="","",IF($C38="연",SUMIFS(거래내역!$D$2:$D$5000,거래내역!$E$2:$E$5000,$A38,거래내역!$L$2:$L$5000,"&gt;="&amp;설정!$B$8,거래내역!$L$2:$L$5000,"&lt;="&amp;설정!$B$7,거래내역!$H$2:$H$5000,"본인"),SUMIFS(거래내역!$D$2:$D$5000,거래내역!$E$2:$E$5000,$A38,거래내역!$B$2:$B$5000,설정!$B$3,거래내역!$H$2:$H$5000,"본인")))</f>
        <v/>
      </c>
      <c r="K38" s="20" t="str">
        <f aca="false">IF($A38="","",IF($C38="연",SUMIFS(거래내역!$D$2:$D$5000,거래내역!$E$2:$E$5000,$A38,거래내역!$L$2:$L$5000,"&gt;="&amp;설정!$B$8,거래내역!$L$2:$L$5000,"&lt;="&amp;설정!$B$7,거래내역!$H$2:$H$5000,"배우자"),SUMIFS(거래내역!$D$2:$D$5000,거래내역!$E$2:$E$5000,$A38,거래내역!$B$2:$B$5000,설정!$B$3,거래내역!$H$2:$H$5000,"배우자")))</f>
        <v/>
      </c>
      <c r="L38" s="20" t="str">
        <f aca="false">IF($A38="","",IF($C38="연",SUMIFS(거래내역!$D$2:$D$5000,거래내역!$E$2:$E$5000,$A38,거래내역!$L$2:$L$5000,"&gt;="&amp;설정!$B$8,거래내역!$L$2:$L$5000,"&lt;="&amp;설정!$B$7,거래내역!$H$2:$H$5000,"공동"),SUMIFS(거래내역!$D$2:$D$5000,거래내역!$E$2:$E$5000,$A38,거래내역!$B$2:$B$5000,설정!$B$3,거래내역!$H$2:$H$5000,"공동")))</f>
        <v/>
      </c>
      <c r="M38" s="39" t="str">
        <f aca="false">IF(ISNUMBER(SEARCH("초과",I38)),A38&amp;" "&amp;TEXT(G38,"0%"),"")</f>
        <v/>
      </c>
    </row>
    <row r="39" customFormat="false" ht="15" hidden="false" customHeight="false" outlineLevel="0" collapsed="false">
      <c r="A39" s="56"/>
      <c r="B39" s="19" t="str">
        <f aca="false">IF(A39="","",IFERROR(INDEX(카테고리!$B$2:$B$200,MATCH(A39,카테고리!$A$2:$A$200,0)),"?"))</f>
        <v/>
      </c>
      <c r="C39" s="45"/>
      <c r="D39" s="48"/>
      <c r="E39" s="20" t="str">
        <f aca="false">IF(A39="","",IF(C39="연",D39*설정!$B$9/12,D39))</f>
        <v/>
      </c>
      <c r="F39" s="20" t="str">
        <f aca="false">IF($A39="","",IF($C39="연",SUMIFS(거래내역!$D$2:$D$5000,거래내역!$E$2:$E$5000,$A39,거래내역!$L$2:$L$5000,"&gt;="&amp;설정!$B$8,거래내역!$L$2:$L$5000,"&lt;="&amp;설정!$B$7,거래내역!$H$2:$H$5000,설정!$B$5),SUMIFS(거래내역!$D$2:$D$5000,거래내역!$E$2:$E$5000,$A39,거래내역!$B$2:$B$5000,설정!$B$3,거래내역!$H$2:$H$5000,설정!$B$5)))</f>
        <v/>
      </c>
      <c r="G39" s="38" t="str">
        <f aca="false">IF(OR(A39="",N(E39)=0),"",F39/E39)</f>
        <v/>
      </c>
      <c r="H39" s="20" t="str">
        <f aca="false">IF(A39="","",E39-F39)</f>
        <v/>
      </c>
      <c r="I39" s="24" t="str">
        <f aca="false">IF(OR(A39="",N(E39)=0),"",IF(G39&gt;1,"🔴 초과",IF(AND(G39&gt;=0.9,B39&lt;&gt;"고정비"),"⚠ 주의","✅ 양호")))</f>
        <v/>
      </c>
      <c r="J39" s="20" t="str">
        <f aca="false">IF($A39="","",IF($C39="연",SUMIFS(거래내역!$D$2:$D$5000,거래내역!$E$2:$E$5000,$A39,거래내역!$L$2:$L$5000,"&gt;="&amp;설정!$B$8,거래내역!$L$2:$L$5000,"&lt;="&amp;설정!$B$7,거래내역!$H$2:$H$5000,"본인"),SUMIFS(거래내역!$D$2:$D$5000,거래내역!$E$2:$E$5000,$A39,거래내역!$B$2:$B$5000,설정!$B$3,거래내역!$H$2:$H$5000,"본인")))</f>
        <v/>
      </c>
      <c r="K39" s="20" t="str">
        <f aca="false">IF($A39="","",IF($C39="연",SUMIFS(거래내역!$D$2:$D$5000,거래내역!$E$2:$E$5000,$A39,거래내역!$L$2:$L$5000,"&gt;="&amp;설정!$B$8,거래내역!$L$2:$L$5000,"&lt;="&amp;설정!$B$7,거래내역!$H$2:$H$5000,"배우자"),SUMIFS(거래내역!$D$2:$D$5000,거래내역!$E$2:$E$5000,$A39,거래내역!$B$2:$B$5000,설정!$B$3,거래내역!$H$2:$H$5000,"배우자")))</f>
        <v/>
      </c>
      <c r="L39" s="20" t="str">
        <f aca="false">IF($A39="","",IF($C39="연",SUMIFS(거래내역!$D$2:$D$5000,거래내역!$E$2:$E$5000,$A39,거래내역!$L$2:$L$5000,"&gt;="&amp;설정!$B$8,거래내역!$L$2:$L$5000,"&lt;="&amp;설정!$B$7,거래내역!$H$2:$H$5000,"공동"),SUMIFS(거래내역!$D$2:$D$5000,거래내역!$E$2:$E$5000,$A39,거래내역!$B$2:$B$5000,설정!$B$3,거래내역!$H$2:$H$5000,"공동")))</f>
        <v/>
      </c>
      <c r="M39" s="39" t="str">
        <f aca="false">IF(ISNUMBER(SEARCH("초과",I39)),A39&amp;" "&amp;TEXT(G39,"0%"),"")</f>
        <v/>
      </c>
    </row>
    <row r="40" customFormat="false" ht="15" hidden="false" customHeight="false" outlineLevel="0" collapsed="false">
      <c r="A40" s="56"/>
      <c r="B40" s="19" t="str">
        <f aca="false">IF(A40="","",IFERROR(INDEX(카테고리!$B$2:$B$200,MATCH(A40,카테고리!$A$2:$A$200,0)),"?"))</f>
        <v/>
      </c>
      <c r="C40" s="45"/>
      <c r="D40" s="48"/>
      <c r="E40" s="20" t="str">
        <f aca="false">IF(A40="","",IF(C40="연",D40*설정!$B$9/12,D40))</f>
        <v/>
      </c>
      <c r="F40" s="20" t="str">
        <f aca="false">IF($A40="","",IF($C40="연",SUMIFS(거래내역!$D$2:$D$5000,거래내역!$E$2:$E$5000,$A40,거래내역!$L$2:$L$5000,"&gt;="&amp;설정!$B$8,거래내역!$L$2:$L$5000,"&lt;="&amp;설정!$B$7,거래내역!$H$2:$H$5000,설정!$B$5),SUMIFS(거래내역!$D$2:$D$5000,거래내역!$E$2:$E$5000,$A40,거래내역!$B$2:$B$5000,설정!$B$3,거래내역!$H$2:$H$5000,설정!$B$5)))</f>
        <v/>
      </c>
      <c r="G40" s="38" t="str">
        <f aca="false">IF(OR(A40="",N(E40)=0),"",F40/E40)</f>
        <v/>
      </c>
      <c r="H40" s="20" t="str">
        <f aca="false">IF(A40="","",E40-F40)</f>
        <v/>
      </c>
      <c r="I40" s="24" t="str">
        <f aca="false">IF(OR(A40="",N(E40)=0),"",IF(G40&gt;1,"🔴 초과",IF(AND(G40&gt;=0.9,B40&lt;&gt;"고정비"),"⚠ 주의","✅ 양호")))</f>
        <v/>
      </c>
      <c r="J40" s="20" t="str">
        <f aca="false">IF($A40="","",IF($C40="연",SUMIFS(거래내역!$D$2:$D$5000,거래내역!$E$2:$E$5000,$A40,거래내역!$L$2:$L$5000,"&gt;="&amp;설정!$B$8,거래내역!$L$2:$L$5000,"&lt;="&amp;설정!$B$7,거래내역!$H$2:$H$5000,"본인"),SUMIFS(거래내역!$D$2:$D$5000,거래내역!$E$2:$E$5000,$A40,거래내역!$B$2:$B$5000,설정!$B$3,거래내역!$H$2:$H$5000,"본인")))</f>
        <v/>
      </c>
      <c r="K40" s="20" t="str">
        <f aca="false">IF($A40="","",IF($C40="연",SUMIFS(거래내역!$D$2:$D$5000,거래내역!$E$2:$E$5000,$A40,거래내역!$L$2:$L$5000,"&gt;="&amp;설정!$B$8,거래내역!$L$2:$L$5000,"&lt;="&amp;설정!$B$7,거래내역!$H$2:$H$5000,"배우자"),SUMIFS(거래내역!$D$2:$D$5000,거래내역!$E$2:$E$5000,$A40,거래내역!$B$2:$B$5000,설정!$B$3,거래내역!$H$2:$H$5000,"배우자")))</f>
        <v/>
      </c>
      <c r="L40" s="20" t="str">
        <f aca="false">IF($A40="","",IF($C40="연",SUMIFS(거래내역!$D$2:$D$5000,거래내역!$E$2:$E$5000,$A40,거래내역!$L$2:$L$5000,"&gt;="&amp;설정!$B$8,거래내역!$L$2:$L$5000,"&lt;="&amp;설정!$B$7,거래내역!$H$2:$H$5000,"공동"),SUMIFS(거래내역!$D$2:$D$5000,거래내역!$E$2:$E$5000,$A40,거래내역!$B$2:$B$5000,설정!$B$3,거래내역!$H$2:$H$5000,"공동")))</f>
        <v/>
      </c>
      <c r="M40" s="39" t="str">
        <f aca="false">IF(ISNUMBER(SEARCH("초과",I40)),A40&amp;" "&amp;TEXT(G40,"0%"),"")</f>
        <v/>
      </c>
    </row>
    <row r="41" customFormat="false" ht="15" hidden="false" customHeight="false" outlineLevel="0" collapsed="false">
      <c r="A41" s="56"/>
      <c r="B41" s="19" t="str">
        <f aca="false">IF(A41="","",IFERROR(INDEX(카테고리!$B$2:$B$200,MATCH(A41,카테고리!$A$2:$A$200,0)),"?"))</f>
        <v/>
      </c>
      <c r="C41" s="45"/>
      <c r="D41" s="48"/>
      <c r="E41" s="20" t="str">
        <f aca="false">IF(A41="","",IF(C41="연",D41*설정!$B$9/12,D41))</f>
        <v/>
      </c>
      <c r="F41" s="20" t="str">
        <f aca="false">IF($A41="","",IF($C41="연",SUMIFS(거래내역!$D$2:$D$5000,거래내역!$E$2:$E$5000,$A41,거래내역!$L$2:$L$5000,"&gt;="&amp;설정!$B$8,거래내역!$L$2:$L$5000,"&lt;="&amp;설정!$B$7,거래내역!$H$2:$H$5000,설정!$B$5),SUMIFS(거래내역!$D$2:$D$5000,거래내역!$E$2:$E$5000,$A41,거래내역!$B$2:$B$5000,설정!$B$3,거래내역!$H$2:$H$5000,설정!$B$5)))</f>
        <v/>
      </c>
      <c r="G41" s="38" t="str">
        <f aca="false">IF(OR(A41="",N(E41)=0),"",F41/E41)</f>
        <v/>
      </c>
      <c r="H41" s="20" t="str">
        <f aca="false">IF(A41="","",E41-F41)</f>
        <v/>
      </c>
      <c r="I41" s="24" t="str">
        <f aca="false">IF(OR(A41="",N(E41)=0),"",IF(G41&gt;1,"🔴 초과",IF(AND(G41&gt;=0.9,B41&lt;&gt;"고정비"),"⚠ 주의","✅ 양호")))</f>
        <v/>
      </c>
      <c r="J41" s="20" t="str">
        <f aca="false">IF($A41="","",IF($C41="연",SUMIFS(거래내역!$D$2:$D$5000,거래내역!$E$2:$E$5000,$A41,거래내역!$L$2:$L$5000,"&gt;="&amp;설정!$B$8,거래내역!$L$2:$L$5000,"&lt;="&amp;설정!$B$7,거래내역!$H$2:$H$5000,"본인"),SUMIFS(거래내역!$D$2:$D$5000,거래내역!$E$2:$E$5000,$A41,거래내역!$B$2:$B$5000,설정!$B$3,거래내역!$H$2:$H$5000,"본인")))</f>
        <v/>
      </c>
      <c r="K41" s="20" t="str">
        <f aca="false">IF($A41="","",IF($C41="연",SUMIFS(거래내역!$D$2:$D$5000,거래내역!$E$2:$E$5000,$A41,거래내역!$L$2:$L$5000,"&gt;="&amp;설정!$B$8,거래내역!$L$2:$L$5000,"&lt;="&amp;설정!$B$7,거래내역!$H$2:$H$5000,"배우자"),SUMIFS(거래내역!$D$2:$D$5000,거래내역!$E$2:$E$5000,$A41,거래내역!$B$2:$B$5000,설정!$B$3,거래내역!$H$2:$H$5000,"배우자")))</f>
        <v/>
      </c>
      <c r="L41" s="20" t="str">
        <f aca="false">IF($A41="","",IF($C41="연",SUMIFS(거래내역!$D$2:$D$5000,거래내역!$E$2:$E$5000,$A41,거래내역!$L$2:$L$5000,"&gt;="&amp;설정!$B$8,거래내역!$L$2:$L$5000,"&lt;="&amp;설정!$B$7,거래내역!$H$2:$H$5000,"공동"),SUMIFS(거래내역!$D$2:$D$5000,거래내역!$E$2:$E$5000,$A41,거래내역!$B$2:$B$5000,설정!$B$3,거래내역!$H$2:$H$5000,"공동")))</f>
        <v/>
      </c>
      <c r="M41" s="39" t="str">
        <f aca="false">IF(ISNUMBER(SEARCH("초과",I41)),A41&amp;" "&amp;TEXT(G41,"0%"),"")</f>
        <v/>
      </c>
    </row>
    <row r="42" customFormat="false" ht="15" hidden="false" customHeight="false" outlineLevel="0" collapsed="false">
      <c r="A42" s="56"/>
      <c r="B42" s="19" t="str">
        <f aca="false">IF(A42="","",IFERROR(INDEX(카테고리!$B$2:$B$200,MATCH(A42,카테고리!$A$2:$A$200,0)),"?"))</f>
        <v/>
      </c>
      <c r="C42" s="45"/>
      <c r="D42" s="48"/>
      <c r="E42" s="20" t="str">
        <f aca="false">IF(A42="","",IF(C42="연",D42*설정!$B$9/12,D42))</f>
        <v/>
      </c>
      <c r="F42" s="20" t="str">
        <f aca="false">IF($A42="","",IF($C42="연",SUMIFS(거래내역!$D$2:$D$5000,거래내역!$E$2:$E$5000,$A42,거래내역!$L$2:$L$5000,"&gt;="&amp;설정!$B$8,거래내역!$L$2:$L$5000,"&lt;="&amp;설정!$B$7,거래내역!$H$2:$H$5000,설정!$B$5),SUMIFS(거래내역!$D$2:$D$5000,거래내역!$E$2:$E$5000,$A42,거래내역!$B$2:$B$5000,설정!$B$3,거래내역!$H$2:$H$5000,설정!$B$5)))</f>
        <v/>
      </c>
      <c r="G42" s="38" t="str">
        <f aca="false">IF(OR(A42="",N(E42)=0),"",F42/E42)</f>
        <v/>
      </c>
      <c r="H42" s="20" t="str">
        <f aca="false">IF(A42="","",E42-F42)</f>
        <v/>
      </c>
      <c r="I42" s="24" t="str">
        <f aca="false">IF(OR(A42="",N(E42)=0),"",IF(G42&gt;1,"🔴 초과",IF(AND(G42&gt;=0.9,B42&lt;&gt;"고정비"),"⚠ 주의","✅ 양호")))</f>
        <v/>
      </c>
      <c r="J42" s="20" t="str">
        <f aca="false">IF($A42="","",IF($C42="연",SUMIFS(거래내역!$D$2:$D$5000,거래내역!$E$2:$E$5000,$A42,거래내역!$L$2:$L$5000,"&gt;="&amp;설정!$B$8,거래내역!$L$2:$L$5000,"&lt;="&amp;설정!$B$7,거래내역!$H$2:$H$5000,"본인"),SUMIFS(거래내역!$D$2:$D$5000,거래내역!$E$2:$E$5000,$A42,거래내역!$B$2:$B$5000,설정!$B$3,거래내역!$H$2:$H$5000,"본인")))</f>
        <v/>
      </c>
      <c r="K42" s="20" t="str">
        <f aca="false">IF($A42="","",IF($C42="연",SUMIFS(거래내역!$D$2:$D$5000,거래내역!$E$2:$E$5000,$A42,거래내역!$L$2:$L$5000,"&gt;="&amp;설정!$B$8,거래내역!$L$2:$L$5000,"&lt;="&amp;설정!$B$7,거래내역!$H$2:$H$5000,"배우자"),SUMIFS(거래내역!$D$2:$D$5000,거래내역!$E$2:$E$5000,$A42,거래내역!$B$2:$B$5000,설정!$B$3,거래내역!$H$2:$H$5000,"배우자")))</f>
        <v/>
      </c>
      <c r="L42" s="20" t="str">
        <f aca="false">IF($A42="","",IF($C42="연",SUMIFS(거래내역!$D$2:$D$5000,거래내역!$E$2:$E$5000,$A42,거래내역!$L$2:$L$5000,"&gt;="&amp;설정!$B$8,거래내역!$L$2:$L$5000,"&lt;="&amp;설정!$B$7,거래내역!$H$2:$H$5000,"공동"),SUMIFS(거래내역!$D$2:$D$5000,거래내역!$E$2:$E$5000,$A42,거래내역!$B$2:$B$5000,설정!$B$3,거래내역!$H$2:$H$5000,"공동")))</f>
        <v/>
      </c>
      <c r="M42" s="39" t="str">
        <f aca="false">IF(ISNUMBER(SEARCH("초과",I42)),A42&amp;" "&amp;TEXT(G42,"0%"),"")</f>
        <v/>
      </c>
    </row>
    <row r="43" customFormat="false" ht="15" hidden="false" customHeight="false" outlineLevel="0" collapsed="false">
      <c r="A43" s="56"/>
      <c r="B43" s="19" t="str">
        <f aca="false">IF(A43="","",IFERROR(INDEX(카테고리!$B$2:$B$200,MATCH(A43,카테고리!$A$2:$A$200,0)),"?"))</f>
        <v/>
      </c>
      <c r="C43" s="45"/>
      <c r="D43" s="48"/>
      <c r="E43" s="20" t="str">
        <f aca="false">IF(A43="","",IF(C43="연",D43*설정!$B$9/12,D43))</f>
        <v/>
      </c>
      <c r="F43" s="20" t="str">
        <f aca="false">IF($A43="","",IF($C43="연",SUMIFS(거래내역!$D$2:$D$5000,거래내역!$E$2:$E$5000,$A43,거래내역!$L$2:$L$5000,"&gt;="&amp;설정!$B$8,거래내역!$L$2:$L$5000,"&lt;="&amp;설정!$B$7,거래내역!$H$2:$H$5000,설정!$B$5),SUMIFS(거래내역!$D$2:$D$5000,거래내역!$E$2:$E$5000,$A43,거래내역!$B$2:$B$5000,설정!$B$3,거래내역!$H$2:$H$5000,설정!$B$5)))</f>
        <v/>
      </c>
      <c r="G43" s="38" t="str">
        <f aca="false">IF(OR(A43="",N(E43)=0),"",F43/E43)</f>
        <v/>
      </c>
      <c r="H43" s="20" t="str">
        <f aca="false">IF(A43="","",E43-F43)</f>
        <v/>
      </c>
      <c r="I43" s="24" t="str">
        <f aca="false">IF(OR(A43="",N(E43)=0),"",IF(G43&gt;1,"🔴 초과",IF(AND(G43&gt;=0.9,B43&lt;&gt;"고정비"),"⚠ 주의","✅ 양호")))</f>
        <v/>
      </c>
      <c r="J43" s="20" t="str">
        <f aca="false">IF($A43="","",IF($C43="연",SUMIFS(거래내역!$D$2:$D$5000,거래내역!$E$2:$E$5000,$A43,거래내역!$L$2:$L$5000,"&gt;="&amp;설정!$B$8,거래내역!$L$2:$L$5000,"&lt;="&amp;설정!$B$7,거래내역!$H$2:$H$5000,"본인"),SUMIFS(거래내역!$D$2:$D$5000,거래내역!$E$2:$E$5000,$A43,거래내역!$B$2:$B$5000,설정!$B$3,거래내역!$H$2:$H$5000,"본인")))</f>
        <v/>
      </c>
      <c r="K43" s="20" t="str">
        <f aca="false">IF($A43="","",IF($C43="연",SUMIFS(거래내역!$D$2:$D$5000,거래내역!$E$2:$E$5000,$A43,거래내역!$L$2:$L$5000,"&gt;="&amp;설정!$B$8,거래내역!$L$2:$L$5000,"&lt;="&amp;설정!$B$7,거래내역!$H$2:$H$5000,"배우자"),SUMIFS(거래내역!$D$2:$D$5000,거래내역!$E$2:$E$5000,$A43,거래내역!$B$2:$B$5000,설정!$B$3,거래내역!$H$2:$H$5000,"배우자")))</f>
        <v/>
      </c>
      <c r="L43" s="20" t="str">
        <f aca="false">IF($A43="","",IF($C43="연",SUMIFS(거래내역!$D$2:$D$5000,거래내역!$E$2:$E$5000,$A43,거래내역!$L$2:$L$5000,"&gt;="&amp;설정!$B$8,거래내역!$L$2:$L$5000,"&lt;="&amp;설정!$B$7,거래내역!$H$2:$H$5000,"공동"),SUMIFS(거래내역!$D$2:$D$5000,거래내역!$E$2:$E$5000,$A43,거래내역!$B$2:$B$5000,설정!$B$3,거래내역!$H$2:$H$5000,"공동")))</f>
        <v/>
      </c>
      <c r="M43" s="39" t="str">
        <f aca="false">IF(ISNUMBER(SEARCH("초과",I43)),A43&amp;" "&amp;TEXT(G43,"0%"),"")</f>
        <v/>
      </c>
    </row>
    <row r="45" customFormat="false" ht="15" hidden="false" customHeight="false" outlineLevel="0" collapsed="false">
      <c r="A45" s="40" t="s">
        <v>225</v>
      </c>
      <c r="D45" s="42" t="n">
        <f aca="false">SUMIFS(D$4:D$43,$C$4:$C$43,"월")</f>
        <v>5680000</v>
      </c>
      <c r="E45" s="42" t="n">
        <f aca="false">SUMIFS(E$4:E$43,$C$4:$C$43,"월")</f>
        <v>5680000</v>
      </c>
      <c r="F45" s="42" t="n">
        <f aca="false">SUMIFS(F$4:F$43,$C$4:$C$43,"월")</f>
        <v>0</v>
      </c>
      <c r="G45" s="41" t="n">
        <f aca="false">IF(E45=0,0,F45/E45)</f>
        <v>0</v>
      </c>
      <c r="H45" s="42" t="n">
        <f aca="false">E45-F45</f>
        <v>5680000</v>
      </c>
      <c r="I45" s="62" t="str">
        <f aca="false">IF(E45=0,"",IF(G45&gt;1,"🔴 초과",IF(G45&gt;=0.9,"⚠ 주의","✅ 양호")))</f>
        <v>✅ 양호</v>
      </c>
      <c r="J45" s="42" t="n">
        <f aca="false">SUMIFS(J$4:J$43,$C$4:$C$43,"월")</f>
        <v>0</v>
      </c>
      <c r="K45" s="42" t="n">
        <f aca="false">SUMIFS(K$4:K$43,$C$4:$C$43,"월")</f>
        <v>0</v>
      </c>
      <c r="L45" s="42" t="n">
        <f aca="false">SUMIFS(L$4:L$43,$C$4:$C$43,"월")</f>
        <v>0</v>
      </c>
    </row>
    <row r="46" customFormat="false" ht="15" hidden="false" customHeight="false" outlineLevel="0" collapsed="false">
      <c r="A46" s="40" t="s">
        <v>226</v>
      </c>
      <c r="D46" s="42" t="n">
        <f aca="false">SUMIFS(D$4:D$43,$C$4:$C$43,"연")</f>
        <v>9700000</v>
      </c>
      <c r="E46" s="42" t="n">
        <f aca="false">SUMIFS(E$4:E$43,$C$4:$C$43,"연")</f>
        <v>7275000</v>
      </c>
      <c r="F46" s="42" t="n">
        <f aca="false">SUMIFS(F$4:F$43,$C$4:$C$43,"연")</f>
        <v>0</v>
      </c>
      <c r="G46" s="41" t="n">
        <f aca="false">IF(E46=0,0,F46/E46)</f>
        <v>0</v>
      </c>
      <c r="H46" s="42" t="n">
        <f aca="false">E46-F46</f>
        <v>7275000</v>
      </c>
      <c r="I46" s="62" t="str">
        <f aca="false">IF(E46=0,"",IF(G46&gt;1,"🔴 초과",IF(G46&gt;=0.9,"⚠ 주의","✅ 양호")))</f>
        <v>✅ 양호</v>
      </c>
      <c r="J46" s="42" t="n">
        <f aca="false">SUMIFS(J$4:J$43,$C$4:$C$43,"연")</f>
        <v>0</v>
      </c>
      <c r="K46" s="42" t="n">
        <f aca="false">SUMIFS(K$4:K$43,$C$4:$C$43,"연")</f>
        <v>0</v>
      </c>
      <c r="L46" s="42" t="n">
        <f aca="false">SUMIFS(L$4:L$43,$C$4:$C$43,"연")</f>
        <v>0</v>
      </c>
    </row>
  </sheetData>
  <conditionalFormatting sqref="I4:I46">
    <cfRule type="expression" priority="2" aboveAverage="0" equalAverage="0" bottom="0" percent="0" rank="0" text="" dxfId="0">
      <formula>OR(ISNUMBER(SEARCH("초과",I4)),ISNUMBER(SEARCH("부족",I4)),ISNUMBER(SEARCH("공백",I4)))</formula>
    </cfRule>
    <cfRule type="expression" priority="3" aboveAverage="0" equalAverage="0" bottom="0" percent="0" rank="0" text="" dxfId="1">
      <formula>OR(ISNUMBER(SEARCH("주의",I4)),ISNUMBER(SEARCH("미달",I4)),ISNUMBER(SEARCH("지연",I4)),ISNUMBER(SEARCH("리밸런싱",I4)),ISNUMBER(SEARCH("감소",I4)))</formula>
    </cfRule>
    <cfRule type="expression" priority="4" aboveAverage="0" equalAverage="0" bottom="0" percent="0" rank="0" text="" dxfId="2">
      <formula>OR(ISNUMBER(SEARCH("양호",I4)),ISNUMBER(SEARCH("달성",I4)),ISNUMBER(SEARCH("순항",I4)),ISNUMBER(SEARCH("정상",I4)),ISNUMBER(SEARCH("증가",I4)),ISNUMBER(SEARCH("보장",I4)),ISNUMBER(SEARCH("적정",I4)))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A4:A43" type="list">
      <formula1>카테고리!$A$2:$A$200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C4:C43" type="list">
      <formula1>"월,연"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.5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20.85" hidden="false" customHeight="false" outlineLevel="0" collapsed="false">
      <c r="A1" s="34" t="s">
        <v>227</v>
      </c>
    </row>
    <row r="2" customFormat="false" ht="15" hidden="false" customHeight="false" outlineLevel="0" collapsed="false">
      <c r="A2" s="33" t="s">
        <v>228</v>
      </c>
    </row>
    <row r="3" customFormat="false" ht="26.85" hidden="false" customHeight="false" outlineLevel="0" collapsed="false">
      <c r="A3" s="32" t="s">
        <v>106</v>
      </c>
      <c r="B3" s="32" t="str">
        <f aca="false">TEXT(EDATE(DATEVALUE(설정!$B$3&amp;"-01"),-11),"yyyy-mm")</f>
        <v>2025-10</v>
      </c>
      <c r="C3" s="32" t="str">
        <f aca="false">TEXT(EDATE(DATEVALUE(설정!$B$3&amp;"-01"),-10),"yyyy-mm")</f>
        <v>2025-11</v>
      </c>
      <c r="D3" s="32" t="str">
        <f aca="false">TEXT(EDATE(DATEVALUE(설정!$B$3&amp;"-01"),-9),"yyyy-mm")</f>
        <v>2025-12</v>
      </c>
      <c r="E3" s="32" t="str">
        <f aca="false">TEXT(EDATE(DATEVALUE(설정!$B$3&amp;"-01"),-8),"yyyy-mm")</f>
        <v>2026-01</v>
      </c>
      <c r="F3" s="32" t="str">
        <f aca="false">TEXT(EDATE(DATEVALUE(설정!$B$3&amp;"-01"),-7),"yyyy-mm")</f>
        <v>2026-02</v>
      </c>
      <c r="G3" s="32" t="str">
        <f aca="false">TEXT(EDATE(DATEVALUE(설정!$B$3&amp;"-01"),-6),"yyyy-mm")</f>
        <v>2026-03</v>
      </c>
      <c r="H3" s="32" t="str">
        <f aca="false">TEXT(EDATE(DATEVALUE(설정!$B$3&amp;"-01"),-5),"yyyy-mm")</f>
        <v>2026-04</v>
      </c>
      <c r="I3" s="32" t="str">
        <f aca="false">TEXT(EDATE(DATEVALUE(설정!$B$3&amp;"-01"),-4),"yyyy-mm")</f>
        <v>2026-05</v>
      </c>
      <c r="J3" s="32" t="str">
        <f aca="false">TEXT(EDATE(DATEVALUE(설정!$B$3&amp;"-01"),-3),"yyyy-mm")</f>
        <v>2026-06</v>
      </c>
      <c r="K3" s="32" t="str">
        <f aca="false">TEXT(EDATE(DATEVALUE(설정!$B$3&amp;"-01"),-2),"yyyy-mm")</f>
        <v>2026-07</v>
      </c>
      <c r="L3" s="32" t="str">
        <f aca="false">TEXT(EDATE(DATEVALUE(설정!$B$3&amp;"-01"),-1),"yyyy-mm")</f>
        <v>2026-08</v>
      </c>
      <c r="M3" s="32" t="str">
        <f aca="false">TEXT(EDATE(DATEVALUE(설정!$B$3&amp;"-01"),0),"yyyy-mm")</f>
        <v>2026-09</v>
      </c>
      <c r="N3" s="35" t="s">
        <v>229</v>
      </c>
      <c r="O3" s="32" t="s">
        <v>230</v>
      </c>
      <c r="P3" s="32" t="s">
        <v>231</v>
      </c>
    </row>
    <row r="4" customFormat="false" ht="15" hidden="false" customHeight="false" outlineLevel="0" collapsed="false">
      <c r="A4" s="63" t="s">
        <v>232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customFormat="false" ht="15" hidden="false" customHeight="false" outlineLevel="0" collapsed="false">
      <c r="A5" s="36" t="s">
        <v>233</v>
      </c>
      <c r="B5" s="20" t="n">
        <f aca="false">SUMIFS(거래내역!$D$2:$D$5000,거래내역!$B$2:$B$5000,B$3,거래내역!$E$2:$E$5000,"급여",거래내역!$H$2:$H$5000,설정!$B$5)</f>
        <v>0</v>
      </c>
      <c r="C5" s="20" t="n">
        <f aca="false">SUMIFS(거래내역!$D$2:$D$5000,거래내역!$B$2:$B$5000,C$3,거래내역!$E$2:$E$5000,"급여",거래내역!$H$2:$H$5000,설정!$B$5)</f>
        <v>0</v>
      </c>
      <c r="D5" s="20" t="n">
        <f aca="false">SUMIFS(거래내역!$D$2:$D$5000,거래내역!$B$2:$B$5000,D$3,거래내역!$E$2:$E$5000,"급여",거래내역!$H$2:$H$5000,설정!$B$5)</f>
        <v>0</v>
      </c>
      <c r="E5" s="20" t="n">
        <f aca="false">SUMIFS(거래내역!$D$2:$D$5000,거래내역!$B$2:$B$5000,E$3,거래내역!$E$2:$E$5000,"급여",거래내역!$H$2:$H$5000,설정!$B$5)</f>
        <v>0</v>
      </c>
      <c r="F5" s="20" t="n">
        <f aca="false">SUMIFS(거래내역!$D$2:$D$5000,거래내역!$B$2:$B$5000,F$3,거래내역!$E$2:$E$5000,"급여",거래내역!$H$2:$H$5000,설정!$B$5)</f>
        <v>0</v>
      </c>
      <c r="G5" s="20" t="n">
        <f aca="false">SUMIFS(거래내역!$D$2:$D$5000,거래내역!$B$2:$B$5000,G$3,거래내역!$E$2:$E$5000,"급여",거래내역!$H$2:$H$5000,설정!$B$5)</f>
        <v>0</v>
      </c>
      <c r="H5" s="20" t="n">
        <f aca="false">SUMIFS(거래내역!$D$2:$D$5000,거래내역!$B$2:$B$5000,H$3,거래내역!$E$2:$E$5000,"급여",거래내역!$H$2:$H$5000,설정!$B$5)</f>
        <v>0</v>
      </c>
      <c r="I5" s="20" t="n">
        <f aca="false">SUMIFS(거래내역!$D$2:$D$5000,거래내역!$B$2:$B$5000,I$3,거래내역!$E$2:$E$5000,"급여",거래내역!$H$2:$H$5000,설정!$B$5)</f>
        <v>0</v>
      </c>
      <c r="J5" s="20" t="n">
        <f aca="false">SUMIFS(거래내역!$D$2:$D$5000,거래내역!$B$2:$B$5000,J$3,거래내역!$E$2:$E$5000,"급여",거래내역!$H$2:$H$5000,설정!$B$5)</f>
        <v>0</v>
      </c>
      <c r="K5" s="20" t="n">
        <f aca="false">SUMIFS(거래내역!$D$2:$D$5000,거래내역!$B$2:$B$5000,K$3,거래내역!$E$2:$E$5000,"급여",거래내역!$H$2:$H$5000,설정!$B$5)</f>
        <v>0</v>
      </c>
      <c r="L5" s="20" t="n">
        <f aca="false">SUMIFS(거래내역!$D$2:$D$5000,거래내역!$B$2:$B$5000,L$3,거래내역!$E$2:$E$5000,"급여",거래내역!$H$2:$H$5000,설정!$B$5)</f>
        <v>0</v>
      </c>
      <c r="M5" s="20" t="n">
        <f aca="false">SUMIFS(거래내역!$D$2:$D$5000,거래내역!$B$2:$B$5000,M$3,거래내역!$E$2:$E$5000,"급여",거래내역!$H$2:$H$5000,설정!$B$5)</f>
        <v>0</v>
      </c>
      <c r="N5" s="20" t="n">
        <f aca="false">SUM(B5:M5)</f>
        <v>0</v>
      </c>
      <c r="O5" s="20" t="n">
        <f aca="false">N5/12</f>
        <v>0</v>
      </c>
      <c r="P5" s="20" t="n">
        <f aca="false">AVERAGE(K5:M5)</f>
        <v>0</v>
      </c>
    </row>
    <row r="6" customFormat="false" ht="15" hidden="false" customHeight="false" outlineLevel="0" collapsed="false">
      <c r="A6" s="36" t="s">
        <v>234</v>
      </c>
      <c r="B6" s="20" t="n">
        <f aca="false">SUMIFS(거래내역!$D$2:$D$5000,거래내역!$B$2:$B$5000,B$3,거래내역!$E$2:$E$5000,"상여",거래내역!$H$2:$H$5000,설정!$B$5)</f>
        <v>0</v>
      </c>
      <c r="C6" s="20" t="n">
        <f aca="false">SUMIFS(거래내역!$D$2:$D$5000,거래내역!$B$2:$B$5000,C$3,거래내역!$E$2:$E$5000,"상여",거래내역!$H$2:$H$5000,설정!$B$5)</f>
        <v>0</v>
      </c>
      <c r="D6" s="20" t="n">
        <f aca="false">SUMIFS(거래내역!$D$2:$D$5000,거래내역!$B$2:$B$5000,D$3,거래내역!$E$2:$E$5000,"상여",거래내역!$H$2:$H$5000,설정!$B$5)</f>
        <v>0</v>
      </c>
      <c r="E6" s="20" t="n">
        <f aca="false">SUMIFS(거래내역!$D$2:$D$5000,거래내역!$B$2:$B$5000,E$3,거래내역!$E$2:$E$5000,"상여",거래내역!$H$2:$H$5000,설정!$B$5)</f>
        <v>0</v>
      </c>
      <c r="F6" s="20" t="n">
        <f aca="false">SUMIFS(거래내역!$D$2:$D$5000,거래내역!$B$2:$B$5000,F$3,거래내역!$E$2:$E$5000,"상여",거래내역!$H$2:$H$5000,설정!$B$5)</f>
        <v>0</v>
      </c>
      <c r="G6" s="20" t="n">
        <f aca="false">SUMIFS(거래내역!$D$2:$D$5000,거래내역!$B$2:$B$5000,G$3,거래내역!$E$2:$E$5000,"상여",거래내역!$H$2:$H$5000,설정!$B$5)</f>
        <v>0</v>
      </c>
      <c r="H6" s="20" t="n">
        <f aca="false">SUMIFS(거래내역!$D$2:$D$5000,거래내역!$B$2:$B$5000,H$3,거래내역!$E$2:$E$5000,"상여",거래내역!$H$2:$H$5000,설정!$B$5)</f>
        <v>0</v>
      </c>
      <c r="I6" s="20" t="n">
        <f aca="false">SUMIFS(거래내역!$D$2:$D$5000,거래내역!$B$2:$B$5000,I$3,거래내역!$E$2:$E$5000,"상여",거래내역!$H$2:$H$5000,설정!$B$5)</f>
        <v>0</v>
      </c>
      <c r="J6" s="20" t="n">
        <f aca="false">SUMIFS(거래내역!$D$2:$D$5000,거래내역!$B$2:$B$5000,J$3,거래내역!$E$2:$E$5000,"상여",거래내역!$H$2:$H$5000,설정!$B$5)</f>
        <v>0</v>
      </c>
      <c r="K6" s="20" t="n">
        <f aca="false">SUMIFS(거래내역!$D$2:$D$5000,거래내역!$B$2:$B$5000,K$3,거래내역!$E$2:$E$5000,"상여",거래내역!$H$2:$H$5000,설정!$B$5)</f>
        <v>0</v>
      </c>
      <c r="L6" s="20" t="n">
        <f aca="false">SUMIFS(거래내역!$D$2:$D$5000,거래내역!$B$2:$B$5000,L$3,거래내역!$E$2:$E$5000,"상여",거래내역!$H$2:$H$5000,설정!$B$5)</f>
        <v>0</v>
      </c>
      <c r="M6" s="20" t="n">
        <f aca="false">SUMIFS(거래내역!$D$2:$D$5000,거래내역!$B$2:$B$5000,M$3,거래내역!$E$2:$E$5000,"상여",거래내역!$H$2:$H$5000,설정!$B$5)</f>
        <v>0</v>
      </c>
      <c r="N6" s="20" t="n">
        <f aca="false">SUM(B6:M6)</f>
        <v>0</v>
      </c>
      <c r="O6" s="20" t="n">
        <f aca="false">N6/12</f>
        <v>0</v>
      </c>
      <c r="P6" s="20" t="n">
        <f aca="false">AVERAGE(K6:M6)</f>
        <v>0</v>
      </c>
    </row>
    <row r="7" customFormat="false" ht="15" hidden="false" customHeight="false" outlineLevel="0" collapsed="false">
      <c r="A7" s="36" t="s">
        <v>235</v>
      </c>
      <c r="B7" s="20" t="n">
        <f aca="false">SUMIFS(거래내역!$D$2:$D$5000,거래내역!$B$2:$B$5000,B$3,거래내역!$E$2:$E$5000,"이자배당",거래내역!$H$2:$H$5000,설정!$B$5)</f>
        <v>0</v>
      </c>
      <c r="C7" s="20" t="n">
        <f aca="false">SUMIFS(거래내역!$D$2:$D$5000,거래내역!$B$2:$B$5000,C$3,거래내역!$E$2:$E$5000,"이자배당",거래내역!$H$2:$H$5000,설정!$B$5)</f>
        <v>0</v>
      </c>
      <c r="D7" s="20" t="n">
        <f aca="false">SUMIFS(거래내역!$D$2:$D$5000,거래내역!$B$2:$B$5000,D$3,거래내역!$E$2:$E$5000,"이자배당",거래내역!$H$2:$H$5000,설정!$B$5)</f>
        <v>0</v>
      </c>
      <c r="E7" s="20" t="n">
        <f aca="false">SUMIFS(거래내역!$D$2:$D$5000,거래내역!$B$2:$B$5000,E$3,거래내역!$E$2:$E$5000,"이자배당",거래내역!$H$2:$H$5000,설정!$B$5)</f>
        <v>0</v>
      </c>
      <c r="F7" s="20" t="n">
        <f aca="false">SUMIFS(거래내역!$D$2:$D$5000,거래내역!$B$2:$B$5000,F$3,거래내역!$E$2:$E$5000,"이자배당",거래내역!$H$2:$H$5000,설정!$B$5)</f>
        <v>0</v>
      </c>
      <c r="G7" s="20" t="n">
        <f aca="false">SUMIFS(거래내역!$D$2:$D$5000,거래내역!$B$2:$B$5000,G$3,거래내역!$E$2:$E$5000,"이자배당",거래내역!$H$2:$H$5000,설정!$B$5)</f>
        <v>0</v>
      </c>
      <c r="H7" s="20" t="n">
        <f aca="false">SUMIFS(거래내역!$D$2:$D$5000,거래내역!$B$2:$B$5000,H$3,거래내역!$E$2:$E$5000,"이자배당",거래내역!$H$2:$H$5000,설정!$B$5)</f>
        <v>0</v>
      </c>
      <c r="I7" s="20" t="n">
        <f aca="false">SUMIFS(거래내역!$D$2:$D$5000,거래내역!$B$2:$B$5000,I$3,거래내역!$E$2:$E$5000,"이자배당",거래내역!$H$2:$H$5000,설정!$B$5)</f>
        <v>0</v>
      </c>
      <c r="J7" s="20" t="n">
        <f aca="false">SUMIFS(거래내역!$D$2:$D$5000,거래내역!$B$2:$B$5000,J$3,거래내역!$E$2:$E$5000,"이자배당",거래내역!$H$2:$H$5000,설정!$B$5)</f>
        <v>0</v>
      </c>
      <c r="K7" s="20" t="n">
        <f aca="false">SUMIFS(거래내역!$D$2:$D$5000,거래내역!$B$2:$B$5000,K$3,거래내역!$E$2:$E$5000,"이자배당",거래내역!$H$2:$H$5000,설정!$B$5)</f>
        <v>0</v>
      </c>
      <c r="L7" s="20" t="n">
        <f aca="false">SUMIFS(거래내역!$D$2:$D$5000,거래내역!$B$2:$B$5000,L$3,거래내역!$E$2:$E$5000,"이자배당",거래내역!$H$2:$H$5000,설정!$B$5)</f>
        <v>0</v>
      </c>
      <c r="M7" s="20" t="n">
        <f aca="false">SUMIFS(거래내역!$D$2:$D$5000,거래내역!$B$2:$B$5000,M$3,거래내역!$E$2:$E$5000,"이자배당",거래내역!$H$2:$H$5000,설정!$B$5)</f>
        <v>0</v>
      </c>
      <c r="N7" s="20" t="n">
        <f aca="false">SUM(B7:M7)</f>
        <v>0</v>
      </c>
      <c r="O7" s="20" t="n">
        <f aca="false">N7/12</f>
        <v>0</v>
      </c>
      <c r="P7" s="20" t="n">
        <f aca="false">AVERAGE(K7:M7)</f>
        <v>0</v>
      </c>
    </row>
    <row r="8" customFormat="false" ht="15" hidden="false" customHeight="false" outlineLevel="0" collapsed="false">
      <c r="A8" s="36" t="s">
        <v>236</v>
      </c>
      <c r="B8" s="20" t="n">
        <f aca="false">SUMIFS(거래내역!$D$2:$D$5000,거래내역!$B$2:$B$5000,B$3,거래내역!$E$2:$E$5000,"부수입",거래내역!$H$2:$H$5000,설정!$B$5)</f>
        <v>0</v>
      </c>
      <c r="C8" s="20" t="n">
        <f aca="false">SUMIFS(거래내역!$D$2:$D$5000,거래내역!$B$2:$B$5000,C$3,거래내역!$E$2:$E$5000,"부수입",거래내역!$H$2:$H$5000,설정!$B$5)</f>
        <v>0</v>
      </c>
      <c r="D8" s="20" t="n">
        <f aca="false">SUMIFS(거래내역!$D$2:$D$5000,거래내역!$B$2:$B$5000,D$3,거래내역!$E$2:$E$5000,"부수입",거래내역!$H$2:$H$5000,설정!$B$5)</f>
        <v>0</v>
      </c>
      <c r="E8" s="20" t="n">
        <f aca="false">SUMIFS(거래내역!$D$2:$D$5000,거래내역!$B$2:$B$5000,E$3,거래내역!$E$2:$E$5000,"부수입",거래내역!$H$2:$H$5000,설정!$B$5)</f>
        <v>0</v>
      </c>
      <c r="F8" s="20" t="n">
        <f aca="false">SUMIFS(거래내역!$D$2:$D$5000,거래내역!$B$2:$B$5000,F$3,거래내역!$E$2:$E$5000,"부수입",거래내역!$H$2:$H$5000,설정!$B$5)</f>
        <v>0</v>
      </c>
      <c r="G8" s="20" t="n">
        <f aca="false">SUMIFS(거래내역!$D$2:$D$5000,거래내역!$B$2:$B$5000,G$3,거래내역!$E$2:$E$5000,"부수입",거래내역!$H$2:$H$5000,설정!$B$5)</f>
        <v>0</v>
      </c>
      <c r="H8" s="20" t="n">
        <f aca="false">SUMIFS(거래내역!$D$2:$D$5000,거래내역!$B$2:$B$5000,H$3,거래내역!$E$2:$E$5000,"부수입",거래내역!$H$2:$H$5000,설정!$B$5)</f>
        <v>0</v>
      </c>
      <c r="I8" s="20" t="n">
        <f aca="false">SUMIFS(거래내역!$D$2:$D$5000,거래내역!$B$2:$B$5000,I$3,거래내역!$E$2:$E$5000,"부수입",거래내역!$H$2:$H$5000,설정!$B$5)</f>
        <v>0</v>
      </c>
      <c r="J8" s="20" t="n">
        <f aca="false">SUMIFS(거래내역!$D$2:$D$5000,거래내역!$B$2:$B$5000,J$3,거래내역!$E$2:$E$5000,"부수입",거래내역!$H$2:$H$5000,설정!$B$5)</f>
        <v>0</v>
      </c>
      <c r="K8" s="20" t="n">
        <f aca="false">SUMIFS(거래내역!$D$2:$D$5000,거래내역!$B$2:$B$5000,K$3,거래내역!$E$2:$E$5000,"부수입",거래내역!$H$2:$H$5000,설정!$B$5)</f>
        <v>0</v>
      </c>
      <c r="L8" s="20" t="n">
        <f aca="false">SUMIFS(거래내역!$D$2:$D$5000,거래내역!$B$2:$B$5000,L$3,거래내역!$E$2:$E$5000,"부수입",거래내역!$H$2:$H$5000,설정!$B$5)</f>
        <v>0</v>
      </c>
      <c r="M8" s="20" t="n">
        <f aca="false">SUMIFS(거래내역!$D$2:$D$5000,거래내역!$B$2:$B$5000,M$3,거래내역!$E$2:$E$5000,"부수입",거래내역!$H$2:$H$5000,설정!$B$5)</f>
        <v>0</v>
      </c>
      <c r="N8" s="20" t="n">
        <f aca="false">SUM(B8:M8)</f>
        <v>0</v>
      </c>
      <c r="O8" s="20" t="n">
        <f aca="false">N8/12</f>
        <v>0</v>
      </c>
      <c r="P8" s="20" t="n">
        <f aca="false">AVERAGE(K8:M8)</f>
        <v>0</v>
      </c>
    </row>
    <row r="9" customFormat="false" ht="15" hidden="false" customHeight="false" outlineLevel="0" collapsed="false">
      <c r="A9" s="40" t="s">
        <v>237</v>
      </c>
      <c r="B9" s="42" t="n">
        <f aca="false">SUMIFS(거래내역!$D$2:$D$5000,거래내역!$B$2:$B$5000,B$3,거래내역!$F$2:$F$5000,"소득",거래내역!$H$2:$H$5000,설정!$B$5)</f>
        <v>0</v>
      </c>
      <c r="C9" s="42" t="n">
        <f aca="false">SUMIFS(거래내역!$D$2:$D$5000,거래내역!$B$2:$B$5000,C$3,거래내역!$F$2:$F$5000,"소득",거래내역!$H$2:$H$5000,설정!$B$5)</f>
        <v>0</v>
      </c>
      <c r="D9" s="42" t="n">
        <f aca="false">SUMIFS(거래내역!$D$2:$D$5000,거래내역!$B$2:$B$5000,D$3,거래내역!$F$2:$F$5000,"소득",거래내역!$H$2:$H$5000,설정!$B$5)</f>
        <v>0</v>
      </c>
      <c r="E9" s="42" t="n">
        <f aca="false">SUMIFS(거래내역!$D$2:$D$5000,거래내역!$B$2:$B$5000,E$3,거래내역!$F$2:$F$5000,"소득",거래내역!$H$2:$H$5000,설정!$B$5)</f>
        <v>0</v>
      </c>
      <c r="F9" s="42" t="n">
        <f aca="false">SUMIFS(거래내역!$D$2:$D$5000,거래내역!$B$2:$B$5000,F$3,거래내역!$F$2:$F$5000,"소득",거래내역!$H$2:$H$5000,설정!$B$5)</f>
        <v>0</v>
      </c>
      <c r="G9" s="42" t="n">
        <f aca="false">SUMIFS(거래내역!$D$2:$D$5000,거래내역!$B$2:$B$5000,G$3,거래내역!$F$2:$F$5000,"소득",거래내역!$H$2:$H$5000,설정!$B$5)</f>
        <v>0</v>
      </c>
      <c r="H9" s="42" t="n">
        <f aca="false">SUMIFS(거래내역!$D$2:$D$5000,거래내역!$B$2:$B$5000,H$3,거래내역!$F$2:$F$5000,"소득",거래내역!$H$2:$H$5000,설정!$B$5)</f>
        <v>0</v>
      </c>
      <c r="I9" s="42" t="n">
        <f aca="false">SUMIFS(거래내역!$D$2:$D$5000,거래내역!$B$2:$B$5000,I$3,거래내역!$F$2:$F$5000,"소득",거래내역!$H$2:$H$5000,설정!$B$5)</f>
        <v>0</v>
      </c>
      <c r="J9" s="42" t="n">
        <f aca="false">SUMIFS(거래내역!$D$2:$D$5000,거래내역!$B$2:$B$5000,J$3,거래내역!$F$2:$F$5000,"소득",거래내역!$H$2:$H$5000,설정!$B$5)</f>
        <v>0</v>
      </c>
      <c r="K9" s="42" t="n">
        <f aca="false">SUMIFS(거래내역!$D$2:$D$5000,거래내역!$B$2:$B$5000,K$3,거래내역!$F$2:$F$5000,"소득",거래내역!$H$2:$H$5000,설정!$B$5)</f>
        <v>0</v>
      </c>
      <c r="L9" s="42" t="n">
        <f aca="false">SUMIFS(거래내역!$D$2:$D$5000,거래내역!$B$2:$B$5000,L$3,거래내역!$F$2:$F$5000,"소득",거래내역!$H$2:$H$5000,설정!$B$5)</f>
        <v>0</v>
      </c>
      <c r="M9" s="42" t="n">
        <f aca="false">SUMIFS(거래내역!$D$2:$D$5000,거래내역!$B$2:$B$5000,M$3,거래내역!$F$2:$F$5000,"소득",거래내역!$H$2:$H$5000,설정!$B$5)</f>
        <v>0</v>
      </c>
      <c r="N9" s="42" t="n">
        <f aca="false">SUM(B9:M9)</f>
        <v>0</v>
      </c>
      <c r="O9" s="42" t="n">
        <f aca="false">N9/12</f>
        <v>0</v>
      </c>
      <c r="P9" s="42" t="n">
        <f aca="false">AVERAGE(K9:M9)</f>
        <v>0</v>
      </c>
    </row>
    <row r="10" customFormat="false" ht="15" hidden="false" customHeight="false" outlineLevel="0" collapsed="false">
      <c r="A10" s="63" t="s">
        <v>238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customFormat="false" ht="15" hidden="false" customHeight="false" outlineLevel="0" collapsed="false">
      <c r="A11" s="36" t="s">
        <v>239</v>
      </c>
      <c r="B11" s="20" t="n">
        <f aca="false">SUMIFS(거래내역!$D$2:$D$5000,거래내역!$B$2:$B$5000,B$3,거래내역!$E$2:$E$5000,"주거관리비",거래내역!$H$2:$H$5000,설정!$B$5)</f>
        <v>0</v>
      </c>
      <c r="C11" s="20" t="n">
        <f aca="false">SUMIFS(거래내역!$D$2:$D$5000,거래내역!$B$2:$B$5000,C$3,거래내역!$E$2:$E$5000,"주거관리비",거래내역!$H$2:$H$5000,설정!$B$5)</f>
        <v>0</v>
      </c>
      <c r="D11" s="20" t="n">
        <f aca="false">SUMIFS(거래내역!$D$2:$D$5000,거래내역!$B$2:$B$5000,D$3,거래내역!$E$2:$E$5000,"주거관리비",거래내역!$H$2:$H$5000,설정!$B$5)</f>
        <v>0</v>
      </c>
      <c r="E11" s="20" t="n">
        <f aca="false">SUMIFS(거래내역!$D$2:$D$5000,거래내역!$B$2:$B$5000,E$3,거래내역!$E$2:$E$5000,"주거관리비",거래내역!$H$2:$H$5000,설정!$B$5)</f>
        <v>0</v>
      </c>
      <c r="F11" s="20" t="n">
        <f aca="false">SUMIFS(거래내역!$D$2:$D$5000,거래내역!$B$2:$B$5000,F$3,거래내역!$E$2:$E$5000,"주거관리비",거래내역!$H$2:$H$5000,설정!$B$5)</f>
        <v>0</v>
      </c>
      <c r="G11" s="20" t="n">
        <f aca="false">SUMIFS(거래내역!$D$2:$D$5000,거래내역!$B$2:$B$5000,G$3,거래내역!$E$2:$E$5000,"주거관리비",거래내역!$H$2:$H$5000,설정!$B$5)</f>
        <v>0</v>
      </c>
      <c r="H11" s="20" t="n">
        <f aca="false">SUMIFS(거래내역!$D$2:$D$5000,거래내역!$B$2:$B$5000,H$3,거래내역!$E$2:$E$5000,"주거관리비",거래내역!$H$2:$H$5000,설정!$B$5)</f>
        <v>0</v>
      </c>
      <c r="I11" s="20" t="n">
        <f aca="false">SUMIFS(거래내역!$D$2:$D$5000,거래내역!$B$2:$B$5000,I$3,거래내역!$E$2:$E$5000,"주거관리비",거래내역!$H$2:$H$5000,설정!$B$5)</f>
        <v>0</v>
      </c>
      <c r="J11" s="20" t="n">
        <f aca="false">SUMIFS(거래내역!$D$2:$D$5000,거래내역!$B$2:$B$5000,J$3,거래내역!$E$2:$E$5000,"주거관리비",거래내역!$H$2:$H$5000,설정!$B$5)</f>
        <v>0</v>
      </c>
      <c r="K11" s="20" t="n">
        <f aca="false">SUMIFS(거래내역!$D$2:$D$5000,거래내역!$B$2:$B$5000,K$3,거래내역!$E$2:$E$5000,"주거관리비",거래내역!$H$2:$H$5000,설정!$B$5)</f>
        <v>0</v>
      </c>
      <c r="L11" s="20" t="n">
        <f aca="false">SUMIFS(거래내역!$D$2:$D$5000,거래내역!$B$2:$B$5000,L$3,거래내역!$E$2:$E$5000,"주거관리비",거래내역!$H$2:$H$5000,설정!$B$5)</f>
        <v>0</v>
      </c>
      <c r="M11" s="20" t="n">
        <f aca="false">SUMIFS(거래내역!$D$2:$D$5000,거래내역!$B$2:$B$5000,M$3,거래내역!$E$2:$E$5000,"주거관리비",거래내역!$H$2:$H$5000,설정!$B$5)</f>
        <v>0</v>
      </c>
      <c r="N11" s="20" t="n">
        <f aca="false">SUM(B11:M11)</f>
        <v>0</v>
      </c>
      <c r="O11" s="20" t="n">
        <f aca="false">N11/12</f>
        <v>0</v>
      </c>
      <c r="P11" s="20" t="n">
        <f aca="false">AVERAGE(K11:M11)</f>
        <v>0</v>
      </c>
    </row>
    <row r="12" customFormat="false" ht="15" hidden="false" customHeight="false" outlineLevel="0" collapsed="false">
      <c r="A12" s="36" t="s">
        <v>240</v>
      </c>
      <c r="B12" s="20" t="n">
        <f aca="false">SUMIFS(거래내역!$D$2:$D$5000,거래내역!$B$2:$B$5000,B$3,거래내역!$E$2:$E$5000,"대출이자",거래내역!$H$2:$H$5000,설정!$B$5)</f>
        <v>0</v>
      </c>
      <c r="C12" s="20" t="n">
        <f aca="false">SUMIFS(거래내역!$D$2:$D$5000,거래내역!$B$2:$B$5000,C$3,거래내역!$E$2:$E$5000,"대출이자",거래내역!$H$2:$H$5000,설정!$B$5)</f>
        <v>0</v>
      </c>
      <c r="D12" s="20" t="n">
        <f aca="false">SUMIFS(거래내역!$D$2:$D$5000,거래내역!$B$2:$B$5000,D$3,거래내역!$E$2:$E$5000,"대출이자",거래내역!$H$2:$H$5000,설정!$B$5)</f>
        <v>0</v>
      </c>
      <c r="E12" s="20" t="n">
        <f aca="false">SUMIFS(거래내역!$D$2:$D$5000,거래내역!$B$2:$B$5000,E$3,거래내역!$E$2:$E$5000,"대출이자",거래내역!$H$2:$H$5000,설정!$B$5)</f>
        <v>0</v>
      </c>
      <c r="F12" s="20" t="n">
        <f aca="false">SUMIFS(거래내역!$D$2:$D$5000,거래내역!$B$2:$B$5000,F$3,거래내역!$E$2:$E$5000,"대출이자",거래내역!$H$2:$H$5000,설정!$B$5)</f>
        <v>0</v>
      </c>
      <c r="G12" s="20" t="n">
        <f aca="false">SUMIFS(거래내역!$D$2:$D$5000,거래내역!$B$2:$B$5000,G$3,거래내역!$E$2:$E$5000,"대출이자",거래내역!$H$2:$H$5000,설정!$B$5)</f>
        <v>0</v>
      </c>
      <c r="H12" s="20" t="n">
        <f aca="false">SUMIFS(거래내역!$D$2:$D$5000,거래내역!$B$2:$B$5000,H$3,거래내역!$E$2:$E$5000,"대출이자",거래내역!$H$2:$H$5000,설정!$B$5)</f>
        <v>0</v>
      </c>
      <c r="I12" s="20" t="n">
        <f aca="false">SUMIFS(거래내역!$D$2:$D$5000,거래내역!$B$2:$B$5000,I$3,거래내역!$E$2:$E$5000,"대출이자",거래내역!$H$2:$H$5000,설정!$B$5)</f>
        <v>0</v>
      </c>
      <c r="J12" s="20" t="n">
        <f aca="false">SUMIFS(거래내역!$D$2:$D$5000,거래내역!$B$2:$B$5000,J$3,거래내역!$E$2:$E$5000,"대출이자",거래내역!$H$2:$H$5000,설정!$B$5)</f>
        <v>0</v>
      </c>
      <c r="K12" s="20" t="n">
        <f aca="false">SUMIFS(거래내역!$D$2:$D$5000,거래내역!$B$2:$B$5000,K$3,거래내역!$E$2:$E$5000,"대출이자",거래내역!$H$2:$H$5000,설정!$B$5)</f>
        <v>0</v>
      </c>
      <c r="L12" s="20" t="n">
        <f aca="false">SUMIFS(거래내역!$D$2:$D$5000,거래내역!$B$2:$B$5000,L$3,거래내역!$E$2:$E$5000,"대출이자",거래내역!$H$2:$H$5000,설정!$B$5)</f>
        <v>0</v>
      </c>
      <c r="M12" s="20" t="n">
        <f aca="false">SUMIFS(거래내역!$D$2:$D$5000,거래내역!$B$2:$B$5000,M$3,거래내역!$E$2:$E$5000,"대출이자",거래내역!$H$2:$H$5000,설정!$B$5)</f>
        <v>0</v>
      </c>
      <c r="N12" s="20" t="n">
        <f aca="false">SUM(B12:M12)</f>
        <v>0</v>
      </c>
      <c r="O12" s="20" t="n">
        <f aca="false">N12/12</f>
        <v>0</v>
      </c>
      <c r="P12" s="20" t="n">
        <f aca="false">AVERAGE(K12:M12)</f>
        <v>0</v>
      </c>
    </row>
    <row r="13" customFormat="false" ht="15" hidden="false" customHeight="false" outlineLevel="0" collapsed="false">
      <c r="A13" s="36" t="s">
        <v>241</v>
      </c>
      <c r="B13" s="20" t="n">
        <f aca="false">SUMIFS(거래내역!$D$2:$D$5000,거래내역!$B$2:$B$5000,B$3,거래내역!$E$2:$E$5000,"보험료",거래내역!$H$2:$H$5000,설정!$B$5)</f>
        <v>0</v>
      </c>
      <c r="C13" s="20" t="n">
        <f aca="false">SUMIFS(거래내역!$D$2:$D$5000,거래내역!$B$2:$B$5000,C$3,거래내역!$E$2:$E$5000,"보험료",거래내역!$H$2:$H$5000,설정!$B$5)</f>
        <v>0</v>
      </c>
      <c r="D13" s="20" t="n">
        <f aca="false">SUMIFS(거래내역!$D$2:$D$5000,거래내역!$B$2:$B$5000,D$3,거래내역!$E$2:$E$5000,"보험료",거래내역!$H$2:$H$5000,설정!$B$5)</f>
        <v>0</v>
      </c>
      <c r="E13" s="20" t="n">
        <f aca="false">SUMIFS(거래내역!$D$2:$D$5000,거래내역!$B$2:$B$5000,E$3,거래내역!$E$2:$E$5000,"보험료",거래내역!$H$2:$H$5000,설정!$B$5)</f>
        <v>0</v>
      </c>
      <c r="F13" s="20" t="n">
        <f aca="false">SUMIFS(거래내역!$D$2:$D$5000,거래내역!$B$2:$B$5000,F$3,거래내역!$E$2:$E$5000,"보험료",거래내역!$H$2:$H$5000,설정!$B$5)</f>
        <v>0</v>
      </c>
      <c r="G13" s="20" t="n">
        <f aca="false">SUMIFS(거래내역!$D$2:$D$5000,거래내역!$B$2:$B$5000,G$3,거래내역!$E$2:$E$5000,"보험료",거래내역!$H$2:$H$5000,설정!$B$5)</f>
        <v>0</v>
      </c>
      <c r="H13" s="20" t="n">
        <f aca="false">SUMIFS(거래내역!$D$2:$D$5000,거래내역!$B$2:$B$5000,H$3,거래내역!$E$2:$E$5000,"보험료",거래내역!$H$2:$H$5000,설정!$B$5)</f>
        <v>0</v>
      </c>
      <c r="I13" s="20" t="n">
        <f aca="false">SUMIFS(거래내역!$D$2:$D$5000,거래내역!$B$2:$B$5000,I$3,거래내역!$E$2:$E$5000,"보험료",거래내역!$H$2:$H$5000,설정!$B$5)</f>
        <v>0</v>
      </c>
      <c r="J13" s="20" t="n">
        <f aca="false">SUMIFS(거래내역!$D$2:$D$5000,거래내역!$B$2:$B$5000,J$3,거래내역!$E$2:$E$5000,"보험료",거래내역!$H$2:$H$5000,설정!$B$5)</f>
        <v>0</v>
      </c>
      <c r="K13" s="20" t="n">
        <f aca="false">SUMIFS(거래내역!$D$2:$D$5000,거래내역!$B$2:$B$5000,K$3,거래내역!$E$2:$E$5000,"보험료",거래내역!$H$2:$H$5000,설정!$B$5)</f>
        <v>0</v>
      </c>
      <c r="L13" s="20" t="n">
        <f aca="false">SUMIFS(거래내역!$D$2:$D$5000,거래내역!$B$2:$B$5000,L$3,거래내역!$E$2:$E$5000,"보험료",거래내역!$H$2:$H$5000,설정!$B$5)</f>
        <v>0</v>
      </c>
      <c r="M13" s="20" t="n">
        <f aca="false">SUMIFS(거래내역!$D$2:$D$5000,거래내역!$B$2:$B$5000,M$3,거래내역!$E$2:$E$5000,"보험료",거래내역!$H$2:$H$5000,설정!$B$5)</f>
        <v>0</v>
      </c>
      <c r="N13" s="20" t="n">
        <f aca="false">SUM(B13:M13)</f>
        <v>0</v>
      </c>
      <c r="O13" s="20" t="n">
        <f aca="false">N13/12</f>
        <v>0</v>
      </c>
      <c r="P13" s="20" t="n">
        <f aca="false">AVERAGE(K13:M13)</f>
        <v>0</v>
      </c>
    </row>
    <row r="14" customFormat="false" ht="15" hidden="false" customHeight="false" outlineLevel="0" collapsed="false">
      <c r="A14" s="36" t="s">
        <v>242</v>
      </c>
      <c r="B14" s="20" t="n">
        <f aca="false">SUMIFS(거래내역!$D$2:$D$5000,거래내역!$B$2:$B$5000,B$3,거래내역!$E$2:$E$5000,"통신비",거래내역!$H$2:$H$5000,설정!$B$5)</f>
        <v>0</v>
      </c>
      <c r="C14" s="20" t="n">
        <f aca="false">SUMIFS(거래내역!$D$2:$D$5000,거래내역!$B$2:$B$5000,C$3,거래내역!$E$2:$E$5000,"통신비",거래내역!$H$2:$H$5000,설정!$B$5)</f>
        <v>0</v>
      </c>
      <c r="D14" s="20" t="n">
        <f aca="false">SUMIFS(거래내역!$D$2:$D$5000,거래내역!$B$2:$B$5000,D$3,거래내역!$E$2:$E$5000,"통신비",거래내역!$H$2:$H$5000,설정!$B$5)</f>
        <v>0</v>
      </c>
      <c r="E14" s="20" t="n">
        <f aca="false">SUMIFS(거래내역!$D$2:$D$5000,거래내역!$B$2:$B$5000,E$3,거래내역!$E$2:$E$5000,"통신비",거래내역!$H$2:$H$5000,설정!$B$5)</f>
        <v>0</v>
      </c>
      <c r="F14" s="20" t="n">
        <f aca="false">SUMIFS(거래내역!$D$2:$D$5000,거래내역!$B$2:$B$5000,F$3,거래내역!$E$2:$E$5000,"통신비",거래내역!$H$2:$H$5000,설정!$B$5)</f>
        <v>0</v>
      </c>
      <c r="G14" s="20" t="n">
        <f aca="false">SUMIFS(거래내역!$D$2:$D$5000,거래내역!$B$2:$B$5000,G$3,거래내역!$E$2:$E$5000,"통신비",거래내역!$H$2:$H$5000,설정!$B$5)</f>
        <v>0</v>
      </c>
      <c r="H14" s="20" t="n">
        <f aca="false">SUMIFS(거래내역!$D$2:$D$5000,거래내역!$B$2:$B$5000,H$3,거래내역!$E$2:$E$5000,"통신비",거래내역!$H$2:$H$5000,설정!$B$5)</f>
        <v>0</v>
      </c>
      <c r="I14" s="20" t="n">
        <f aca="false">SUMIFS(거래내역!$D$2:$D$5000,거래내역!$B$2:$B$5000,I$3,거래내역!$E$2:$E$5000,"통신비",거래내역!$H$2:$H$5000,설정!$B$5)</f>
        <v>0</v>
      </c>
      <c r="J14" s="20" t="n">
        <f aca="false">SUMIFS(거래내역!$D$2:$D$5000,거래내역!$B$2:$B$5000,J$3,거래내역!$E$2:$E$5000,"통신비",거래내역!$H$2:$H$5000,설정!$B$5)</f>
        <v>0</v>
      </c>
      <c r="K14" s="20" t="n">
        <f aca="false">SUMIFS(거래내역!$D$2:$D$5000,거래내역!$B$2:$B$5000,K$3,거래내역!$E$2:$E$5000,"통신비",거래내역!$H$2:$H$5000,설정!$B$5)</f>
        <v>0</v>
      </c>
      <c r="L14" s="20" t="n">
        <f aca="false">SUMIFS(거래내역!$D$2:$D$5000,거래내역!$B$2:$B$5000,L$3,거래내역!$E$2:$E$5000,"통신비",거래내역!$H$2:$H$5000,설정!$B$5)</f>
        <v>0</v>
      </c>
      <c r="M14" s="20" t="n">
        <f aca="false">SUMIFS(거래내역!$D$2:$D$5000,거래내역!$B$2:$B$5000,M$3,거래내역!$E$2:$E$5000,"통신비",거래내역!$H$2:$H$5000,설정!$B$5)</f>
        <v>0</v>
      </c>
      <c r="N14" s="20" t="n">
        <f aca="false">SUM(B14:M14)</f>
        <v>0</v>
      </c>
      <c r="O14" s="20" t="n">
        <f aca="false">N14/12</f>
        <v>0</v>
      </c>
      <c r="P14" s="20" t="n">
        <f aca="false">AVERAGE(K14:M14)</f>
        <v>0</v>
      </c>
    </row>
    <row r="15" customFormat="false" ht="15" hidden="false" customHeight="false" outlineLevel="0" collapsed="false">
      <c r="A15" s="36" t="s">
        <v>243</v>
      </c>
      <c r="B15" s="20" t="n">
        <f aca="false">SUMIFS(거래내역!$D$2:$D$5000,거래내역!$B$2:$B$5000,B$3,거래내역!$E$2:$E$5000,"교육비",거래내역!$H$2:$H$5000,설정!$B$5)</f>
        <v>0</v>
      </c>
      <c r="C15" s="20" t="n">
        <f aca="false">SUMIFS(거래내역!$D$2:$D$5000,거래내역!$B$2:$B$5000,C$3,거래내역!$E$2:$E$5000,"교육비",거래내역!$H$2:$H$5000,설정!$B$5)</f>
        <v>0</v>
      </c>
      <c r="D15" s="20" t="n">
        <f aca="false">SUMIFS(거래내역!$D$2:$D$5000,거래내역!$B$2:$B$5000,D$3,거래내역!$E$2:$E$5000,"교육비",거래내역!$H$2:$H$5000,설정!$B$5)</f>
        <v>0</v>
      </c>
      <c r="E15" s="20" t="n">
        <f aca="false">SUMIFS(거래내역!$D$2:$D$5000,거래내역!$B$2:$B$5000,E$3,거래내역!$E$2:$E$5000,"교육비",거래내역!$H$2:$H$5000,설정!$B$5)</f>
        <v>0</v>
      </c>
      <c r="F15" s="20" t="n">
        <f aca="false">SUMIFS(거래내역!$D$2:$D$5000,거래내역!$B$2:$B$5000,F$3,거래내역!$E$2:$E$5000,"교육비",거래내역!$H$2:$H$5000,설정!$B$5)</f>
        <v>0</v>
      </c>
      <c r="G15" s="20" t="n">
        <f aca="false">SUMIFS(거래내역!$D$2:$D$5000,거래내역!$B$2:$B$5000,G$3,거래내역!$E$2:$E$5000,"교육비",거래내역!$H$2:$H$5000,설정!$B$5)</f>
        <v>0</v>
      </c>
      <c r="H15" s="20" t="n">
        <f aca="false">SUMIFS(거래내역!$D$2:$D$5000,거래내역!$B$2:$B$5000,H$3,거래내역!$E$2:$E$5000,"교육비",거래내역!$H$2:$H$5000,설정!$B$5)</f>
        <v>0</v>
      </c>
      <c r="I15" s="20" t="n">
        <f aca="false">SUMIFS(거래내역!$D$2:$D$5000,거래내역!$B$2:$B$5000,I$3,거래내역!$E$2:$E$5000,"교육비",거래내역!$H$2:$H$5000,설정!$B$5)</f>
        <v>0</v>
      </c>
      <c r="J15" s="20" t="n">
        <f aca="false">SUMIFS(거래내역!$D$2:$D$5000,거래내역!$B$2:$B$5000,J$3,거래내역!$E$2:$E$5000,"교육비",거래내역!$H$2:$H$5000,설정!$B$5)</f>
        <v>0</v>
      </c>
      <c r="K15" s="20" t="n">
        <f aca="false">SUMIFS(거래내역!$D$2:$D$5000,거래내역!$B$2:$B$5000,K$3,거래내역!$E$2:$E$5000,"교육비",거래내역!$H$2:$H$5000,설정!$B$5)</f>
        <v>0</v>
      </c>
      <c r="L15" s="20" t="n">
        <f aca="false">SUMIFS(거래내역!$D$2:$D$5000,거래내역!$B$2:$B$5000,L$3,거래내역!$E$2:$E$5000,"교육비",거래내역!$H$2:$H$5000,설정!$B$5)</f>
        <v>0</v>
      </c>
      <c r="M15" s="20" t="n">
        <f aca="false">SUMIFS(거래내역!$D$2:$D$5000,거래내역!$B$2:$B$5000,M$3,거래내역!$E$2:$E$5000,"교육비",거래내역!$H$2:$H$5000,설정!$B$5)</f>
        <v>0</v>
      </c>
      <c r="N15" s="20" t="n">
        <f aca="false">SUM(B15:M15)</f>
        <v>0</v>
      </c>
      <c r="O15" s="20" t="n">
        <f aca="false">N15/12</f>
        <v>0</v>
      </c>
      <c r="P15" s="20" t="n">
        <f aca="false">AVERAGE(K15:M15)</f>
        <v>0</v>
      </c>
    </row>
    <row r="16" customFormat="false" ht="15" hidden="false" customHeight="false" outlineLevel="0" collapsed="false">
      <c r="A16" s="36" t="s">
        <v>244</v>
      </c>
      <c r="B16" s="20" t="n">
        <f aca="false">SUMIFS(거래내역!$D$2:$D$5000,거래내역!$B$2:$B$5000,B$3,거래내역!$E$2:$E$5000,"구독료",거래내역!$H$2:$H$5000,설정!$B$5)</f>
        <v>0</v>
      </c>
      <c r="C16" s="20" t="n">
        <f aca="false">SUMIFS(거래내역!$D$2:$D$5000,거래내역!$B$2:$B$5000,C$3,거래내역!$E$2:$E$5000,"구독료",거래내역!$H$2:$H$5000,설정!$B$5)</f>
        <v>0</v>
      </c>
      <c r="D16" s="20" t="n">
        <f aca="false">SUMIFS(거래내역!$D$2:$D$5000,거래내역!$B$2:$B$5000,D$3,거래내역!$E$2:$E$5000,"구독료",거래내역!$H$2:$H$5000,설정!$B$5)</f>
        <v>0</v>
      </c>
      <c r="E16" s="20" t="n">
        <f aca="false">SUMIFS(거래내역!$D$2:$D$5000,거래내역!$B$2:$B$5000,E$3,거래내역!$E$2:$E$5000,"구독료",거래내역!$H$2:$H$5000,설정!$B$5)</f>
        <v>0</v>
      </c>
      <c r="F16" s="20" t="n">
        <f aca="false">SUMIFS(거래내역!$D$2:$D$5000,거래내역!$B$2:$B$5000,F$3,거래내역!$E$2:$E$5000,"구독료",거래내역!$H$2:$H$5000,설정!$B$5)</f>
        <v>0</v>
      </c>
      <c r="G16" s="20" t="n">
        <f aca="false">SUMIFS(거래내역!$D$2:$D$5000,거래내역!$B$2:$B$5000,G$3,거래내역!$E$2:$E$5000,"구독료",거래내역!$H$2:$H$5000,설정!$B$5)</f>
        <v>0</v>
      </c>
      <c r="H16" s="20" t="n">
        <f aca="false">SUMIFS(거래내역!$D$2:$D$5000,거래내역!$B$2:$B$5000,H$3,거래내역!$E$2:$E$5000,"구독료",거래내역!$H$2:$H$5000,설정!$B$5)</f>
        <v>0</v>
      </c>
      <c r="I16" s="20" t="n">
        <f aca="false">SUMIFS(거래내역!$D$2:$D$5000,거래내역!$B$2:$B$5000,I$3,거래내역!$E$2:$E$5000,"구독료",거래내역!$H$2:$H$5000,설정!$B$5)</f>
        <v>0</v>
      </c>
      <c r="J16" s="20" t="n">
        <f aca="false">SUMIFS(거래내역!$D$2:$D$5000,거래내역!$B$2:$B$5000,J$3,거래내역!$E$2:$E$5000,"구독료",거래내역!$H$2:$H$5000,설정!$B$5)</f>
        <v>0</v>
      </c>
      <c r="K16" s="20" t="n">
        <f aca="false">SUMIFS(거래내역!$D$2:$D$5000,거래내역!$B$2:$B$5000,K$3,거래내역!$E$2:$E$5000,"구독료",거래내역!$H$2:$H$5000,설정!$B$5)</f>
        <v>0</v>
      </c>
      <c r="L16" s="20" t="n">
        <f aca="false">SUMIFS(거래내역!$D$2:$D$5000,거래내역!$B$2:$B$5000,L$3,거래내역!$E$2:$E$5000,"구독료",거래내역!$H$2:$H$5000,설정!$B$5)</f>
        <v>0</v>
      </c>
      <c r="M16" s="20" t="n">
        <f aca="false">SUMIFS(거래내역!$D$2:$D$5000,거래내역!$B$2:$B$5000,M$3,거래내역!$E$2:$E$5000,"구독료",거래내역!$H$2:$H$5000,설정!$B$5)</f>
        <v>0</v>
      </c>
      <c r="N16" s="20" t="n">
        <f aca="false">SUM(B16:M16)</f>
        <v>0</v>
      </c>
      <c r="O16" s="20" t="n">
        <f aca="false">N16/12</f>
        <v>0</v>
      </c>
      <c r="P16" s="20" t="n">
        <f aca="false">AVERAGE(K16:M16)</f>
        <v>0</v>
      </c>
    </row>
    <row r="17" customFormat="false" ht="15" hidden="false" customHeight="false" outlineLevel="0" collapsed="false">
      <c r="A17" s="40" t="s">
        <v>245</v>
      </c>
      <c r="B17" s="42" t="n">
        <f aca="false">SUMIFS(거래내역!$D$2:$D$5000,거래내역!$B$2:$B$5000,B$3,거래내역!$F$2:$F$5000,"고정비",거래내역!$H$2:$H$5000,설정!$B$5)</f>
        <v>0</v>
      </c>
      <c r="C17" s="42" t="n">
        <f aca="false">SUMIFS(거래내역!$D$2:$D$5000,거래내역!$B$2:$B$5000,C$3,거래내역!$F$2:$F$5000,"고정비",거래내역!$H$2:$H$5000,설정!$B$5)</f>
        <v>0</v>
      </c>
      <c r="D17" s="42" t="n">
        <f aca="false">SUMIFS(거래내역!$D$2:$D$5000,거래내역!$B$2:$B$5000,D$3,거래내역!$F$2:$F$5000,"고정비",거래내역!$H$2:$H$5000,설정!$B$5)</f>
        <v>0</v>
      </c>
      <c r="E17" s="42" t="n">
        <f aca="false">SUMIFS(거래내역!$D$2:$D$5000,거래내역!$B$2:$B$5000,E$3,거래내역!$F$2:$F$5000,"고정비",거래내역!$H$2:$H$5000,설정!$B$5)</f>
        <v>0</v>
      </c>
      <c r="F17" s="42" t="n">
        <f aca="false">SUMIFS(거래내역!$D$2:$D$5000,거래내역!$B$2:$B$5000,F$3,거래내역!$F$2:$F$5000,"고정비",거래내역!$H$2:$H$5000,설정!$B$5)</f>
        <v>0</v>
      </c>
      <c r="G17" s="42" t="n">
        <f aca="false">SUMIFS(거래내역!$D$2:$D$5000,거래내역!$B$2:$B$5000,G$3,거래내역!$F$2:$F$5000,"고정비",거래내역!$H$2:$H$5000,설정!$B$5)</f>
        <v>0</v>
      </c>
      <c r="H17" s="42" t="n">
        <f aca="false">SUMIFS(거래내역!$D$2:$D$5000,거래내역!$B$2:$B$5000,H$3,거래내역!$F$2:$F$5000,"고정비",거래내역!$H$2:$H$5000,설정!$B$5)</f>
        <v>0</v>
      </c>
      <c r="I17" s="42" t="n">
        <f aca="false">SUMIFS(거래내역!$D$2:$D$5000,거래내역!$B$2:$B$5000,I$3,거래내역!$F$2:$F$5000,"고정비",거래내역!$H$2:$H$5000,설정!$B$5)</f>
        <v>0</v>
      </c>
      <c r="J17" s="42" t="n">
        <f aca="false">SUMIFS(거래내역!$D$2:$D$5000,거래내역!$B$2:$B$5000,J$3,거래내역!$F$2:$F$5000,"고정비",거래내역!$H$2:$H$5000,설정!$B$5)</f>
        <v>0</v>
      </c>
      <c r="K17" s="42" t="n">
        <f aca="false">SUMIFS(거래내역!$D$2:$D$5000,거래내역!$B$2:$B$5000,K$3,거래내역!$F$2:$F$5000,"고정비",거래내역!$H$2:$H$5000,설정!$B$5)</f>
        <v>0</v>
      </c>
      <c r="L17" s="42" t="n">
        <f aca="false">SUMIFS(거래내역!$D$2:$D$5000,거래내역!$B$2:$B$5000,L$3,거래내역!$F$2:$F$5000,"고정비",거래내역!$H$2:$H$5000,설정!$B$5)</f>
        <v>0</v>
      </c>
      <c r="M17" s="42" t="n">
        <f aca="false">SUMIFS(거래내역!$D$2:$D$5000,거래내역!$B$2:$B$5000,M$3,거래내역!$F$2:$F$5000,"고정비",거래내역!$H$2:$H$5000,설정!$B$5)</f>
        <v>0</v>
      </c>
      <c r="N17" s="42" t="n">
        <f aca="false">SUM(B17:M17)</f>
        <v>0</v>
      </c>
      <c r="O17" s="42" t="n">
        <f aca="false">N17/12</f>
        <v>0</v>
      </c>
      <c r="P17" s="42" t="n">
        <f aca="false">AVERAGE(K17:M17)</f>
        <v>0</v>
      </c>
    </row>
    <row r="18" customFormat="false" ht="15" hidden="false" customHeight="false" outlineLevel="0" collapsed="false">
      <c r="A18" s="63" t="s">
        <v>246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customFormat="false" ht="15" hidden="false" customHeight="false" outlineLevel="0" collapsed="false">
      <c r="A19" s="36" t="s">
        <v>247</v>
      </c>
      <c r="B19" s="20" t="n">
        <f aca="false">SUMIFS(거래내역!$D$2:$D$5000,거래내역!$B$2:$B$5000,B$3,거래내역!$E$2:$E$5000,"식비",거래내역!$H$2:$H$5000,설정!$B$5)</f>
        <v>0</v>
      </c>
      <c r="C19" s="20" t="n">
        <f aca="false">SUMIFS(거래내역!$D$2:$D$5000,거래내역!$B$2:$B$5000,C$3,거래내역!$E$2:$E$5000,"식비",거래내역!$H$2:$H$5000,설정!$B$5)</f>
        <v>0</v>
      </c>
      <c r="D19" s="20" t="n">
        <f aca="false">SUMIFS(거래내역!$D$2:$D$5000,거래내역!$B$2:$B$5000,D$3,거래내역!$E$2:$E$5000,"식비",거래내역!$H$2:$H$5000,설정!$B$5)</f>
        <v>0</v>
      </c>
      <c r="E19" s="20" t="n">
        <f aca="false">SUMIFS(거래내역!$D$2:$D$5000,거래내역!$B$2:$B$5000,E$3,거래내역!$E$2:$E$5000,"식비",거래내역!$H$2:$H$5000,설정!$B$5)</f>
        <v>0</v>
      </c>
      <c r="F19" s="20" t="n">
        <f aca="false">SUMIFS(거래내역!$D$2:$D$5000,거래내역!$B$2:$B$5000,F$3,거래내역!$E$2:$E$5000,"식비",거래내역!$H$2:$H$5000,설정!$B$5)</f>
        <v>0</v>
      </c>
      <c r="G19" s="20" t="n">
        <f aca="false">SUMIFS(거래내역!$D$2:$D$5000,거래내역!$B$2:$B$5000,G$3,거래내역!$E$2:$E$5000,"식비",거래내역!$H$2:$H$5000,설정!$B$5)</f>
        <v>0</v>
      </c>
      <c r="H19" s="20" t="n">
        <f aca="false">SUMIFS(거래내역!$D$2:$D$5000,거래내역!$B$2:$B$5000,H$3,거래내역!$E$2:$E$5000,"식비",거래내역!$H$2:$H$5000,설정!$B$5)</f>
        <v>0</v>
      </c>
      <c r="I19" s="20" t="n">
        <f aca="false">SUMIFS(거래내역!$D$2:$D$5000,거래내역!$B$2:$B$5000,I$3,거래내역!$E$2:$E$5000,"식비",거래내역!$H$2:$H$5000,설정!$B$5)</f>
        <v>0</v>
      </c>
      <c r="J19" s="20" t="n">
        <f aca="false">SUMIFS(거래내역!$D$2:$D$5000,거래내역!$B$2:$B$5000,J$3,거래내역!$E$2:$E$5000,"식비",거래내역!$H$2:$H$5000,설정!$B$5)</f>
        <v>0</v>
      </c>
      <c r="K19" s="20" t="n">
        <f aca="false">SUMIFS(거래내역!$D$2:$D$5000,거래내역!$B$2:$B$5000,K$3,거래내역!$E$2:$E$5000,"식비",거래내역!$H$2:$H$5000,설정!$B$5)</f>
        <v>0</v>
      </c>
      <c r="L19" s="20" t="n">
        <f aca="false">SUMIFS(거래내역!$D$2:$D$5000,거래내역!$B$2:$B$5000,L$3,거래내역!$E$2:$E$5000,"식비",거래내역!$H$2:$H$5000,설정!$B$5)</f>
        <v>0</v>
      </c>
      <c r="M19" s="20" t="n">
        <f aca="false">SUMIFS(거래내역!$D$2:$D$5000,거래내역!$B$2:$B$5000,M$3,거래내역!$E$2:$E$5000,"식비",거래내역!$H$2:$H$5000,설정!$B$5)</f>
        <v>0</v>
      </c>
      <c r="N19" s="20" t="n">
        <f aca="false">SUM(B19:M19)</f>
        <v>0</v>
      </c>
      <c r="O19" s="20" t="n">
        <f aca="false">N19/12</f>
        <v>0</v>
      </c>
      <c r="P19" s="20" t="n">
        <f aca="false">AVERAGE(K19:M19)</f>
        <v>0</v>
      </c>
    </row>
    <row r="20" customFormat="false" ht="15" hidden="false" customHeight="false" outlineLevel="0" collapsed="false">
      <c r="A20" s="36" t="s">
        <v>248</v>
      </c>
      <c r="B20" s="20" t="n">
        <f aca="false">SUMIFS(거래내역!$D$2:$D$5000,거래내역!$B$2:$B$5000,B$3,거래내역!$E$2:$E$5000,"외식",거래내역!$H$2:$H$5000,설정!$B$5)</f>
        <v>0</v>
      </c>
      <c r="C20" s="20" t="n">
        <f aca="false">SUMIFS(거래내역!$D$2:$D$5000,거래내역!$B$2:$B$5000,C$3,거래내역!$E$2:$E$5000,"외식",거래내역!$H$2:$H$5000,설정!$B$5)</f>
        <v>0</v>
      </c>
      <c r="D20" s="20" t="n">
        <f aca="false">SUMIFS(거래내역!$D$2:$D$5000,거래내역!$B$2:$B$5000,D$3,거래내역!$E$2:$E$5000,"외식",거래내역!$H$2:$H$5000,설정!$B$5)</f>
        <v>0</v>
      </c>
      <c r="E20" s="20" t="n">
        <f aca="false">SUMIFS(거래내역!$D$2:$D$5000,거래내역!$B$2:$B$5000,E$3,거래내역!$E$2:$E$5000,"외식",거래내역!$H$2:$H$5000,설정!$B$5)</f>
        <v>0</v>
      </c>
      <c r="F20" s="20" t="n">
        <f aca="false">SUMIFS(거래내역!$D$2:$D$5000,거래내역!$B$2:$B$5000,F$3,거래내역!$E$2:$E$5000,"외식",거래내역!$H$2:$H$5000,설정!$B$5)</f>
        <v>0</v>
      </c>
      <c r="G20" s="20" t="n">
        <f aca="false">SUMIFS(거래내역!$D$2:$D$5000,거래내역!$B$2:$B$5000,G$3,거래내역!$E$2:$E$5000,"외식",거래내역!$H$2:$H$5000,설정!$B$5)</f>
        <v>0</v>
      </c>
      <c r="H20" s="20" t="n">
        <f aca="false">SUMIFS(거래내역!$D$2:$D$5000,거래내역!$B$2:$B$5000,H$3,거래내역!$E$2:$E$5000,"외식",거래내역!$H$2:$H$5000,설정!$B$5)</f>
        <v>0</v>
      </c>
      <c r="I20" s="20" t="n">
        <f aca="false">SUMIFS(거래내역!$D$2:$D$5000,거래내역!$B$2:$B$5000,I$3,거래내역!$E$2:$E$5000,"외식",거래내역!$H$2:$H$5000,설정!$B$5)</f>
        <v>0</v>
      </c>
      <c r="J20" s="20" t="n">
        <f aca="false">SUMIFS(거래내역!$D$2:$D$5000,거래내역!$B$2:$B$5000,J$3,거래내역!$E$2:$E$5000,"외식",거래내역!$H$2:$H$5000,설정!$B$5)</f>
        <v>0</v>
      </c>
      <c r="K20" s="20" t="n">
        <f aca="false">SUMIFS(거래내역!$D$2:$D$5000,거래내역!$B$2:$B$5000,K$3,거래내역!$E$2:$E$5000,"외식",거래내역!$H$2:$H$5000,설정!$B$5)</f>
        <v>0</v>
      </c>
      <c r="L20" s="20" t="n">
        <f aca="false">SUMIFS(거래내역!$D$2:$D$5000,거래내역!$B$2:$B$5000,L$3,거래내역!$E$2:$E$5000,"외식",거래내역!$H$2:$H$5000,설정!$B$5)</f>
        <v>0</v>
      </c>
      <c r="M20" s="20" t="n">
        <f aca="false">SUMIFS(거래내역!$D$2:$D$5000,거래내역!$B$2:$B$5000,M$3,거래내역!$E$2:$E$5000,"외식",거래내역!$H$2:$H$5000,설정!$B$5)</f>
        <v>0</v>
      </c>
      <c r="N20" s="20" t="n">
        <f aca="false">SUM(B20:M20)</f>
        <v>0</v>
      </c>
      <c r="O20" s="20" t="n">
        <f aca="false">N20/12</f>
        <v>0</v>
      </c>
      <c r="P20" s="20" t="n">
        <f aca="false">AVERAGE(K20:M20)</f>
        <v>0</v>
      </c>
    </row>
    <row r="21" customFormat="false" ht="15" hidden="false" customHeight="false" outlineLevel="0" collapsed="false">
      <c r="A21" s="36" t="s">
        <v>249</v>
      </c>
      <c r="B21" s="20" t="n">
        <f aca="false">SUMIFS(거래내역!$D$2:$D$5000,거래내역!$B$2:$B$5000,B$3,거래내역!$E$2:$E$5000,"생활용품",거래내역!$H$2:$H$5000,설정!$B$5)</f>
        <v>0</v>
      </c>
      <c r="C21" s="20" t="n">
        <f aca="false">SUMIFS(거래내역!$D$2:$D$5000,거래내역!$B$2:$B$5000,C$3,거래내역!$E$2:$E$5000,"생활용품",거래내역!$H$2:$H$5000,설정!$B$5)</f>
        <v>0</v>
      </c>
      <c r="D21" s="20" t="n">
        <f aca="false">SUMIFS(거래내역!$D$2:$D$5000,거래내역!$B$2:$B$5000,D$3,거래내역!$E$2:$E$5000,"생활용품",거래내역!$H$2:$H$5000,설정!$B$5)</f>
        <v>0</v>
      </c>
      <c r="E21" s="20" t="n">
        <f aca="false">SUMIFS(거래내역!$D$2:$D$5000,거래내역!$B$2:$B$5000,E$3,거래내역!$E$2:$E$5000,"생활용품",거래내역!$H$2:$H$5000,설정!$B$5)</f>
        <v>0</v>
      </c>
      <c r="F21" s="20" t="n">
        <f aca="false">SUMIFS(거래내역!$D$2:$D$5000,거래내역!$B$2:$B$5000,F$3,거래내역!$E$2:$E$5000,"생활용품",거래내역!$H$2:$H$5000,설정!$B$5)</f>
        <v>0</v>
      </c>
      <c r="G21" s="20" t="n">
        <f aca="false">SUMIFS(거래내역!$D$2:$D$5000,거래내역!$B$2:$B$5000,G$3,거래내역!$E$2:$E$5000,"생활용품",거래내역!$H$2:$H$5000,설정!$B$5)</f>
        <v>0</v>
      </c>
      <c r="H21" s="20" t="n">
        <f aca="false">SUMIFS(거래내역!$D$2:$D$5000,거래내역!$B$2:$B$5000,H$3,거래내역!$E$2:$E$5000,"생활용품",거래내역!$H$2:$H$5000,설정!$B$5)</f>
        <v>0</v>
      </c>
      <c r="I21" s="20" t="n">
        <f aca="false">SUMIFS(거래내역!$D$2:$D$5000,거래내역!$B$2:$B$5000,I$3,거래내역!$E$2:$E$5000,"생활용품",거래내역!$H$2:$H$5000,설정!$B$5)</f>
        <v>0</v>
      </c>
      <c r="J21" s="20" t="n">
        <f aca="false">SUMIFS(거래내역!$D$2:$D$5000,거래내역!$B$2:$B$5000,J$3,거래내역!$E$2:$E$5000,"생활용품",거래내역!$H$2:$H$5000,설정!$B$5)</f>
        <v>0</v>
      </c>
      <c r="K21" s="20" t="n">
        <f aca="false">SUMIFS(거래내역!$D$2:$D$5000,거래내역!$B$2:$B$5000,K$3,거래내역!$E$2:$E$5000,"생활용품",거래내역!$H$2:$H$5000,설정!$B$5)</f>
        <v>0</v>
      </c>
      <c r="L21" s="20" t="n">
        <f aca="false">SUMIFS(거래내역!$D$2:$D$5000,거래내역!$B$2:$B$5000,L$3,거래내역!$E$2:$E$5000,"생활용품",거래내역!$H$2:$H$5000,설정!$B$5)</f>
        <v>0</v>
      </c>
      <c r="M21" s="20" t="n">
        <f aca="false">SUMIFS(거래내역!$D$2:$D$5000,거래내역!$B$2:$B$5000,M$3,거래내역!$E$2:$E$5000,"생활용품",거래내역!$H$2:$H$5000,설정!$B$5)</f>
        <v>0</v>
      </c>
      <c r="N21" s="20" t="n">
        <f aca="false">SUM(B21:M21)</f>
        <v>0</v>
      </c>
      <c r="O21" s="20" t="n">
        <f aca="false">N21/12</f>
        <v>0</v>
      </c>
      <c r="P21" s="20" t="n">
        <f aca="false">AVERAGE(K21:M21)</f>
        <v>0</v>
      </c>
    </row>
    <row r="22" customFormat="false" ht="15" hidden="false" customHeight="false" outlineLevel="0" collapsed="false">
      <c r="A22" s="36" t="s">
        <v>250</v>
      </c>
      <c r="B22" s="20" t="n">
        <f aca="false">SUMIFS(거래내역!$D$2:$D$5000,거래내역!$B$2:$B$5000,B$3,거래내역!$E$2:$E$5000,"교통",거래내역!$H$2:$H$5000,설정!$B$5)</f>
        <v>0</v>
      </c>
      <c r="C22" s="20" t="n">
        <f aca="false">SUMIFS(거래내역!$D$2:$D$5000,거래내역!$B$2:$B$5000,C$3,거래내역!$E$2:$E$5000,"교통",거래내역!$H$2:$H$5000,설정!$B$5)</f>
        <v>0</v>
      </c>
      <c r="D22" s="20" t="n">
        <f aca="false">SUMIFS(거래내역!$D$2:$D$5000,거래내역!$B$2:$B$5000,D$3,거래내역!$E$2:$E$5000,"교통",거래내역!$H$2:$H$5000,설정!$B$5)</f>
        <v>0</v>
      </c>
      <c r="E22" s="20" t="n">
        <f aca="false">SUMIFS(거래내역!$D$2:$D$5000,거래내역!$B$2:$B$5000,E$3,거래내역!$E$2:$E$5000,"교통",거래내역!$H$2:$H$5000,설정!$B$5)</f>
        <v>0</v>
      </c>
      <c r="F22" s="20" t="n">
        <f aca="false">SUMIFS(거래내역!$D$2:$D$5000,거래내역!$B$2:$B$5000,F$3,거래내역!$E$2:$E$5000,"교통",거래내역!$H$2:$H$5000,설정!$B$5)</f>
        <v>0</v>
      </c>
      <c r="G22" s="20" t="n">
        <f aca="false">SUMIFS(거래내역!$D$2:$D$5000,거래내역!$B$2:$B$5000,G$3,거래내역!$E$2:$E$5000,"교통",거래내역!$H$2:$H$5000,설정!$B$5)</f>
        <v>0</v>
      </c>
      <c r="H22" s="20" t="n">
        <f aca="false">SUMIFS(거래내역!$D$2:$D$5000,거래내역!$B$2:$B$5000,H$3,거래내역!$E$2:$E$5000,"교통",거래내역!$H$2:$H$5000,설정!$B$5)</f>
        <v>0</v>
      </c>
      <c r="I22" s="20" t="n">
        <f aca="false">SUMIFS(거래내역!$D$2:$D$5000,거래내역!$B$2:$B$5000,I$3,거래내역!$E$2:$E$5000,"교통",거래내역!$H$2:$H$5000,설정!$B$5)</f>
        <v>0</v>
      </c>
      <c r="J22" s="20" t="n">
        <f aca="false">SUMIFS(거래내역!$D$2:$D$5000,거래내역!$B$2:$B$5000,J$3,거래내역!$E$2:$E$5000,"교통",거래내역!$H$2:$H$5000,설정!$B$5)</f>
        <v>0</v>
      </c>
      <c r="K22" s="20" t="n">
        <f aca="false">SUMIFS(거래내역!$D$2:$D$5000,거래내역!$B$2:$B$5000,K$3,거래내역!$E$2:$E$5000,"교통",거래내역!$H$2:$H$5000,설정!$B$5)</f>
        <v>0</v>
      </c>
      <c r="L22" s="20" t="n">
        <f aca="false">SUMIFS(거래내역!$D$2:$D$5000,거래내역!$B$2:$B$5000,L$3,거래내역!$E$2:$E$5000,"교통",거래내역!$H$2:$H$5000,설정!$B$5)</f>
        <v>0</v>
      </c>
      <c r="M22" s="20" t="n">
        <f aca="false">SUMIFS(거래내역!$D$2:$D$5000,거래내역!$B$2:$B$5000,M$3,거래내역!$E$2:$E$5000,"교통",거래내역!$H$2:$H$5000,설정!$B$5)</f>
        <v>0</v>
      </c>
      <c r="N22" s="20" t="n">
        <f aca="false">SUM(B22:M22)</f>
        <v>0</v>
      </c>
      <c r="O22" s="20" t="n">
        <f aca="false">N22/12</f>
        <v>0</v>
      </c>
      <c r="P22" s="20" t="n">
        <f aca="false">AVERAGE(K22:M22)</f>
        <v>0</v>
      </c>
    </row>
    <row r="23" customFormat="false" ht="15" hidden="false" customHeight="false" outlineLevel="0" collapsed="false">
      <c r="A23" s="36" t="s">
        <v>251</v>
      </c>
      <c r="B23" s="20" t="n">
        <f aca="false">SUMIFS(거래내역!$D$2:$D$5000,거래내역!$B$2:$B$5000,B$3,거래내역!$E$2:$E$5000,"쇼핑",거래내역!$H$2:$H$5000,설정!$B$5)</f>
        <v>0</v>
      </c>
      <c r="C23" s="20" t="n">
        <f aca="false">SUMIFS(거래내역!$D$2:$D$5000,거래내역!$B$2:$B$5000,C$3,거래내역!$E$2:$E$5000,"쇼핑",거래내역!$H$2:$H$5000,설정!$B$5)</f>
        <v>0</v>
      </c>
      <c r="D23" s="20" t="n">
        <f aca="false">SUMIFS(거래내역!$D$2:$D$5000,거래내역!$B$2:$B$5000,D$3,거래내역!$E$2:$E$5000,"쇼핑",거래내역!$H$2:$H$5000,설정!$B$5)</f>
        <v>0</v>
      </c>
      <c r="E23" s="20" t="n">
        <f aca="false">SUMIFS(거래내역!$D$2:$D$5000,거래내역!$B$2:$B$5000,E$3,거래내역!$E$2:$E$5000,"쇼핑",거래내역!$H$2:$H$5000,설정!$B$5)</f>
        <v>0</v>
      </c>
      <c r="F23" s="20" t="n">
        <f aca="false">SUMIFS(거래내역!$D$2:$D$5000,거래내역!$B$2:$B$5000,F$3,거래내역!$E$2:$E$5000,"쇼핑",거래내역!$H$2:$H$5000,설정!$B$5)</f>
        <v>0</v>
      </c>
      <c r="G23" s="20" t="n">
        <f aca="false">SUMIFS(거래내역!$D$2:$D$5000,거래내역!$B$2:$B$5000,G$3,거래내역!$E$2:$E$5000,"쇼핑",거래내역!$H$2:$H$5000,설정!$B$5)</f>
        <v>0</v>
      </c>
      <c r="H23" s="20" t="n">
        <f aca="false">SUMIFS(거래내역!$D$2:$D$5000,거래내역!$B$2:$B$5000,H$3,거래내역!$E$2:$E$5000,"쇼핑",거래내역!$H$2:$H$5000,설정!$B$5)</f>
        <v>0</v>
      </c>
      <c r="I23" s="20" t="n">
        <f aca="false">SUMIFS(거래내역!$D$2:$D$5000,거래내역!$B$2:$B$5000,I$3,거래내역!$E$2:$E$5000,"쇼핑",거래내역!$H$2:$H$5000,설정!$B$5)</f>
        <v>0</v>
      </c>
      <c r="J23" s="20" t="n">
        <f aca="false">SUMIFS(거래내역!$D$2:$D$5000,거래내역!$B$2:$B$5000,J$3,거래내역!$E$2:$E$5000,"쇼핑",거래내역!$H$2:$H$5000,설정!$B$5)</f>
        <v>0</v>
      </c>
      <c r="K23" s="20" t="n">
        <f aca="false">SUMIFS(거래내역!$D$2:$D$5000,거래내역!$B$2:$B$5000,K$3,거래내역!$E$2:$E$5000,"쇼핑",거래내역!$H$2:$H$5000,설정!$B$5)</f>
        <v>0</v>
      </c>
      <c r="L23" s="20" t="n">
        <f aca="false">SUMIFS(거래내역!$D$2:$D$5000,거래내역!$B$2:$B$5000,L$3,거래내역!$E$2:$E$5000,"쇼핑",거래내역!$H$2:$H$5000,설정!$B$5)</f>
        <v>0</v>
      </c>
      <c r="M23" s="20" t="n">
        <f aca="false">SUMIFS(거래내역!$D$2:$D$5000,거래내역!$B$2:$B$5000,M$3,거래내역!$E$2:$E$5000,"쇼핑",거래내역!$H$2:$H$5000,설정!$B$5)</f>
        <v>0</v>
      </c>
      <c r="N23" s="20" t="n">
        <f aca="false">SUM(B23:M23)</f>
        <v>0</v>
      </c>
      <c r="O23" s="20" t="n">
        <f aca="false">N23/12</f>
        <v>0</v>
      </c>
      <c r="P23" s="20" t="n">
        <f aca="false">AVERAGE(K23:M23)</f>
        <v>0</v>
      </c>
    </row>
    <row r="24" customFormat="false" ht="15" hidden="false" customHeight="false" outlineLevel="0" collapsed="false">
      <c r="A24" s="36" t="s">
        <v>252</v>
      </c>
      <c r="B24" s="20" t="n">
        <f aca="false">SUMIFS(거래내역!$D$2:$D$5000,거래내역!$B$2:$B$5000,B$3,거래내역!$E$2:$E$5000,"의료",거래내역!$H$2:$H$5000,설정!$B$5)</f>
        <v>0</v>
      </c>
      <c r="C24" s="20" t="n">
        <f aca="false">SUMIFS(거래내역!$D$2:$D$5000,거래내역!$B$2:$B$5000,C$3,거래내역!$E$2:$E$5000,"의료",거래내역!$H$2:$H$5000,설정!$B$5)</f>
        <v>0</v>
      </c>
      <c r="D24" s="20" t="n">
        <f aca="false">SUMIFS(거래내역!$D$2:$D$5000,거래내역!$B$2:$B$5000,D$3,거래내역!$E$2:$E$5000,"의료",거래내역!$H$2:$H$5000,설정!$B$5)</f>
        <v>0</v>
      </c>
      <c r="E24" s="20" t="n">
        <f aca="false">SUMIFS(거래내역!$D$2:$D$5000,거래내역!$B$2:$B$5000,E$3,거래내역!$E$2:$E$5000,"의료",거래내역!$H$2:$H$5000,설정!$B$5)</f>
        <v>0</v>
      </c>
      <c r="F24" s="20" t="n">
        <f aca="false">SUMIFS(거래내역!$D$2:$D$5000,거래내역!$B$2:$B$5000,F$3,거래내역!$E$2:$E$5000,"의료",거래내역!$H$2:$H$5000,설정!$B$5)</f>
        <v>0</v>
      </c>
      <c r="G24" s="20" t="n">
        <f aca="false">SUMIFS(거래내역!$D$2:$D$5000,거래내역!$B$2:$B$5000,G$3,거래내역!$E$2:$E$5000,"의료",거래내역!$H$2:$H$5000,설정!$B$5)</f>
        <v>0</v>
      </c>
      <c r="H24" s="20" t="n">
        <f aca="false">SUMIFS(거래내역!$D$2:$D$5000,거래내역!$B$2:$B$5000,H$3,거래내역!$E$2:$E$5000,"의료",거래내역!$H$2:$H$5000,설정!$B$5)</f>
        <v>0</v>
      </c>
      <c r="I24" s="20" t="n">
        <f aca="false">SUMIFS(거래내역!$D$2:$D$5000,거래내역!$B$2:$B$5000,I$3,거래내역!$E$2:$E$5000,"의료",거래내역!$H$2:$H$5000,설정!$B$5)</f>
        <v>0</v>
      </c>
      <c r="J24" s="20" t="n">
        <f aca="false">SUMIFS(거래내역!$D$2:$D$5000,거래내역!$B$2:$B$5000,J$3,거래내역!$E$2:$E$5000,"의료",거래내역!$H$2:$H$5000,설정!$B$5)</f>
        <v>0</v>
      </c>
      <c r="K24" s="20" t="n">
        <f aca="false">SUMIFS(거래내역!$D$2:$D$5000,거래내역!$B$2:$B$5000,K$3,거래내역!$E$2:$E$5000,"의료",거래내역!$H$2:$H$5000,설정!$B$5)</f>
        <v>0</v>
      </c>
      <c r="L24" s="20" t="n">
        <f aca="false">SUMIFS(거래내역!$D$2:$D$5000,거래내역!$B$2:$B$5000,L$3,거래내역!$E$2:$E$5000,"의료",거래내역!$H$2:$H$5000,설정!$B$5)</f>
        <v>0</v>
      </c>
      <c r="M24" s="20" t="n">
        <f aca="false">SUMIFS(거래내역!$D$2:$D$5000,거래내역!$B$2:$B$5000,M$3,거래내역!$E$2:$E$5000,"의료",거래내역!$H$2:$H$5000,설정!$B$5)</f>
        <v>0</v>
      </c>
      <c r="N24" s="20" t="n">
        <f aca="false">SUM(B24:M24)</f>
        <v>0</v>
      </c>
      <c r="O24" s="20" t="n">
        <f aca="false">N24/12</f>
        <v>0</v>
      </c>
      <c r="P24" s="20" t="n">
        <f aca="false">AVERAGE(K24:M24)</f>
        <v>0</v>
      </c>
    </row>
    <row r="25" customFormat="false" ht="15" hidden="false" customHeight="false" outlineLevel="0" collapsed="false">
      <c r="A25" s="36" t="s">
        <v>253</v>
      </c>
      <c r="B25" s="20" t="n">
        <f aca="false">SUMIFS(거래내역!$D$2:$D$5000,거래내역!$B$2:$B$5000,B$3,거래내역!$E$2:$E$5000,"여가",거래내역!$H$2:$H$5000,설정!$B$5)</f>
        <v>0</v>
      </c>
      <c r="C25" s="20" t="n">
        <f aca="false">SUMIFS(거래내역!$D$2:$D$5000,거래내역!$B$2:$B$5000,C$3,거래내역!$E$2:$E$5000,"여가",거래내역!$H$2:$H$5000,설정!$B$5)</f>
        <v>0</v>
      </c>
      <c r="D25" s="20" t="n">
        <f aca="false">SUMIFS(거래내역!$D$2:$D$5000,거래내역!$B$2:$B$5000,D$3,거래내역!$E$2:$E$5000,"여가",거래내역!$H$2:$H$5000,설정!$B$5)</f>
        <v>0</v>
      </c>
      <c r="E25" s="20" t="n">
        <f aca="false">SUMIFS(거래내역!$D$2:$D$5000,거래내역!$B$2:$B$5000,E$3,거래내역!$E$2:$E$5000,"여가",거래내역!$H$2:$H$5000,설정!$B$5)</f>
        <v>0</v>
      </c>
      <c r="F25" s="20" t="n">
        <f aca="false">SUMIFS(거래내역!$D$2:$D$5000,거래내역!$B$2:$B$5000,F$3,거래내역!$E$2:$E$5000,"여가",거래내역!$H$2:$H$5000,설정!$B$5)</f>
        <v>0</v>
      </c>
      <c r="G25" s="20" t="n">
        <f aca="false">SUMIFS(거래내역!$D$2:$D$5000,거래내역!$B$2:$B$5000,G$3,거래내역!$E$2:$E$5000,"여가",거래내역!$H$2:$H$5000,설정!$B$5)</f>
        <v>0</v>
      </c>
      <c r="H25" s="20" t="n">
        <f aca="false">SUMIFS(거래내역!$D$2:$D$5000,거래내역!$B$2:$B$5000,H$3,거래내역!$E$2:$E$5000,"여가",거래내역!$H$2:$H$5000,설정!$B$5)</f>
        <v>0</v>
      </c>
      <c r="I25" s="20" t="n">
        <f aca="false">SUMIFS(거래내역!$D$2:$D$5000,거래내역!$B$2:$B$5000,I$3,거래내역!$E$2:$E$5000,"여가",거래내역!$H$2:$H$5000,설정!$B$5)</f>
        <v>0</v>
      </c>
      <c r="J25" s="20" t="n">
        <f aca="false">SUMIFS(거래내역!$D$2:$D$5000,거래내역!$B$2:$B$5000,J$3,거래내역!$E$2:$E$5000,"여가",거래내역!$H$2:$H$5000,설정!$B$5)</f>
        <v>0</v>
      </c>
      <c r="K25" s="20" t="n">
        <f aca="false">SUMIFS(거래내역!$D$2:$D$5000,거래내역!$B$2:$B$5000,K$3,거래내역!$E$2:$E$5000,"여가",거래내역!$H$2:$H$5000,설정!$B$5)</f>
        <v>0</v>
      </c>
      <c r="L25" s="20" t="n">
        <f aca="false">SUMIFS(거래내역!$D$2:$D$5000,거래내역!$B$2:$B$5000,L$3,거래내역!$E$2:$E$5000,"여가",거래내역!$H$2:$H$5000,설정!$B$5)</f>
        <v>0</v>
      </c>
      <c r="M25" s="20" t="n">
        <f aca="false">SUMIFS(거래내역!$D$2:$D$5000,거래내역!$B$2:$B$5000,M$3,거래내역!$E$2:$E$5000,"여가",거래내역!$H$2:$H$5000,설정!$B$5)</f>
        <v>0</v>
      </c>
      <c r="N25" s="20" t="n">
        <f aca="false">SUM(B25:M25)</f>
        <v>0</v>
      </c>
      <c r="O25" s="20" t="n">
        <f aca="false">N25/12</f>
        <v>0</v>
      </c>
      <c r="P25" s="20" t="n">
        <f aca="false">AVERAGE(K25:M25)</f>
        <v>0</v>
      </c>
    </row>
    <row r="26" customFormat="false" ht="15" hidden="false" customHeight="false" outlineLevel="0" collapsed="false">
      <c r="A26" s="36" t="s">
        <v>254</v>
      </c>
      <c r="B26" s="20" t="n">
        <f aca="false">SUMIFS(거래내역!$D$2:$D$5000,거래내역!$B$2:$B$5000,B$3,거래내역!$E$2:$E$5000,"용돈",거래내역!$H$2:$H$5000,설정!$B$5)</f>
        <v>0</v>
      </c>
      <c r="C26" s="20" t="n">
        <f aca="false">SUMIFS(거래내역!$D$2:$D$5000,거래내역!$B$2:$B$5000,C$3,거래내역!$E$2:$E$5000,"용돈",거래내역!$H$2:$H$5000,설정!$B$5)</f>
        <v>0</v>
      </c>
      <c r="D26" s="20" t="n">
        <f aca="false">SUMIFS(거래내역!$D$2:$D$5000,거래내역!$B$2:$B$5000,D$3,거래내역!$E$2:$E$5000,"용돈",거래내역!$H$2:$H$5000,설정!$B$5)</f>
        <v>0</v>
      </c>
      <c r="E26" s="20" t="n">
        <f aca="false">SUMIFS(거래내역!$D$2:$D$5000,거래내역!$B$2:$B$5000,E$3,거래내역!$E$2:$E$5000,"용돈",거래내역!$H$2:$H$5000,설정!$B$5)</f>
        <v>0</v>
      </c>
      <c r="F26" s="20" t="n">
        <f aca="false">SUMIFS(거래내역!$D$2:$D$5000,거래내역!$B$2:$B$5000,F$3,거래내역!$E$2:$E$5000,"용돈",거래내역!$H$2:$H$5000,설정!$B$5)</f>
        <v>0</v>
      </c>
      <c r="G26" s="20" t="n">
        <f aca="false">SUMIFS(거래내역!$D$2:$D$5000,거래내역!$B$2:$B$5000,G$3,거래내역!$E$2:$E$5000,"용돈",거래내역!$H$2:$H$5000,설정!$B$5)</f>
        <v>0</v>
      </c>
      <c r="H26" s="20" t="n">
        <f aca="false">SUMIFS(거래내역!$D$2:$D$5000,거래내역!$B$2:$B$5000,H$3,거래내역!$E$2:$E$5000,"용돈",거래내역!$H$2:$H$5000,설정!$B$5)</f>
        <v>0</v>
      </c>
      <c r="I26" s="20" t="n">
        <f aca="false">SUMIFS(거래내역!$D$2:$D$5000,거래내역!$B$2:$B$5000,I$3,거래내역!$E$2:$E$5000,"용돈",거래내역!$H$2:$H$5000,설정!$B$5)</f>
        <v>0</v>
      </c>
      <c r="J26" s="20" t="n">
        <f aca="false">SUMIFS(거래내역!$D$2:$D$5000,거래내역!$B$2:$B$5000,J$3,거래내역!$E$2:$E$5000,"용돈",거래내역!$H$2:$H$5000,설정!$B$5)</f>
        <v>0</v>
      </c>
      <c r="K26" s="20" t="n">
        <f aca="false">SUMIFS(거래내역!$D$2:$D$5000,거래내역!$B$2:$B$5000,K$3,거래내역!$E$2:$E$5000,"용돈",거래내역!$H$2:$H$5000,설정!$B$5)</f>
        <v>0</v>
      </c>
      <c r="L26" s="20" t="n">
        <f aca="false">SUMIFS(거래내역!$D$2:$D$5000,거래내역!$B$2:$B$5000,L$3,거래내역!$E$2:$E$5000,"용돈",거래내역!$H$2:$H$5000,설정!$B$5)</f>
        <v>0</v>
      </c>
      <c r="M26" s="20" t="n">
        <f aca="false">SUMIFS(거래내역!$D$2:$D$5000,거래내역!$B$2:$B$5000,M$3,거래내역!$E$2:$E$5000,"용돈",거래내역!$H$2:$H$5000,설정!$B$5)</f>
        <v>0</v>
      </c>
      <c r="N26" s="20" t="n">
        <f aca="false">SUM(B26:M26)</f>
        <v>0</v>
      </c>
      <c r="O26" s="20" t="n">
        <f aca="false">N26/12</f>
        <v>0</v>
      </c>
      <c r="P26" s="20" t="n">
        <f aca="false">AVERAGE(K26:M26)</f>
        <v>0</v>
      </c>
    </row>
    <row r="27" customFormat="false" ht="15" hidden="false" customHeight="false" outlineLevel="0" collapsed="false">
      <c r="A27" s="40" t="s">
        <v>255</v>
      </c>
      <c r="B27" s="42" t="n">
        <f aca="false">SUMIFS(거래내역!$D$2:$D$5000,거래내역!$B$2:$B$5000,B$3,거래내역!$F$2:$F$5000,"변동비",거래내역!$H$2:$H$5000,설정!$B$5)</f>
        <v>0</v>
      </c>
      <c r="C27" s="42" t="n">
        <f aca="false">SUMIFS(거래내역!$D$2:$D$5000,거래내역!$B$2:$B$5000,C$3,거래내역!$F$2:$F$5000,"변동비",거래내역!$H$2:$H$5000,설정!$B$5)</f>
        <v>0</v>
      </c>
      <c r="D27" s="42" t="n">
        <f aca="false">SUMIFS(거래내역!$D$2:$D$5000,거래내역!$B$2:$B$5000,D$3,거래내역!$F$2:$F$5000,"변동비",거래내역!$H$2:$H$5000,설정!$B$5)</f>
        <v>0</v>
      </c>
      <c r="E27" s="42" t="n">
        <f aca="false">SUMIFS(거래내역!$D$2:$D$5000,거래내역!$B$2:$B$5000,E$3,거래내역!$F$2:$F$5000,"변동비",거래내역!$H$2:$H$5000,설정!$B$5)</f>
        <v>0</v>
      </c>
      <c r="F27" s="42" t="n">
        <f aca="false">SUMIFS(거래내역!$D$2:$D$5000,거래내역!$B$2:$B$5000,F$3,거래내역!$F$2:$F$5000,"변동비",거래내역!$H$2:$H$5000,설정!$B$5)</f>
        <v>0</v>
      </c>
      <c r="G27" s="42" t="n">
        <f aca="false">SUMIFS(거래내역!$D$2:$D$5000,거래내역!$B$2:$B$5000,G$3,거래내역!$F$2:$F$5000,"변동비",거래내역!$H$2:$H$5000,설정!$B$5)</f>
        <v>0</v>
      </c>
      <c r="H27" s="42" t="n">
        <f aca="false">SUMIFS(거래내역!$D$2:$D$5000,거래내역!$B$2:$B$5000,H$3,거래내역!$F$2:$F$5000,"변동비",거래내역!$H$2:$H$5000,설정!$B$5)</f>
        <v>0</v>
      </c>
      <c r="I27" s="42" t="n">
        <f aca="false">SUMIFS(거래내역!$D$2:$D$5000,거래내역!$B$2:$B$5000,I$3,거래내역!$F$2:$F$5000,"변동비",거래내역!$H$2:$H$5000,설정!$B$5)</f>
        <v>0</v>
      </c>
      <c r="J27" s="42" t="n">
        <f aca="false">SUMIFS(거래내역!$D$2:$D$5000,거래내역!$B$2:$B$5000,J$3,거래내역!$F$2:$F$5000,"변동비",거래내역!$H$2:$H$5000,설정!$B$5)</f>
        <v>0</v>
      </c>
      <c r="K27" s="42" t="n">
        <f aca="false">SUMIFS(거래내역!$D$2:$D$5000,거래내역!$B$2:$B$5000,K$3,거래내역!$F$2:$F$5000,"변동비",거래내역!$H$2:$H$5000,설정!$B$5)</f>
        <v>0</v>
      </c>
      <c r="L27" s="42" t="n">
        <f aca="false">SUMIFS(거래내역!$D$2:$D$5000,거래내역!$B$2:$B$5000,L$3,거래내역!$F$2:$F$5000,"변동비",거래내역!$H$2:$H$5000,설정!$B$5)</f>
        <v>0</v>
      </c>
      <c r="M27" s="42" t="n">
        <f aca="false">SUMIFS(거래내역!$D$2:$D$5000,거래내역!$B$2:$B$5000,M$3,거래내역!$F$2:$F$5000,"변동비",거래내역!$H$2:$H$5000,설정!$B$5)</f>
        <v>0</v>
      </c>
      <c r="N27" s="42" t="n">
        <f aca="false">SUM(B27:M27)</f>
        <v>0</v>
      </c>
      <c r="O27" s="42" t="n">
        <f aca="false">N27/12</f>
        <v>0</v>
      </c>
      <c r="P27" s="42" t="n">
        <f aca="false">AVERAGE(K27:M27)</f>
        <v>0</v>
      </c>
    </row>
    <row r="28" customFormat="false" ht="15" hidden="false" customHeight="false" outlineLevel="0" collapsed="false">
      <c r="A28" s="63" t="s">
        <v>256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customFormat="false" ht="15" hidden="false" customHeight="false" outlineLevel="0" collapsed="false">
      <c r="A29" s="36" t="s">
        <v>257</v>
      </c>
      <c r="B29" s="20" t="n">
        <f aca="false">SUMIFS(거래내역!$D$2:$D$5000,거래내역!$B$2:$B$5000,B$3,거래내역!$E$2:$E$5000,"경조사",거래내역!$H$2:$H$5000,설정!$B$5)</f>
        <v>0</v>
      </c>
      <c r="C29" s="20" t="n">
        <f aca="false">SUMIFS(거래내역!$D$2:$D$5000,거래내역!$B$2:$B$5000,C$3,거래내역!$E$2:$E$5000,"경조사",거래내역!$H$2:$H$5000,설정!$B$5)</f>
        <v>0</v>
      </c>
      <c r="D29" s="20" t="n">
        <f aca="false">SUMIFS(거래내역!$D$2:$D$5000,거래내역!$B$2:$B$5000,D$3,거래내역!$E$2:$E$5000,"경조사",거래내역!$H$2:$H$5000,설정!$B$5)</f>
        <v>0</v>
      </c>
      <c r="E29" s="20" t="n">
        <f aca="false">SUMIFS(거래내역!$D$2:$D$5000,거래내역!$B$2:$B$5000,E$3,거래내역!$E$2:$E$5000,"경조사",거래내역!$H$2:$H$5000,설정!$B$5)</f>
        <v>0</v>
      </c>
      <c r="F29" s="20" t="n">
        <f aca="false">SUMIFS(거래내역!$D$2:$D$5000,거래내역!$B$2:$B$5000,F$3,거래내역!$E$2:$E$5000,"경조사",거래내역!$H$2:$H$5000,설정!$B$5)</f>
        <v>0</v>
      </c>
      <c r="G29" s="20" t="n">
        <f aca="false">SUMIFS(거래내역!$D$2:$D$5000,거래내역!$B$2:$B$5000,G$3,거래내역!$E$2:$E$5000,"경조사",거래내역!$H$2:$H$5000,설정!$B$5)</f>
        <v>0</v>
      </c>
      <c r="H29" s="20" t="n">
        <f aca="false">SUMIFS(거래내역!$D$2:$D$5000,거래내역!$B$2:$B$5000,H$3,거래내역!$E$2:$E$5000,"경조사",거래내역!$H$2:$H$5000,설정!$B$5)</f>
        <v>0</v>
      </c>
      <c r="I29" s="20" t="n">
        <f aca="false">SUMIFS(거래내역!$D$2:$D$5000,거래내역!$B$2:$B$5000,I$3,거래내역!$E$2:$E$5000,"경조사",거래내역!$H$2:$H$5000,설정!$B$5)</f>
        <v>0</v>
      </c>
      <c r="J29" s="20" t="n">
        <f aca="false">SUMIFS(거래내역!$D$2:$D$5000,거래내역!$B$2:$B$5000,J$3,거래내역!$E$2:$E$5000,"경조사",거래내역!$H$2:$H$5000,설정!$B$5)</f>
        <v>0</v>
      </c>
      <c r="K29" s="20" t="n">
        <f aca="false">SUMIFS(거래내역!$D$2:$D$5000,거래내역!$B$2:$B$5000,K$3,거래내역!$E$2:$E$5000,"경조사",거래내역!$H$2:$H$5000,설정!$B$5)</f>
        <v>0</v>
      </c>
      <c r="L29" s="20" t="n">
        <f aca="false">SUMIFS(거래내역!$D$2:$D$5000,거래내역!$B$2:$B$5000,L$3,거래내역!$E$2:$E$5000,"경조사",거래내역!$H$2:$H$5000,설정!$B$5)</f>
        <v>0</v>
      </c>
      <c r="M29" s="20" t="n">
        <f aca="false">SUMIFS(거래내역!$D$2:$D$5000,거래내역!$B$2:$B$5000,M$3,거래내역!$E$2:$E$5000,"경조사",거래내역!$H$2:$H$5000,설정!$B$5)</f>
        <v>0</v>
      </c>
      <c r="N29" s="20" t="n">
        <f aca="false">SUM(B29:M29)</f>
        <v>0</v>
      </c>
      <c r="O29" s="20" t="n">
        <f aca="false">N29/12</f>
        <v>0</v>
      </c>
      <c r="P29" s="20" t="n">
        <f aca="false">AVERAGE(K29:M29)</f>
        <v>0</v>
      </c>
    </row>
    <row r="30" customFormat="false" ht="15" hidden="false" customHeight="false" outlineLevel="0" collapsed="false">
      <c r="A30" s="36" t="s">
        <v>258</v>
      </c>
      <c r="B30" s="20" t="n">
        <f aca="false">SUMIFS(거래내역!$D$2:$D$5000,거래내역!$B$2:$B$5000,B$3,거래내역!$E$2:$E$5000,"여행",거래내역!$H$2:$H$5000,설정!$B$5)</f>
        <v>0</v>
      </c>
      <c r="C30" s="20" t="n">
        <f aca="false">SUMIFS(거래내역!$D$2:$D$5000,거래내역!$B$2:$B$5000,C$3,거래내역!$E$2:$E$5000,"여행",거래내역!$H$2:$H$5000,설정!$B$5)</f>
        <v>0</v>
      </c>
      <c r="D30" s="20" t="n">
        <f aca="false">SUMIFS(거래내역!$D$2:$D$5000,거래내역!$B$2:$B$5000,D$3,거래내역!$E$2:$E$5000,"여행",거래내역!$H$2:$H$5000,설정!$B$5)</f>
        <v>0</v>
      </c>
      <c r="E30" s="20" t="n">
        <f aca="false">SUMIFS(거래내역!$D$2:$D$5000,거래내역!$B$2:$B$5000,E$3,거래내역!$E$2:$E$5000,"여행",거래내역!$H$2:$H$5000,설정!$B$5)</f>
        <v>0</v>
      </c>
      <c r="F30" s="20" t="n">
        <f aca="false">SUMIFS(거래내역!$D$2:$D$5000,거래내역!$B$2:$B$5000,F$3,거래내역!$E$2:$E$5000,"여행",거래내역!$H$2:$H$5000,설정!$B$5)</f>
        <v>0</v>
      </c>
      <c r="G30" s="20" t="n">
        <f aca="false">SUMIFS(거래내역!$D$2:$D$5000,거래내역!$B$2:$B$5000,G$3,거래내역!$E$2:$E$5000,"여행",거래내역!$H$2:$H$5000,설정!$B$5)</f>
        <v>0</v>
      </c>
      <c r="H30" s="20" t="n">
        <f aca="false">SUMIFS(거래내역!$D$2:$D$5000,거래내역!$B$2:$B$5000,H$3,거래내역!$E$2:$E$5000,"여행",거래내역!$H$2:$H$5000,설정!$B$5)</f>
        <v>0</v>
      </c>
      <c r="I30" s="20" t="n">
        <f aca="false">SUMIFS(거래내역!$D$2:$D$5000,거래내역!$B$2:$B$5000,I$3,거래내역!$E$2:$E$5000,"여행",거래내역!$H$2:$H$5000,설정!$B$5)</f>
        <v>0</v>
      </c>
      <c r="J30" s="20" t="n">
        <f aca="false">SUMIFS(거래내역!$D$2:$D$5000,거래내역!$B$2:$B$5000,J$3,거래내역!$E$2:$E$5000,"여행",거래내역!$H$2:$H$5000,설정!$B$5)</f>
        <v>0</v>
      </c>
      <c r="K30" s="20" t="n">
        <f aca="false">SUMIFS(거래내역!$D$2:$D$5000,거래내역!$B$2:$B$5000,K$3,거래내역!$E$2:$E$5000,"여행",거래내역!$H$2:$H$5000,설정!$B$5)</f>
        <v>0</v>
      </c>
      <c r="L30" s="20" t="n">
        <f aca="false">SUMIFS(거래내역!$D$2:$D$5000,거래내역!$B$2:$B$5000,L$3,거래내역!$E$2:$E$5000,"여행",거래내역!$H$2:$H$5000,설정!$B$5)</f>
        <v>0</v>
      </c>
      <c r="M30" s="20" t="n">
        <f aca="false">SUMIFS(거래내역!$D$2:$D$5000,거래내역!$B$2:$B$5000,M$3,거래내역!$E$2:$E$5000,"여행",거래내역!$H$2:$H$5000,설정!$B$5)</f>
        <v>0</v>
      </c>
      <c r="N30" s="20" t="n">
        <f aca="false">SUM(B30:M30)</f>
        <v>0</v>
      </c>
      <c r="O30" s="20" t="n">
        <f aca="false">N30/12</f>
        <v>0</v>
      </c>
      <c r="P30" s="20" t="n">
        <f aca="false">AVERAGE(K30:M30)</f>
        <v>0</v>
      </c>
    </row>
    <row r="31" customFormat="false" ht="15" hidden="false" customHeight="false" outlineLevel="0" collapsed="false">
      <c r="A31" s="36" t="s">
        <v>259</v>
      </c>
      <c r="B31" s="20" t="n">
        <f aca="false">SUMIFS(거래내역!$D$2:$D$5000,거래내역!$B$2:$B$5000,B$3,거래내역!$E$2:$E$5000,"세금",거래내역!$H$2:$H$5000,설정!$B$5)</f>
        <v>0</v>
      </c>
      <c r="C31" s="20" t="n">
        <f aca="false">SUMIFS(거래내역!$D$2:$D$5000,거래내역!$B$2:$B$5000,C$3,거래내역!$E$2:$E$5000,"세금",거래내역!$H$2:$H$5000,설정!$B$5)</f>
        <v>0</v>
      </c>
      <c r="D31" s="20" t="n">
        <f aca="false">SUMIFS(거래내역!$D$2:$D$5000,거래내역!$B$2:$B$5000,D$3,거래내역!$E$2:$E$5000,"세금",거래내역!$H$2:$H$5000,설정!$B$5)</f>
        <v>0</v>
      </c>
      <c r="E31" s="20" t="n">
        <f aca="false">SUMIFS(거래내역!$D$2:$D$5000,거래내역!$B$2:$B$5000,E$3,거래내역!$E$2:$E$5000,"세금",거래내역!$H$2:$H$5000,설정!$B$5)</f>
        <v>0</v>
      </c>
      <c r="F31" s="20" t="n">
        <f aca="false">SUMIFS(거래내역!$D$2:$D$5000,거래내역!$B$2:$B$5000,F$3,거래내역!$E$2:$E$5000,"세금",거래내역!$H$2:$H$5000,설정!$B$5)</f>
        <v>0</v>
      </c>
      <c r="G31" s="20" t="n">
        <f aca="false">SUMIFS(거래내역!$D$2:$D$5000,거래내역!$B$2:$B$5000,G$3,거래내역!$E$2:$E$5000,"세금",거래내역!$H$2:$H$5000,설정!$B$5)</f>
        <v>0</v>
      </c>
      <c r="H31" s="20" t="n">
        <f aca="false">SUMIFS(거래내역!$D$2:$D$5000,거래내역!$B$2:$B$5000,H$3,거래내역!$E$2:$E$5000,"세금",거래내역!$H$2:$H$5000,설정!$B$5)</f>
        <v>0</v>
      </c>
      <c r="I31" s="20" t="n">
        <f aca="false">SUMIFS(거래내역!$D$2:$D$5000,거래내역!$B$2:$B$5000,I$3,거래내역!$E$2:$E$5000,"세금",거래내역!$H$2:$H$5000,설정!$B$5)</f>
        <v>0</v>
      </c>
      <c r="J31" s="20" t="n">
        <f aca="false">SUMIFS(거래내역!$D$2:$D$5000,거래내역!$B$2:$B$5000,J$3,거래내역!$E$2:$E$5000,"세금",거래내역!$H$2:$H$5000,설정!$B$5)</f>
        <v>0</v>
      </c>
      <c r="K31" s="20" t="n">
        <f aca="false">SUMIFS(거래내역!$D$2:$D$5000,거래내역!$B$2:$B$5000,K$3,거래내역!$E$2:$E$5000,"세금",거래내역!$H$2:$H$5000,설정!$B$5)</f>
        <v>0</v>
      </c>
      <c r="L31" s="20" t="n">
        <f aca="false">SUMIFS(거래내역!$D$2:$D$5000,거래내역!$B$2:$B$5000,L$3,거래내역!$E$2:$E$5000,"세금",거래내역!$H$2:$H$5000,설정!$B$5)</f>
        <v>0</v>
      </c>
      <c r="M31" s="20" t="n">
        <f aca="false">SUMIFS(거래내역!$D$2:$D$5000,거래내역!$B$2:$B$5000,M$3,거래내역!$E$2:$E$5000,"세금",거래내역!$H$2:$H$5000,설정!$B$5)</f>
        <v>0</v>
      </c>
      <c r="N31" s="20" t="n">
        <f aca="false">SUM(B31:M31)</f>
        <v>0</v>
      </c>
      <c r="O31" s="20" t="n">
        <f aca="false">N31/12</f>
        <v>0</v>
      </c>
      <c r="P31" s="20" t="n">
        <f aca="false">AVERAGE(K31:M31)</f>
        <v>0</v>
      </c>
    </row>
    <row r="32" customFormat="false" ht="15" hidden="false" customHeight="false" outlineLevel="0" collapsed="false">
      <c r="A32" s="36" t="s">
        <v>260</v>
      </c>
      <c r="B32" s="20" t="n">
        <f aca="false">SUMIFS(거래내역!$D$2:$D$5000,거래내역!$B$2:$B$5000,B$3,거래내역!$E$2:$E$5000,"명절",거래내역!$H$2:$H$5000,설정!$B$5)</f>
        <v>0</v>
      </c>
      <c r="C32" s="20" t="n">
        <f aca="false">SUMIFS(거래내역!$D$2:$D$5000,거래내역!$B$2:$B$5000,C$3,거래내역!$E$2:$E$5000,"명절",거래내역!$H$2:$H$5000,설정!$B$5)</f>
        <v>0</v>
      </c>
      <c r="D32" s="20" t="n">
        <f aca="false">SUMIFS(거래내역!$D$2:$D$5000,거래내역!$B$2:$B$5000,D$3,거래내역!$E$2:$E$5000,"명절",거래내역!$H$2:$H$5000,설정!$B$5)</f>
        <v>0</v>
      </c>
      <c r="E32" s="20" t="n">
        <f aca="false">SUMIFS(거래내역!$D$2:$D$5000,거래내역!$B$2:$B$5000,E$3,거래내역!$E$2:$E$5000,"명절",거래내역!$H$2:$H$5000,설정!$B$5)</f>
        <v>0</v>
      </c>
      <c r="F32" s="20" t="n">
        <f aca="false">SUMIFS(거래내역!$D$2:$D$5000,거래내역!$B$2:$B$5000,F$3,거래내역!$E$2:$E$5000,"명절",거래내역!$H$2:$H$5000,설정!$B$5)</f>
        <v>0</v>
      </c>
      <c r="G32" s="20" t="n">
        <f aca="false">SUMIFS(거래내역!$D$2:$D$5000,거래내역!$B$2:$B$5000,G$3,거래내역!$E$2:$E$5000,"명절",거래내역!$H$2:$H$5000,설정!$B$5)</f>
        <v>0</v>
      </c>
      <c r="H32" s="20" t="n">
        <f aca="false">SUMIFS(거래내역!$D$2:$D$5000,거래내역!$B$2:$B$5000,H$3,거래내역!$E$2:$E$5000,"명절",거래내역!$H$2:$H$5000,설정!$B$5)</f>
        <v>0</v>
      </c>
      <c r="I32" s="20" t="n">
        <f aca="false">SUMIFS(거래내역!$D$2:$D$5000,거래내역!$B$2:$B$5000,I$3,거래내역!$E$2:$E$5000,"명절",거래내역!$H$2:$H$5000,설정!$B$5)</f>
        <v>0</v>
      </c>
      <c r="J32" s="20" t="n">
        <f aca="false">SUMIFS(거래내역!$D$2:$D$5000,거래내역!$B$2:$B$5000,J$3,거래내역!$E$2:$E$5000,"명절",거래내역!$H$2:$H$5000,설정!$B$5)</f>
        <v>0</v>
      </c>
      <c r="K32" s="20" t="n">
        <f aca="false">SUMIFS(거래내역!$D$2:$D$5000,거래내역!$B$2:$B$5000,K$3,거래내역!$E$2:$E$5000,"명절",거래내역!$H$2:$H$5000,설정!$B$5)</f>
        <v>0</v>
      </c>
      <c r="L32" s="20" t="n">
        <f aca="false">SUMIFS(거래내역!$D$2:$D$5000,거래내역!$B$2:$B$5000,L$3,거래내역!$E$2:$E$5000,"명절",거래내역!$H$2:$H$5000,설정!$B$5)</f>
        <v>0</v>
      </c>
      <c r="M32" s="20" t="n">
        <f aca="false">SUMIFS(거래내역!$D$2:$D$5000,거래내역!$B$2:$B$5000,M$3,거래내역!$E$2:$E$5000,"명절",거래내역!$H$2:$H$5000,설정!$B$5)</f>
        <v>0</v>
      </c>
      <c r="N32" s="20" t="n">
        <f aca="false">SUM(B32:M32)</f>
        <v>0</v>
      </c>
      <c r="O32" s="20" t="n">
        <f aca="false">N32/12</f>
        <v>0</v>
      </c>
      <c r="P32" s="20" t="n">
        <f aca="false">AVERAGE(K32:M32)</f>
        <v>0</v>
      </c>
    </row>
    <row r="33" customFormat="false" ht="15" hidden="false" customHeight="false" outlineLevel="0" collapsed="false">
      <c r="A33" s="40" t="s">
        <v>261</v>
      </c>
      <c r="B33" s="42" t="n">
        <f aca="false">SUMIFS(거래내역!$D$2:$D$5000,거래내역!$B$2:$B$5000,B$3,거래내역!$F$2:$F$5000,"비정기비",거래내역!$H$2:$H$5000,설정!$B$5)</f>
        <v>0</v>
      </c>
      <c r="C33" s="42" t="n">
        <f aca="false">SUMIFS(거래내역!$D$2:$D$5000,거래내역!$B$2:$B$5000,C$3,거래내역!$F$2:$F$5000,"비정기비",거래내역!$H$2:$H$5000,설정!$B$5)</f>
        <v>0</v>
      </c>
      <c r="D33" s="42" t="n">
        <f aca="false">SUMIFS(거래내역!$D$2:$D$5000,거래내역!$B$2:$B$5000,D$3,거래내역!$F$2:$F$5000,"비정기비",거래내역!$H$2:$H$5000,설정!$B$5)</f>
        <v>0</v>
      </c>
      <c r="E33" s="42" t="n">
        <f aca="false">SUMIFS(거래내역!$D$2:$D$5000,거래내역!$B$2:$B$5000,E$3,거래내역!$F$2:$F$5000,"비정기비",거래내역!$H$2:$H$5000,설정!$B$5)</f>
        <v>0</v>
      </c>
      <c r="F33" s="42" t="n">
        <f aca="false">SUMIFS(거래내역!$D$2:$D$5000,거래내역!$B$2:$B$5000,F$3,거래내역!$F$2:$F$5000,"비정기비",거래내역!$H$2:$H$5000,설정!$B$5)</f>
        <v>0</v>
      </c>
      <c r="G33" s="42" t="n">
        <f aca="false">SUMIFS(거래내역!$D$2:$D$5000,거래내역!$B$2:$B$5000,G$3,거래내역!$F$2:$F$5000,"비정기비",거래내역!$H$2:$H$5000,설정!$B$5)</f>
        <v>0</v>
      </c>
      <c r="H33" s="42" t="n">
        <f aca="false">SUMIFS(거래내역!$D$2:$D$5000,거래내역!$B$2:$B$5000,H$3,거래내역!$F$2:$F$5000,"비정기비",거래내역!$H$2:$H$5000,설정!$B$5)</f>
        <v>0</v>
      </c>
      <c r="I33" s="42" t="n">
        <f aca="false">SUMIFS(거래내역!$D$2:$D$5000,거래내역!$B$2:$B$5000,I$3,거래내역!$F$2:$F$5000,"비정기비",거래내역!$H$2:$H$5000,설정!$B$5)</f>
        <v>0</v>
      </c>
      <c r="J33" s="42" t="n">
        <f aca="false">SUMIFS(거래내역!$D$2:$D$5000,거래내역!$B$2:$B$5000,J$3,거래내역!$F$2:$F$5000,"비정기비",거래내역!$H$2:$H$5000,설정!$B$5)</f>
        <v>0</v>
      </c>
      <c r="K33" s="42" t="n">
        <f aca="false">SUMIFS(거래내역!$D$2:$D$5000,거래내역!$B$2:$B$5000,K$3,거래내역!$F$2:$F$5000,"비정기비",거래내역!$H$2:$H$5000,설정!$B$5)</f>
        <v>0</v>
      </c>
      <c r="L33" s="42" t="n">
        <f aca="false">SUMIFS(거래내역!$D$2:$D$5000,거래내역!$B$2:$B$5000,L$3,거래내역!$F$2:$F$5000,"비정기비",거래내역!$H$2:$H$5000,설정!$B$5)</f>
        <v>0</v>
      </c>
      <c r="M33" s="42" t="n">
        <f aca="false">SUMIFS(거래내역!$D$2:$D$5000,거래내역!$B$2:$B$5000,M$3,거래내역!$F$2:$F$5000,"비정기비",거래내역!$H$2:$H$5000,설정!$B$5)</f>
        <v>0</v>
      </c>
      <c r="N33" s="42" t="n">
        <f aca="false">SUM(B33:M33)</f>
        <v>0</v>
      </c>
      <c r="O33" s="42" t="n">
        <f aca="false">N33/12</f>
        <v>0</v>
      </c>
      <c r="P33" s="42" t="n">
        <f aca="false">AVERAGE(K33:M33)</f>
        <v>0</v>
      </c>
    </row>
    <row r="35" customFormat="false" ht="15" hidden="false" customHeight="false" outlineLevel="0" collapsed="false">
      <c r="A35" s="40" t="s">
        <v>262</v>
      </c>
      <c r="B35" s="42" t="n">
        <f aca="false">B17+B27+B33</f>
        <v>0</v>
      </c>
      <c r="C35" s="42" t="n">
        <f aca="false">C17+C27+C33</f>
        <v>0</v>
      </c>
      <c r="D35" s="42" t="n">
        <f aca="false">D17+D27+D33</f>
        <v>0</v>
      </c>
      <c r="E35" s="42" t="n">
        <f aca="false">E17+E27+E33</f>
        <v>0</v>
      </c>
      <c r="F35" s="42" t="n">
        <f aca="false">F17+F27+F33</f>
        <v>0</v>
      </c>
      <c r="G35" s="42" t="n">
        <f aca="false">G17+G27+G33</f>
        <v>0</v>
      </c>
      <c r="H35" s="42" t="n">
        <f aca="false">H17+H27+H33</f>
        <v>0</v>
      </c>
      <c r="I35" s="42" t="n">
        <f aca="false">I17+I27+I33</f>
        <v>0</v>
      </c>
      <c r="J35" s="42" t="n">
        <f aca="false">J17+J27+J33</f>
        <v>0</v>
      </c>
      <c r="K35" s="42" t="n">
        <f aca="false">K17+K27+K33</f>
        <v>0</v>
      </c>
      <c r="L35" s="42" t="n">
        <f aca="false">L17+L27+L33</f>
        <v>0</v>
      </c>
      <c r="M35" s="42" t="n">
        <f aca="false">M17+M27+M33</f>
        <v>0</v>
      </c>
      <c r="N35" s="42" t="n">
        <f aca="false">N17+N27+N33</f>
        <v>0</v>
      </c>
      <c r="O35" s="42" t="n">
        <f aca="false">O17+O27+O33</f>
        <v>0</v>
      </c>
      <c r="P35" s="42" t="n">
        <f aca="false">P17+P27+P33</f>
        <v>0</v>
      </c>
    </row>
    <row r="36" customFormat="false" ht="15" hidden="false" customHeight="false" outlineLevel="0" collapsed="false">
      <c r="A36" s="40" t="s">
        <v>263</v>
      </c>
      <c r="B36" s="42" t="n">
        <f aca="false">B9-B35</f>
        <v>0</v>
      </c>
      <c r="C36" s="42" t="n">
        <f aca="false">C9-C35</f>
        <v>0</v>
      </c>
      <c r="D36" s="42" t="n">
        <f aca="false">D9-D35</f>
        <v>0</v>
      </c>
      <c r="E36" s="42" t="n">
        <f aca="false">E9-E35</f>
        <v>0</v>
      </c>
      <c r="F36" s="42" t="n">
        <f aca="false">F9-F35</f>
        <v>0</v>
      </c>
      <c r="G36" s="42" t="n">
        <f aca="false">G9-G35</f>
        <v>0</v>
      </c>
      <c r="H36" s="42" t="n">
        <f aca="false">H9-H35</f>
        <v>0</v>
      </c>
      <c r="I36" s="42" t="n">
        <f aca="false">I9-I35</f>
        <v>0</v>
      </c>
      <c r="J36" s="42" t="n">
        <f aca="false">J9-J35</f>
        <v>0</v>
      </c>
      <c r="K36" s="42" t="n">
        <f aca="false">K9-K35</f>
        <v>0</v>
      </c>
      <c r="L36" s="42" t="n">
        <f aca="false">L9-L35</f>
        <v>0</v>
      </c>
      <c r="M36" s="42" t="n">
        <f aca="false">M9-M35</f>
        <v>0</v>
      </c>
      <c r="N36" s="42" t="n">
        <f aca="false">N9-N35</f>
        <v>0</v>
      </c>
      <c r="O36" s="42" t="n">
        <f aca="false">O9-O35</f>
        <v>0</v>
      </c>
      <c r="P36" s="42" t="n">
        <f aca="false">P9-P35</f>
        <v>0</v>
      </c>
    </row>
    <row r="37" customFormat="false" ht="15" hidden="false" customHeight="false" outlineLevel="0" collapsed="false">
      <c r="A37" s="40" t="s">
        <v>264</v>
      </c>
      <c r="B37" s="41" t="n">
        <f aca="false">IF(B9=0,0,B36/B9)</f>
        <v>0</v>
      </c>
      <c r="C37" s="41" t="n">
        <f aca="false">IF(C9=0,0,C36/C9)</f>
        <v>0</v>
      </c>
      <c r="D37" s="41" t="n">
        <f aca="false">IF(D9=0,0,D36/D9)</f>
        <v>0</v>
      </c>
      <c r="E37" s="41" t="n">
        <f aca="false">IF(E9=0,0,E36/E9)</f>
        <v>0</v>
      </c>
      <c r="F37" s="41" t="n">
        <f aca="false">IF(F9=0,0,F36/F9)</f>
        <v>0</v>
      </c>
      <c r="G37" s="41" t="n">
        <f aca="false">IF(G9=0,0,G36/G9)</f>
        <v>0</v>
      </c>
      <c r="H37" s="41" t="n">
        <f aca="false">IF(H9=0,0,H36/H9)</f>
        <v>0</v>
      </c>
      <c r="I37" s="41" t="n">
        <f aca="false">IF(I9=0,0,I36/I9)</f>
        <v>0</v>
      </c>
      <c r="J37" s="41" t="n">
        <f aca="false">IF(J9=0,0,J36/J9)</f>
        <v>0</v>
      </c>
      <c r="K37" s="41" t="n">
        <f aca="false">IF(K9=0,0,K36/K9)</f>
        <v>0</v>
      </c>
      <c r="L37" s="41" t="n">
        <f aca="false">IF(L9=0,0,L36/L9)</f>
        <v>0</v>
      </c>
      <c r="M37" s="41" t="n">
        <f aca="false">IF(M9=0,0,M36/M9)</f>
        <v>0</v>
      </c>
      <c r="N37" s="41" t="n">
        <f aca="false">IF(N9=0,0,N36/N9)</f>
        <v>0</v>
      </c>
      <c r="O37" s="41" t="n">
        <f aca="false">IF(O9=0,0,O36/O9)</f>
        <v>0</v>
      </c>
      <c r="P37" s="41" t="n">
        <f aca="false">IF(P9=0,0,P36/P9)</f>
        <v>0</v>
      </c>
    </row>
    <row r="39" customFormat="false" ht="15" hidden="false" customHeight="false" outlineLevel="0" collapsed="false">
      <c r="A39" s="63" t="s">
        <v>265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customFormat="false" ht="15" hidden="false" customHeight="false" outlineLevel="0" collapsed="false">
      <c r="A40" s="36" t="s">
        <v>266</v>
      </c>
      <c r="B40" s="20" t="n">
        <f aca="false">SUMIFS(거래내역!$D$2:$D$5000,거래내역!$B$2:$B$5000,B$3,거래내역!$E$2:$E$5000,"투자이체",거래내역!$H$2:$H$5000,설정!$B$5)</f>
        <v>0</v>
      </c>
      <c r="C40" s="20" t="n">
        <f aca="false">SUMIFS(거래내역!$D$2:$D$5000,거래내역!$B$2:$B$5000,C$3,거래내역!$E$2:$E$5000,"투자이체",거래내역!$H$2:$H$5000,설정!$B$5)</f>
        <v>0</v>
      </c>
      <c r="D40" s="20" t="n">
        <f aca="false">SUMIFS(거래내역!$D$2:$D$5000,거래내역!$B$2:$B$5000,D$3,거래내역!$E$2:$E$5000,"투자이체",거래내역!$H$2:$H$5000,설정!$B$5)</f>
        <v>0</v>
      </c>
      <c r="E40" s="20" t="n">
        <f aca="false">SUMIFS(거래내역!$D$2:$D$5000,거래내역!$B$2:$B$5000,E$3,거래내역!$E$2:$E$5000,"투자이체",거래내역!$H$2:$H$5000,설정!$B$5)</f>
        <v>0</v>
      </c>
      <c r="F40" s="20" t="n">
        <f aca="false">SUMIFS(거래내역!$D$2:$D$5000,거래내역!$B$2:$B$5000,F$3,거래내역!$E$2:$E$5000,"투자이체",거래내역!$H$2:$H$5000,설정!$B$5)</f>
        <v>0</v>
      </c>
      <c r="G40" s="20" t="n">
        <f aca="false">SUMIFS(거래내역!$D$2:$D$5000,거래내역!$B$2:$B$5000,G$3,거래내역!$E$2:$E$5000,"투자이체",거래내역!$H$2:$H$5000,설정!$B$5)</f>
        <v>0</v>
      </c>
      <c r="H40" s="20" t="n">
        <f aca="false">SUMIFS(거래내역!$D$2:$D$5000,거래내역!$B$2:$B$5000,H$3,거래내역!$E$2:$E$5000,"투자이체",거래내역!$H$2:$H$5000,설정!$B$5)</f>
        <v>0</v>
      </c>
      <c r="I40" s="20" t="n">
        <f aca="false">SUMIFS(거래내역!$D$2:$D$5000,거래내역!$B$2:$B$5000,I$3,거래내역!$E$2:$E$5000,"투자이체",거래내역!$H$2:$H$5000,설정!$B$5)</f>
        <v>0</v>
      </c>
      <c r="J40" s="20" t="n">
        <f aca="false">SUMIFS(거래내역!$D$2:$D$5000,거래내역!$B$2:$B$5000,J$3,거래내역!$E$2:$E$5000,"투자이체",거래내역!$H$2:$H$5000,설정!$B$5)</f>
        <v>0</v>
      </c>
      <c r="K40" s="20" t="n">
        <f aca="false">SUMIFS(거래내역!$D$2:$D$5000,거래내역!$B$2:$B$5000,K$3,거래내역!$E$2:$E$5000,"투자이체",거래내역!$H$2:$H$5000,설정!$B$5)</f>
        <v>0</v>
      </c>
      <c r="L40" s="20" t="n">
        <f aca="false">SUMIFS(거래내역!$D$2:$D$5000,거래내역!$B$2:$B$5000,L$3,거래내역!$E$2:$E$5000,"투자이체",거래내역!$H$2:$H$5000,설정!$B$5)</f>
        <v>0</v>
      </c>
      <c r="M40" s="20" t="n">
        <f aca="false">SUMIFS(거래내역!$D$2:$D$5000,거래내역!$B$2:$B$5000,M$3,거래내역!$E$2:$E$5000,"투자이체",거래내역!$H$2:$H$5000,설정!$B$5)</f>
        <v>0</v>
      </c>
      <c r="N40" s="20" t="n">
        <f aca="false">SUM(B40:M40)</f>
        <v>0</v>
      </c>
      <c r="O40" s="20" t="n">
        <f aca="false">N40/12</f>
        <v>0</v>
      </c>
      <c r="P40" s="20" t="n">
        <f aca="false">AVERAGE(K40:M40)</f>
        <v>0</v>
      </c>
    </row>
    <row r="41" customFormat="false" ht="15" hidden="false" customHeight="false" outlineLevel="0" collapsed="false">
      <c r="A41" s="36" t="s">
        <v>267</v>
      </c>
      <c r="B41" s="20" t="n">
        <f aca="false">SUMIFS(거래내역!$D$2:$D$5000,거래내역!$B$2:$B$5000,B$3,거래내역!$E$2:$E$5000,"연금납입",거래내역!$H$2:$H$5000,설정!$B$5)</f>
        <v>0</v>
      </c>
      <c r="C41" s="20" t="n">
        <f aca="false">SUMIFS(거래내역!$D$2:$D$5000,거래내역!$B$2:$B$5000,C$3,거래내역!$E$2:$E$5000,"연금납입",거래내역!$H$2:$H$5000,설정!$B$5)</f>
        <v>0</v>
      </c>
      <c r="D41" s="20" t="n">
        <f aca="false">SUMIFS(거래내역!$D$2:$D$5000,거래내역!$B$2:$B$5000,D$3,거래내역!$E$2:$E$5000,"연금납입",거래내역!$H$2:$H$5000,설정!$B$5)</f>
        <v>0</v>
      </c>
      <c r="E41" s="20" t="n">
        <f aca="false">SUMIFS(거래내역!$D$2:$D$5000,거래내역!$B$2:$B$5000,E$3,거래내역!$E$2:$E$5000,"연금납입",거래내역!$H$2:$H$5000,설정!$B$5)</f>
        <v>0</v>
      </c>
      <c r="F41" s="20" t="n">
        <f aca="false">SUMIFS(거래내역!$D$2:$D$5000,거래내역!$B$2:$B$5000,F$3,거래내역!$E$2:$E$5000,"연금납입",거래내역!$H$2:$H$5000,설정!$B$5)</f>
        <v>0</v>
      </c>
      <c r="G41" s="20" t="n">
        <f aca="false">SUMIFS(거래내역!$D$2:$D$5000,거래내역!$B$2:$B$5000,G$3,거래내역!$E$2:$E$5000,"연금납입",거래내역!$H$2:$H$5000,설정!$B$5)</f>
        <v>0</v>
      </c>
      <c r="H41" s="20" t="n">
        <f aca="false">SUMIFS(거래내역!$D$2:$D$5000,거래내역!$B$2:$B$5000,H$3,거래내역!$E$2:$E$5000,"연금납입",거래내역!$H$2:$H$5000,설정!$B$5)</f>
        <v>0</v>
      </c>
      <c r="I41" s="20" t="n">
        <f aca="false">SUMIFS(거래내역!$D$2:$D$5000,거래내역!$B$2:$B$5000,I$3,거래내역!$E$2:$E$5000,"연금납입",거래내역!$H$2:$H$5000,설정!$B$5)</f>
        <v>0</v>
      </c>
      <c r="J41" s="20" t="n">
        <f aca="false">SUMIFS(거래내역!$D$2:$D$5000,거래내역!$B$2:$B$5000,J$3,거래내역!$E$2:$E$5000,"연금납입",거래내역!$H$2:$H$5000,설정!$B$5)</f>
        <v>0</v>
      </c>
      <c r="K41" s="20" t="n">
        <f aca="false">SUMIFS(거래내역!$D$2:$D$5000,거래내역!$B$2:$B$5000,K$3,거래내역!$E$2:$E$5000,"연금납입",거래내역!$H$2:$H$5000,설정!$B$5)</f>
        <v>0</v>
      </c>
      <c r="L41" s="20" t="n">
        <f aca="false">SUMIFS(거래내역!$D$2:$D$5000,거래내역!$B$2:$B$5000,L$3,거래내역!$E$2:$E$5000,"연금납입",거래내역!$H$2:$H$5000,설정!$B$5)</f>
        <v>0</v>
      </c>
      <c r="M41" s="20" t="n">
        <f aca="false">SUMIFS(거래내역!$D$2:$D$5000,거래내역!$B$2:$B$5000,M$3,거래내역!$E$2:$E$5000,"연금납입",거래내역!$H$2:$H$5000,설정!$B$5)</f>
        <v>0</v>
      </c>
      <c r="N41" s="20" t="n">
        <f aca="false">SUM(B41:M41)</f>
        <v>0</v>
      </c>
      <c r="O41" s="20" t="n">
        <f aca="false">N41/12</f>
        <v>0</v>
      </c>
      <c r="P41" s="20" t="n">
        <f aca="false">AVERAGE(K41:M41)</f>
        <v>0</v>
      </c>
    </row>
    <row r="42" customFormat="false" ht="15" hidden="false" customHeight="false" outlineLevel="0" collapsed="false">
      <c r="A42" s="36" t="s">
        <v>268</v>
      </c>
      <c r="B42" s="20" t="n">
        <f aca="false">SUMIFS(거래내역!$D$2:$D$5000,거래내역!$B$2:$B$5000,B$3,거래내역!$E$2:$E$5000,"저축이체",거래내역!$H$2:$H$5000,설정!$B$5)</f>
        <v>0</v>
      </c>
      <c r="C42" s="20" t="n">
        <f aca="false">SUMIFS(거래내역!$D$2:$D$5000,거래내역!$B$2:$B$5000,C$3,거래내역!$E$2:$E$5000,"저축이체",거래내역!$H$2:$H$5000,설정!$B$5)</f>
        <v>0</v>
      </c>
      <c r="D42" s="20" t="n">
        <f aca="false">SUMIFS(거래내역!$D$2:$D$5000,거래내역!$B$2:$B$5000,D$3,거래내역!$E$2:$E$5000,"저축이체",거래내역!$H$2:$H$5000,설정!$B$5)</f>
        <v>0</v>
      </c>
      <c r="E42" s="20" t="n">
        <f aca="false">SUMIFS(거래내역!$D$2:$D$5000,거래내역!$B$2:$B$5000,E$3,거래내역!$E$2:$E$5000,"저축이체",거래내역!$H$2:$H$5000,설정!$B$5)</f>
        <v>0</v>
      </c>
      <c r="F42" s="20" t="n">
        <f aca="false">SUMIFS(거래내역!$D$2:$D$5000,거래내역!$B$2:$B$5000,F$3,거래내역!$E$2:$E$5000,"저축이체",거래내역!$H$2:$H$5000,설정!$B$5)</f>
        <v>0</v>
      </c>
      <c r="G42" s="20" t="n">
        <f aca="false">SUMIFS(거래내역!$D$2:$D$5000,거래내역!$B$2:$B$5000,G$3,거래내역!$E$2:$E$5000,"저축이체",거래내역!$H$2:$H$5000,설정!$B$5)</f>
        <v>0</v>
      </c>
      <c r="H42" s="20" t="n">
        <f aca="false">SUMIFS(거래내역!$D$2:$D$5000,거래내역!$B$2:$B$5000,H$3,거래내역!$E$2:$E$5000,"저축이체",거래내역!$H$2:$H$5000,설정!$B$5)</f>
        <v>0</v>
      </c>
      <c r="I42" s="20" t="n">
        <f aca="false">SUMIFS(거래내역!$D$2:$D$5000,거래내역!$B$2:$B$5000,I$3,거래내역!$E$2:$E$5000,"저축이체",거래내역!$H$2:$H$5000,설정!$B$5)</f>
        <v>0</v>
      </c>
      <c r="J42" s="20" t="n">
        <f aca="false">SUMIFS(거래내역!$D$2:$D$5000,거래내역!$B$2:$B$5000,J$3,거래내역!$E$2:$E$5000,"저축이체",거래내역!$H$2:$H$5000,설정!$B$5)</f>
        <v>0</v>
      </c>
      <c r="K42" s="20" t="n">
        <f aca="false">SUMIFS(거래내역!$D$2:$D$5000,거래내역!$B$2:$B$5000,K$3,거래내역!$E$2:$E$5000,"저축이체",거래내역!$H$2:$H$5000,설정!$B$5)</f>
        <v>0</v>
      </c>
      <c r="L42" s="20" t="n">
        <f aca="false">SUMIFS(거래내역!$D$2:$D$5000,거래내역!$B$2:$B$5000,L$3,거래내역!$E$2:$E$5000,"저축이체",거래내역!$H$2:$H$5000,설정!$B$5)</f>
        <v>0</v>
      </c>
      <c r="M42" s="20" t="n">
        <f aca="false">SUMIFS(거래내역!$D$2:$D$5000,거래내역!$B$2:$B$5000,M$3,거래내역!$E$2:$E$5000,"저축이체",거래내역!$H$2:$H$5000,설정!$B$5)</f>
        <v>0</v>
      </c>
      <c r="N42" s="20" t="n">
        <f aca="false">SUM(B42:M42)</f>
        <v>0</v>
      </c>
      <c r="O42" s="20" t="n">
        <f aca="false">N42/12</f>
        <v>0</v>
      </c>
      <c r="P42" s="20" t="n">
        <f aca="false">AVERAGE(K42:M42)</f>
        <v>0</v>
      </c>
    </row>
    <row r="43" customFormat="false" ht="15" hidden="false" customHeight="false" outlineLevel="0" collapsed="false">
      <c r="A43" s="36" t="s">
        <v>269</v>
      </c>
      <c r="B43" s="20" t="n">
        <f aca="false">SUMIFS(거래내역!$D$2:$D$5000,거래내역!$B$2:$B$5000,B$3,거래내역!$E$2:$E$5000,"대출원금상환",거래내역!$H$2:$H$5000,설정!$B$5)</f>
        <v>0</v>
      </c>
      <c r="C43" s="20" t="n">
        <f aca="false">SUMIFS(거래내역!$D$2:$D$5000,거래내역!$B$2:$B$5000,C$3,거래내역!$E$2:$E$5000,"대출원금상환",거래내역!$H$2:$H$5000,설정!$B$5)</f>
        <v>0</v>
      </c>
      <c r="D43" s="20" t="n">
        <f aca="false">SUMIFS(거래내역!$D$2:$D$5000,거래내역!$B$2:$B$5000,D$3,거래내역!$E$2:$E$5000,"대출원금상환",거래내역!$H$2:$H$5000,설정!$B$5)</f>
        <v>0</v>
      </c>
      <c r="E43" s="20" t="n">
        <f aca="false">SUMIFS(거래내역!$D$2:$D$5000,거래내역!$B$2:$B$5000,E$3,거래내역!$E$2:$E$5000,"대출원금상환",거래내역!$H$2:$H$5000,설정!$B$5)</f>
        <v>0</v>
      </c>
      <c r="F43" s="20" t="n">
        <f aca="false">SUMIFS(거래내역!$D$2:$D$5000,거래내역!$B$2:$B$5000,F$3,거래내역!$E$2:$E$5000,"대출원금상환",거래내역!$H$2:$H$5000,설정!$B$5)</f>
        <v>0</v>
      </c>
      <c r="G43" s="20" t="n">
        <f aca="false">SUMIFS(거래내역!$D$2:$D$5000,거래내역!$B$2:$B$5000,G$3,거래내역!$E$2:$E$5000,"대출원금상환",거래내역!$H$2:$H$5000,설정!$B$5)</f>
        <v>0</v>
      </c>
      <c r="H43" s="20" t="n">
        <f aca="false">SUMIFS(거래내역!$D$2:$D$5000,거래내역!$B$2:$B$5000,H$3,거래내역!$E$2:$E$5000,"대출원금상환",거래내역!$H$2:$H$5000,설정!$B$5)</f>
        <v>0</v>
      </c>
      <c r="I43" s="20" t="n">
        <f aca="false">SUMIFS(거래내역!$D$2:$D$5000,거래내역!$B$2:$B$5000,I$3,거래내역!$E$2:$E$5000,"대출원금상환",거래내역!$H$2:$H$5000,설정!$B$5)</f>
        <v>0</v>
      </c>
      <c r="J43" s="20" t="n">
        <f aca="false">SUMIFS(거래내역!$D$2:$D$5000,거래내역!$B$2:$B$5000,J$3,거래내역!$E$2:$E$5000,"대출원금상환",거래내역!$H$2:$H$5000,설정!$B$5)</f>
        <v>0</v>
      </c>
      <c r="K43" s="20" t="n">
        <f aca="false">SUMIFS(거래내역!$D$2:$D$5000,거래내역!$B$2:$B$5000,K$3,거래내역!$E$2:$E$5000,"대출원금상환",거래내역!$H$2:$H$5000,설정!$B$5)</f>
        <v>0</v>
      </c>
      <c r="L43" s="20" t="n">
        <f aca="false">SUMIFS(거래내역!$D$2:$D$5000,거래내역!$B$2:$B$5000,L$3,거래내역!$E$2:$E$5000,"대출원금상환",거래내역!$H$2:$H$5000,설정!$B$5)</f>
        <v>0</v>
      </c>
      <c r="M43" s="20" t="n">
        <f aca="false">SUMIFS(거래내역!$D$2:$D$5000,거래내역!$B$2:$B$5000,M$3,거래내역!$E$2:$E$5000,"대출원금상환",거래내역!$H$2:$H$5000,설정!$B$5)</f>
        <v>0</v>
      </c>
      <c r="N43" s="20" t="n">
        <f aca="false">SUM(B43:M43)</f>
        <v>0</v>
      </c>
      <c r="O43" s="20" t="n">
        <f aca="false">N43/12</f>
        <v>0</v>
      </c>
      <c r="P43" s="20" t="n">
        <f aca="false">AVERAGE(K43:M43)</f>
        <v>0</v>
      </c>
    </row>
    <row r="44" customFormat="false" ht="15" hidden="false" customHeight="false" outlineLevel="0" collapsed="false">
      <c r="A44" s="40" t="s">
        <v>270</v>
      </c>
      <c r="B44" s="42" t="n">
        <f aca="false">SUMIFS(거래내역!$D$2:$D$5000,거래내역!$B$2:$B$5000,B$3,거래내역!$F$2:$F$5000,"자본이동",거래내역!$H$2:$H$5000,설정!$B$5)</f>
        <v>0</v>
      </c>
      <c r="C44" s="42" t="n">
        <f aca="false">SUMIFS(거래내역!$D$2:$D$5000,거래내역!$B$2:$B$5000,C$3,거래내역!$F$2:$F$5000,"자본이동",거래내역!$H$2:$H$5000,설정!$B$5)</f>
        <v>0</v>
      </c>
      <c r="D44" s="42" t="n">
        <f aca="false">SUMIFS(거래내역!$D$2:$D$5000,거래내역!$B$2:$B$5000,D$3,거래내역!$F$2:$F$5000,"자본이동",거래내역!$H$2:$H$5000,설정!$B$5)</f>
        <v>0</v>
      </c>
      <c r="E44" s="42" t="n">
        <f aca="false">SUMIFS(거래내역!$D$2:$D$5000,거래내역!$B$2:$B$5000,E$3,거래내역!$F$2:$F$5000,"자본이동",거래내역!$H$2:$H$5000,설정!$B$5)</f>
        <v>0</v>
      </c>
      <c r="F44" s="42" t="n">
        <f aca="false">SUMIFS(거래내역!$D$2:$D$5000,거래내역!$B$2:$B$5000,F$3,거래내역!$F$2:$F$5000,"자본이동",거래내역!$H$2:$H$5000,설정!$B$5)</f>
        <v>0</v>
      </c>
      <c r="G44" s="42" t="n">
        <f aca="false">SUMIFS(거래내역!$D$2:$D$5000,거래내역!$B$2:$B$5000,G$3,거래내역!$F$2:$F$5000,"자본이동",거래내역!$H$2:$H$5000,설정!$B$5)</f>
        <v>0</v>
      </c>
      <c r="H44" s="42" t="n">
        <f aca="false">SUMIFS(거래내역!$D$2:$D$5000,거래내역!$B$2:$B$5000,H$3,거래내역!$F$2:$F$5000,"자본이동",거래내역!$H$2:$H$5000,설정!$B$5)</f>
        <v>0</v>
      </c>
      <c r="I44" s="42" t="n">
        <f aca="false">SUMIFS(거래내역!$D$2:$D$5000,거래내역!$B$2:$B$5000,I$3,거래내역!$F$2:$F$5000,"자본이동",거래내역!$H$2:$H$5000,설정!$B$5)</f>
        <v>0</v>
      </c>
      <c r="J44" s="42" t="n">
        <f aca="false">SUMIFS(거래내역!$D$2:$D$5000,거래내역!$B$2:$B$5000,J$3,거래내역!$F$2:$F$5000,"자본이동",거래내역!$H$2:$H$5000,설정!$B$5)</f>
        <v>0</v>
      </c>
      <c r="K44" s="42" t="n">
        <f aca="false">SUMIFS(거래내역!$D$2:$D$5000,거래내역!$B$2:$B$5000,K$3,거래내역!$F$2:$F$5000,"자본이동",거래내역!$H$2:$H$5000,설정!$B$5)</f>
        <v>0</v>
      </c>
      <c r="L44" s="42" t="n">
        <f aca="false">SUMIFS(거래내역!$D$2:$D$5000,거래내역!$B$2:$B$5000,L$3,거래내역!$F$2:$F$5000,"자본이동",거래내역!$H$2:$H$5000,설정!$B$5)</f>
        <v>0</v>
      </c>
      <c r="M44" s="42" t="n">
        <f aca="false">SUMIFS(거래내역!$D$2:$D$5000,거래내역!$B$2:$B$5000,M$3,거래내역!$F$2:$F$5000,"자본이동",거래내역!$H$2:$H$5000,설정!$B$5)</f>
        <v>0</v>
      </c>
      <c r="N44" s="42" t="n">
        <f aca="false">SUM(B44:M44)</f>
        <v>0</v>
      </c>
      <c r="O44" s="42" t="n">
        <f aca="false">N44/12</f>
        <v>0</v>
      </c>
      <c r="P44" s="42" t="n">
        <f aca="false">AVERAGE(K44:M44)</f>
        <v>0</v>
      </c>
    </row>
    <row r="45" customFormat="false" ht="15" hidden="false" customHeight="false" outlineLevel="0" collapsed="false">
      <c r="A45" s="40" t="s">
        <v>271</v>
      </c>
      <c r="B45" s="42" t="n">
        <f aca="false">B40+B41</f>
        <v>0</v>
      </c>
      <c r="C45" s="42" t="n">
        <f aca="false">C40+C41</f>
        <v>0</v>
      </c>
      <c r="D45" s="42" t="n">
        <f aca="false">D40+D41</f>
        <v>0</v>
      </c>
      <c r="E45" s="42" t="n">
        <f aca="false">E40+E41</f>
        <v>0</v>
      </c>
      <c r="F45" s="42" t="n">
        <f aca="false">F40+F41</f>
        <v>0</v>
      </c>
      <c r="G45" s="42" t="n">
        <f aca="false">G40+G41</f>
        <v>0</v>
      </c>
      <c r="H45" s="42" t="n">
        <f aca="false">H40+H41</f>
        <v>0</v>
      </c>
      <c r="I45" s="42" t="n">
        <f aca="false">I40+I41</f>
        <v>0</v>
      </c>
      <c r="J45" s="42" t="n">
        <f aca="false">J40+J41</f>
        <v>0</v>
      </c>
      <c r="K45" s="42" t="n">
        <f aca="false">K40+K41</f>
        <v>0</v>
      </c>
      <c r="L45" s="42" t="n">
        <f aca="false">L40+L41</f>
        <v>0</v>
      </c>
      <c r="M45" s="42" t="n">
        <f aca="false">M40+M41</f>
        <v>0</v>
      </c>
      <c r="N45" s="42" t="n">
        <f aca="false">N40+N41</f>
        <v>0</v>
      </c>
      <c r="O45" s="42" t="n">
        <f aca="false">O40+O41</f>
        <v>0</v>
      </c>
      <c r="P45" s="42" t="n">
        <f aca="false">P40+P41</f>
        <v>0</v>
      </c>
    </row>
    <row r="46" customFormat="false" ht="15" hidden="false" customHeight="false" outlineLevel="0" collapsed="false">
      <c r="A46" s="40" t="s">
        <v>272</v>
      </c>
      <c r="B46" s="42" t="n">
        <f aca="false">B36-B44</f>
        <v>0</v>
      </c>
      <c r="C46" s="42" t="n">
        <f aca="false">C36-C44</f>
        <v>0</v>
      </c>
      <c r="D46" s="42" t="n">
        <f aca="false">D36-D44</f>
        <v>0</v>
      </c>
      <c r="E46" s="42" t="n">
        <f aca="false">E36-E44</f>
        <v>0</v>
      </c>
      <c r="F46" s="42" t="n">
        <f aca="false">F36-F44</f>
        <v>0</v>
      </c>
      <c r="G46" s="42" t="n">
        <f aca="false">G36-G44</f>
        <v>0</v>
      </c>
      <c r="H46" s="42" t="n">
        <f aca="false">H36-H44</f>
        <v>0</v>
      </c>
      <c r="I46" s="42" t="n">
        <f aca="false">I36-I44</f>
        <v>0</v>
      </c>
      <c r="J46" s="42" t="n">
        <f aca="false">J36-J44</f>
        <v>0</v>
      </c>
      <c r="K46" s="42" t="n">
        <f aca="false">K36-K44</f>
        <v>0</v>
      </c>
      <c r="L46" s="42" t="n">
        <f aca="false">L36-L44</f>
        <v>0</v>
      </c>
      <c r="M46" s="42" t="n">
        <f aca="false">M36-M44</f>
        <v>0</v>
      </c>
      <c r="N46" s="42" t="n">
        <f aca="false">N36-N44</f>
        <v>0</v>
      </c>
      <c r="O46" s="42" t="n">
        <f aca="false">O36-O44</f>
        <v>0</v>
      </c>
      <c r="P46" s="42" t="n">
        <f aca="false">P36-P44</f>
        <v>0</v>
      </c>
    </row>
    <row r="48" customFormat="false" ht="15" hidden="false" customHeight="false" outlineLevel="0" collapsed="false">
      <c r="A48" s="63" t="s">
        <v>273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customFormat="false" ht="15" hidden="false" customHeight="false" outlineLevel="0" collapsed="false">
      <c r="A49" s="36" t="s">
        <v>274</v>
      </c>
      <c r="B49" s="20" t="n">
        <f aca="false">SUMIFS(거래내역!$D$2:$D$5000,거래내역!$B$2:$B$5000,B$3,거래내역!$G$2:$G$5000,"Y",거래내역!$H$2:$H$5000,설정!$B$5)</f>
        <v>0</v>
      </c>
      <c r="C49" s="20" t="n">
        <f aca="false">SUMIFS(거래내역!$D$2:$D$5000,거래내역!$B$2:$B$5000,C$3,거래내역!$G$2:$G$5000,"Y",거래내역!$H$2:$H$5000,설정!$B$5)</f>
        <v>0</v>
      </c>
      <c r="D49" s="20" t="n">
        <f aca="false">SUMIFS(거래내역!$D$2:$D$5000,거래내역!$B$2:$B$5000,D$3,거래내역!$G$2:$G$5000,"Y",거래내역!$H$2:$H$5000,설정!$B$5)</f>
        <v>0</v>
      </c>
      <c r="E49" s="20" t="n">
        <f aca="false">SUMIFS(거래내역!$D$2:$D$5000,거래내역!$B$2:$B$5000,E$3,거래내역!$G$2:$G$5000,"Y",거래내역!$H$2:$H$5000,설정!$B$5)</f>
        <v>0</v>
      </c>
      <c r="F49" s="20" t="n">
        <f aca="false">SUMIFS(거래내역!$D$2:$D$5000,거래내역!$B$2:$B$5000,F$3,거래내역!$G$2:$G$5000,"Y",거래내역!$H$2:$H$5000,설정!$B$5)</f>
        <v>0</v>
      </c>
      <c r="G49" s="20" t="n">
        <f aca="false">SUMIFS(거래내역!$D$2:$D$5000,거래내역!$B$2:$B$5000,G$3,거래내역!$G$2:$G$5000,"Y",거래내역!$H$2:$H$5000,설정!$B$5)</f>
        <v>0</v>
      </c>
      <c r="H49" s="20" t="n">
        <f aca="false">SUMIFS(거래내역!$D$2:$D$5000,거래내역!$B$2:$B$5000,H$3,거래내역!$G$2:$G$5000,"Y",거래내역!$H$2:$H$5000,설정!$B$5)</f>
        <v>0</v>
      </c>
      <c r="I49" s="20" t="n">
        <f aca="false">SUMIFS(거래내역!$D$2:$D$5000,거래내역!$B$2:$B$5000,I$3,거래내역!$G$2:$G$5000,"Y",거래내역!$H$2:$H$5000,설정!$B$5)</f>
        <v>0</v>
      </c>
      <c r="J49" s="20" t="n">
        <f aca="false">SUMIFS(거래내역!$D$2:$D$5000,거래내역!$B$2:$B$5000,J$3,거래내역!$G$2:$G$5000,"Y",거래내역!$H$2:$H$5000,설정!$B$5)</f>
        <v>0</v>
      </c>
      <c r="K49" s="20" t="n">
        <f aca="false">SUMIFS(거래내역!$D$2:$D$5000,거래내역!$B$2:$B$5000,K$3,거래내역!$G$2:$G$5000,"Y",거래내역!$H$2:$H$5000,설정!$B$5)</f>
        <v>0</v>
      </c>
      <c r="L49" s="20" t="n">
        <f aca="false">SUMIFS(거래내역!$D$2:$D$5000,거래내역!$B$2:$B$5000,L$3,거래내역!$G$2:$G$5000,"Y",거래내역!$H$2:$H$5000,설정!$B$5)</f>
        <v>0</v>
      </c>
      <c r="M49" s="20" t="n">
        <f aca="false">SUMIFS(거래내역!$D$2:$D$5000,거래내역!$B$2:$B$5000,M$3,거래내역!$G$2:$G$5000,"Y",거래내역!$H$2:$H$5000,설정!$B$5)</f>
        <v>0</v>
      </c>
      <c r="N49" s="20" t="n">
        <f aca="false">SUM(B49:M49)</f>
        <v>0</v>
      </c>
      <c r="O49" s="20" t="n">
        <f aca="false">N49/12</f>
        <v>0</v>
      </c>
      <c r="P49" s="20" t="n">
        <f aca="false">AVERAGE(K49:M49)</f>
        <v>0</v>
      </c>
    </row>
    <row r="50" customFormat="false" ht="15" hidden="false" customHeight="false" outlineLevel="0" collapsed="false">
      <c r="A50" s="36" t="s">
        <v>275</v>
      </c>
      <c r="B50" s="38" t="n">
        <f aca="false">IF(B9=0,0,B17/B9)</f>
        <v>0</v>
      </c>
      <c r="C50" s="38" t="n">
        <f aca="false">IF(C9=0,0,C17/C9)</f>
        <v>0</v>
      </c>
      <c r="D50" s="38" t="n">
        <f aca="false">IF(D9=0,0,D17/D9)</f>
        <v>0</v>
      </c>
      <c r="E50" s="38" t="n">
        <f aca="false">IF(E9=0,0,E17/E9)</f>
        <v>0</v>
      </c>
      <c r="F50" s="38" t="n">
        <f aca="false">IF(F9=0,0,F17/F9)</f>
        <v>0</v>
      </c>
      <c r="G50" s="38" t="n">
        <f aca="false">IF(G9=0,0,G17/G9)</f>
        <v>0</v>
      </c>
      <c r="H50" s="38" t="n">
        <f aca="false">IF(H9=0,0,H17/H9)</f>
        <v>0</v>
      </c>
      <c r="I50" s="38" t="n">
        <f aca="false">IF(I9=0,0,I17/I9)</f>
        <v>0</v>
      </c>
      <c r="J50" s="38" t="n">
        <f aca="false">IF(J9=0,0,J17/J9)</f>
        <v>0</v>
      </c>
      <c r="K50" s="38" t="n">
        <f aca="false">IF(K9=0,0,K17/K9)</f>
        <v>0</v>
      </c>
      <c r="L50" s="38" t="n">
        <f aca="false">IF(L9=0,0,L17/L9)</f>
        <v>0</v>
      </c>
      <c r="M50" s="38" t="n">
        <f aca="false">IF(M9=0,0,M17/M9)</f>
        <v>0</v>
      </c>
      <c r="N50" s="38" t="n">
        <f aca="false">IF(N9=0,0,N17/N9)</f>
        <v>0</v>
      </c>
      <c r="O50" s="38" t="n">
        <f aca="false">IF(O9=0,0,O17/O9)</f>
        <v>0</v>
      </c>
      <c r="P50" s="38" t="n">
        <f aca="false">IF(P9=0,0,P17/P9)</f>
        <v>0</v>
      </c>
    </row>
    <row r="51" customFormat="false" ht="15" hidden="false" customHeight="false" outlineLevel="0" collapsed="false">
      <c r="A51" s="36" t="s">
        <v>276</v>
      </c>
      <c r="B51" s="38" t="n">
        <f aca="false">IF(B9=0,0,B45/B9)</f>
        <v>0</v>
      </c>
      <c r="C51" s="38" t="n">
        <f aca="false">IF(C9=0,0,C45/C9)</f>
        <v>0</v>
      </c>
      <c r="D51" s="38" t="n">
        <f aca="false">IF(D9=0,0,D45/D9)</f>
        <v>0</v>
      </c>
      <c r="E51" s="38" t="n">
        <f aca="false">IF(E9=0,0,E45/E9)</f>
        <v>0</v>
      </c>
      <c r="F51" s="38" t="n">
        <f aca="false">IF(F9=0,0,F45/F9)</f>
        <v>0</v>
      </c>
      <c r="G51" s="38" t="n">
        <f aca="false">IF(G9=0,0,G45/G9)</f>
        <v>0</v>
      </c>
      <c r="H51" s="38" t="n">
        <f aca="false">IF(H9=0,0,H45/H9)</f>
        <v>0</v>
      </c>
      <c r="I51" s="38" t="n">
        <f aca="false">IF(I9=0,0,I45/I9)</f>
        <v>0</v>
      </c>
      <c r="J51" s="38" t="n">
        <f aca="false">IF(J9=0,0,J45/J9)</f>
        <v>0</v>
      </c>
      <c r="K51" s="38" t="n">
        <f aca="false">IF(K9=0,0,K45/K9)</f>
        <v>0</v>
      </c>
      <c r="L51" s="38" t="n">
        <f aca="false">IF(L9=0,0,L45/L9)</f>
        <v>0</v>
      </c>
      <c r="M51" s="38" t="n">
        <f aca="false">IF(M9=0,0,M45/M9)</f>
        <v>0</v>
      </c>
      <c r="N51" s="38" t="n">
        <f aca="false">IF(N9=0,0,N45/N9)</f>
        <v>0</v>
      </c>
      <c r="O51" s="38" t="n">
        <f aca="false">IF(O9=0,0,O45/O9)</f>
        <v>0</v>
      </c>
      <c r="P51" s="38" t="n">
        <f aca="false">IF(P9=0,0,P45/P9)</f>
        <v>0</v>
      </c>
    </row>
    <row r="52" customFormat="false" ht="15" hidden="false" customHeight="false" outlineLevel="0" collapsed="false">
      <c r="A52" s="36" t="s">
        <v>277</v>
      </c>
      <c r="B52" s="20" t="n">
        <f aca="false">SUMIFS(거래내역!$D$2:$D$5000,거래내역!$B$2:$B$5000,B$3,거래내역!$F$2:$F$5000,"미분류",거래내역!$H$2:$H$5000,설정!$B$5)</f>
        <v>0</v>
      </c>
      <c r="C52" s="20" t="n">
        <f aca="false">SUMIFS(거래내역!$D$2:$D$5000,거래내역!$B$2:$B$5000,C$3,거래내역!$F$2:$F$5000,"미분류",거래내역!$H$2:$H$5000,설정!$B$5)</f>
        <v>0</v>
      </c>
      <c r="D52" s="20" t="n">
        <f aca="false">SUMIFS(거래내역!$D$2:$D$5000,거래내역!$B$2:$B$5000,D$3,거래내역!$F$2:$F$5000,"미분류",거래내역!$H$2:$H$5000,설정!$B$5)</f>
        <v>0</v>
      </c>
      <c r="E52" s="20" t="n">
        <f aca="false">SUMIFS(거래내역!$D$2:$D$5000,거래내역!$B$2:$B$5000,E$3,거래내역!$F$2:$F$5000,"미분류",거래내역!$H$2:$H$5000,설정!$B$5)</f>
        <v>0</v>
      </c>
      <c r="F52" s="20" t="n">
        <f aca="false">SUMIFS(거래내역!$D$2:$D$5000,거래내역!$B$2:$B$5000,F$3,거래내역!$F$2:$F$5000,"미분류",거래내역!$H$2:$H$5000,설정!$B$5)</f>
        <v>0</v>
      </c>
      <c r="G52" s="20" t="n">
        <f aca="false">SUMIFS(거래내역!$D$2:$D$5000,거래내역!$B$2:$B$5000,G$3,거래내역!$F$2:$F$5000,"미분류",거래내역!$H$2:$H$5000,설정!$B$5)</f>
        <v>0</v>
      </c>
      <c r="H52" s="20" t="n">
        <f aca="false">SUMIFS(거래내역!$D$2:$D$5000,거래내역!$B$2:$B$5000,H$3,거래내역!$F$2:$F$5000,"미분류",거래내역!$H$2:$H$5000,설정!$B$5)</f>
        <v>0</v>
      </c>
      <c r="I52" s="20" t="n">
        <f aca="false">SUMIFS(거래내역!$D$2:$D$5000,거래내역!$B$2:$B$5000,I$3,거래내역!$F$2:$F$5000,"미분류",거래내역!$H$2:$H$5000,설정!$B$5)</f>
        <v>0</v>
      </c>
      <c r="J52" s="20" t="n">
        <f aca="false">SUMIFS(거래내역!$D$2:$D$5000,거래내역!$B$2:$B$5000,J$3,거래내역!$F$2:$F$5000,"미분류",거래내역!$H$2:$H$5000,설정!$B$5)</f>
        <v>0</v>
      </c>
      <c r="K52" s="20" t="n">
        <f aca="false">SUMIFS(거래내역!$D$2:$D$5000,거래내역!$B$2:$B$5000,K$3,거래내역!$F$2:$F$5000,"미분류",거래내역!$H$2:$H$5000,설정!$B$5)</f>
        <v>0</v>
      </c>
      <c r="L52" s="20" t="n">
        <f aca="false">SUMIFS(거래내역!$D$2:$D$5000,거래내역!$B$2:$B$5000,L$3,거래내역!$F$2:$F$5000,"미분류",거래내역!$H$2:$H$5000,설정!$B$5)</f>
        <v>0</v>
      </c>
      <c r="M52" s="20" t="n">
        <f aca="false">SUMIFS(거래내역!$D$2:$D$5000,거래내역!$B$2:$B$5000,M$3,거래내역!$F$2:$F$5000,"미분류",거래내역!$H$2:$H$5000,설정!$B$5)</f>
        <v>0</v>
      </c>
      <c r="N52" s="20" t="n">
        <f aca="false">SUM(B52:M52)</f>
        <v>0</v>
      </c>
      <c r="O52" s="20" t="n">
        <f aca="false">N52/12</f>
        <v>0</v>
      </c>
      <c r="P52" s="20" t="n">
        <f aca="false">AVERAGE(K52:M52)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34" t="s">
        <v>278</v>
      </c>
    </row>
    <row r="2" customFormat="false" ht="15" hidden="false" customHeight="false" outlineLevel="0" collapsed="false">
      <c r="A2" s="33" t="s">
        <v>279</v>
      </c>
    </row>
    <row r="3" customFormat="false" ht="15" hidden="false" customHeight="false" outlineLevel="0" collapsed="false">
      <c r="A3" s="32" t="s">
        <v>193</v>
      </c>
      <c r="B3" s="32" t="str">
        <f aca="false">설정!$B$3</f>
        <v>2026-09</v>
      </c>
      <c r="C3" s="32" t="str">
        <f aca="false">설정!$B$6</f>
        <v>2026-08</v>
      </c>
      <c r="D3" s="32" t="s">
        <v>280</v>
      </c>
      <c r="E3" s="32" t="s">
        <v>281</v>
      </c>
      <c r="F3" s="32" t="s">
        <v>282</v>
      </c>
    </row>
    <row r="4" customFormat="false" ht="15" hidden="false" customHeight="false" outlineLevel="0" collapsed="false">
      <c r="A4" s="36" t="s">
        <v>283</v>
      </c>
      <c r="B4" s="20" t="n">
        <f aca="false">SUMIFS(스냅샷!$C$2:$C$3000,스냅샷!$A$2:$A$3000,B$3,스냅샷!$E$2:$E$3000,"현금성",스냅샷!$F$2:$F$3000,설정!$B$5)</f>
        <v>0</v>
      </c>
      <c r="C4" s="20" t="n">
        <f aca="false">SUMIFS(스냅샷!$C$2:$C$3000,스냅샷!$A$2:$A$3000,C$3,스냅샷!$E$2:$E$3000,"현금성",스냅샷!$F$2:$F$3000,설정!$B$5)</f>
        <v>0</v>
      </c>
      <c r="D4" s="20" t="n">
        <f aca="false">B4-C4</f>
        <v>0</v>
      </c>
      <c r="E4" s="38" t="n">
        <f aca="false">IF(C4=0,0,D4/ABS(C4))</f>
        <v>0</v>
      </c>
      <c r="F4" s="38" t="n">
        <f aca="false">IF($B$9=0,0,B4/$B$9)</f>
        <v>0</v>
      </c>
    </row>
    <row r="5" customFormat="false" ht="15" hidden="false" customHeight="false" outlineLevel="0" collapsed="false">
      <c r="A5" s="36" t="s">
        <v>284</v>
      </c>
      <c r="B5" s="20" t="n">
        <f aca="false">SUMIFS(스냅샷!$C$2:$C$3000,스냅샷!$A$2:$A$3000,B$3,스냅샷!$E$2:$E$3000,"투자",스냅샷!$F$2:$F$3000,설정!$B$5)</f>
        <v>0</v>
      </c>
      <c r="C5" s="20" t="n">
        <f aca="false">SUMIFS(스냅샷!$C$2:$C$3000,스냅샷!$A$2:$A$3000,C$3,스냅샷!$E$2:$E$3000,"투자",스냅샷!$F$2:$F$3000,설정!$B$5)</f>
        <v>0</v>
      </c>
      <c r="D5" s="20" t="n">
        <f aca="false">B5-C5</f>
        <v>0</v>
      </c>
      <c r="E5" s="38" t="n">
        <f aca="false">IF(C5=0,0,D5/ABS(C5))</f>
        <v>0</v>
      </c>
      <c r="F5" s="38" t="n">
        <f aca="false">IF($B$9=0,0,B5/$B$9)</f>
        <v>0</v>
      </c>
    </row>
    <row r="6" customFormat="false" ht="15" hidden="false" customHeight="false" outlineLevel="0" collapsed="false">
      <c r="A6" s="36" t="s">
        <v>285</v>
      </c>
      <c r="B6" s="20" t="n">
        <f aca="false">SUMIFS(스냅샷!$C$2:$C$3000,스냅샷!$A$2:$A$3000,B$3,스냅샷!$E$2:$E$3000,"연금",스냅샷!$F$2:$F$3000,설정!$B$5)</f>
        <v>0</v>
      </c>
      <c r="C6" s="20" t="n">
        <f aca="false">SUMIFS(스냅샷!$C$2:$C$3000,스냅샷!$A$2:$A$3000,C$3,스냅샷!$E$2:$E$3000,"연금",스냅샷!$F$2:$F$3000,설정!$B$5)</f>
        <v>0</v>
      </c>
      <c r="D6" s="20" t="n">
        <f aca="false">B6-C6</f>
        <v>0</v>
      </c>
      <c r="E6" s="38" t="n">
        <f aca="false">IF(C6=0,0,D6/ABS(C6))</f>
        <v>0</v>
      </c>
      <c r="F6" s="38" t="n">
        <f aca="false">IF($B$9=0,0,B6/$B$9)</f>
        <v>0</v>
      </c>
    </row>
    <row r="7" customFormat="false" ht="15" hidden="false" customHeight="false" outlineLevel="0" collapsed="false">
      <c r="A7" s="36" t="s">
        <v>286</v>
      </c>
      <c r="B7" s="20" t="n">
        <f aca="false">SUMIFS(스냅샷!$C$2:$C$3000,스냅샷!$A$2:$A$3000,B$3,스냅샷!$E$2:$E$3000,"부동산",스냅샷!$F$2:$F$3000,설정!$B$5)</f>
        <v>0</v>
      </c>
      <c r="C7" s="20" t="n">
        <f aca="false">SUMIFS(스냅샷!$C$2:$C$3000,스냅샷!$A$2:$A$3000,C$3,스냅샷!$E$2:$E$3000,"부동산",스냅샷!$F$2:$F$3000,설정!$B$5)</f>
        <v>0</v>
      </c>
      <c r="D7" s="20" t="n">
        <f aca="false">B7-C7</f>
        <v>0</v>
      </c>
      <c r="E7" s="38" t="n">
        <f aca="false">IF(C7=0,0,D7/ABS(C7))</f>
        <v>0</v>
      </c>
      <c r="F7" s="38" t="n">
        <f aca="false">IF($B$9=0,0,B7/$B$9)</f>
        <v>0</v>
      </c>
    </row>
    <row r="8" customFormat="false" ht="15" hidden="false" customHeight="false" outlineLevel="0" collapsed="false">
      <c r="A8" s="36" t="s">
        <v>287</v>
      </c>
      <c r="B8" s="20" t="n">
        <f aca="false">SUMIFS(스냅샷!$C$2:$C$3000,스냅샷!$A$2:$A$3000,B$3,스냅샷!$E$2:$E$3000,"기타자산",스냅샷!$F$2:$F$3000,설정!$B$5)</f>
        <v>0</v>
      </c>
      <c r="C8" s="20" t="n">
        <f aca="false">SUMIFS(스냅샷!$C$2:$C$3000,스냅샷!$A$2:$A$3000,C$3,스냅샷!$E$2:$E$3000,"기타자산",스냅샷!$F$2:$F$3000,설정!$B$5)</f>
        <v>0</v>
      </c>
      <c r="D8" s="20" t="n">
        <f aca="false">B8-C8</f>
        <v>0</v>
      </c>
      <c r="E8" s="38" t="n">
        <f aca="false">IF(C8=0,0,D8/ABS(C8))</f>
        <v>0</v>
      </c>
      <c r="F8" s="38" t="n">
        <f aca="false">IF($B$9=0,0,B8/$B$9)</f>
        <v>0</v>
      </c>
    </row>
    <row r="9" customFormat="false" ht="15" hidden="false" customHeight="false" outlineLevel="0" collapsed="false">
      <c r="A9" s="40" t="s">
        <v>288</v>
      </c>
      <c r="B9" s="42" t="n">
        <f aca="false">SUM(B4:B8)</f>
        <v>0</v>
      </c>
      <c r="C9" s="42" t="n">
        <f aca="false">SUM(C4:C8)</f>
        <v>0</v>
      </c>
      <c r="D9" s="42" t="n">
        <f aca="false">B9-C9</f>
        <v>0</v>
      </c>
      <c r="E9" s="41" t="n">
        <f aca="false">IF(C9=0,0,D9/ABS(C9))</f>
        <v>0</v>
      </c>
      <c r="F9" s="41" t="n">
        <f aca="false">IF($B$9=0,0,B9/$B$9)</f>
        <v>0</v>
      </c>
    </row>
    <row r="10" customFormat="false" ht="15" hidden="false" customHeight="false" outlineLevel="0" collapsed="false">
      <c r="A10" s="40" t="s">
        <v>289</v>
      </c>
      <c r="B10" s="42" t="n">
        <f aca="false">SUMIFS(스냅샷!$C$2:$C$3000,스냅샷!$A$2:$A$3000,B$3,스냅샷!$E$2:$E$3000,"부채",스냅샷!$F$2:$F$3000,설정!$B$5)</f>
        <v>0</v>
      </c>
      <c r="C10" s="42" t="n">
        <f aca="false">SUMIFS(스냅샷!$C$2:$C$3000,스냅샷!$A$2:$A$3000,C$3,스냅샷!$E$2:$E$3000,"부채",스냅샷!$F$2:$F$3000,설정!$B$5)</f>
        <v>0</v>
      </c>
      <c r="D10" s="42" t="n">
        <f aca="false">B10-C10</f>
        <v>0</v>
      </c>
      <c r="E10" s="41" t="n">
        <f aca="false">IF(C10=0,0,D10/ABS(C10))</f>
        <v>0</v>
      </c>
      <c r="F10" s="41" t="n">
        <f aca="false">IF($B$9=0,0,B10/$B$9)</f>
        <v>0</v>
      </c>
    </row>
    <row r="11" customFormat="false" ht="15" hidden="false" customHeight="false" outlineLevel="0" collapsed="false">
      <c r="A11" s="40" t="s">
        <v>290</v>
      </c>
      <c r="B11" s="42" t="n">
        <f aca="false">B9-B10</f>
        <v>0</v>
      </c>
      <c r="C11" s="42" t="n">
        <f aca="false">C9-C10</f>
        <v>0</v>
      </c>
      <c r="D11" s="42" t="n">
        <f aca="false">B11-C11</f>
        <v>0</v>
      </c>
      <c r="E11" s="41" t="n">
        <f aca="false">IF(C11=0,0,D11/ABS(C11))</f>
        <v>0</v>
      </c>
      <c r="F11" s="41" t="n">
        <f aca="false">IF($B$9=0,0,B11/$B$9)</f>
        <v>0</v>
      </c>
    </row>
    <row r="12" customFormat="false" ht="15" hidden="false" customHeight="false" outlineLevel="0" collapsed="false">
      <c r="A12" s="36" t="s">
        <v>291</v>
      </c>
      <c r="B12" s="20" t="n">
        <f aca="false">B11-B7</f>
        <v>0</v>
      </c>
      <c r="C12" s="20" t="n">
        <f aca="false">C11-C7</f>
        <v>0</v>
      </c>
      <c r="D12" s="20" t="n">
        <f aca="false">B12-C12</f>
        <v>0</v>
      </c>
      <c r="E12" s="38" t="n">
        <f aca="false">IF(C12=0,0,D12/ABS(C12))</f>
        <v>0</v>
      </c>
      <c r="F12" s="38" t="n">
        <f aca="false">IF($B$9=0,0,B12/$B$9)</f>
        <v>0</v>
      </c>
    </row>
    <row r="13" customFormat="false" ht="15" hidden="false" customHeight="false" outlineLevel="0" collapsed="false">
      <c r="A13" s="40" t="s">
        <v>292</v>
      </c>
      <c r="B13" s="42" t="n">
        <f aca="false">B5+B6</f>
        <v>0</v>
      </c>
      <c r="C13" s="42" t="n">
        <f aca="false">C5+C6</f>
        <v>0</v>
      </c>
      <c r="D13" s="42" t="n">
        <f aca="false">B13-C13</f>
        <v>0</v>
      </c>
      <c r="E13" s="41" t="n">
        <f aca="false">IF(C13=0,0,D13/ABS(C13))</f>
        <v>0</v>
      </c>
      <c r="F13" s="41" t="n">
        <f aca="false">IF($B$9=0,0,B13/$B$9)</f>
        <v>0</v>
      </c>
    </row>
    <row r="14" customFormat="false" ht="15" hidden="false" customHeight="false" outlineLevel="0" collapsed="false">
      <c r="A14" s="36" t="s">
        <v>293</v>
      </c>
      <c r="B14" s="38" t="n">
        <f aca="false">IF(B9=0,0,B10/B9)</f>
        <v>0</v>
      </c>
      <c r="C14" s="38" t="n">
        <f aca="false">IF(C9=0,0,C10/C9)</f>
        <v>0</v>
      </c>
      <c r="D14" s="38" t="n">
        <f aca="false">B14-C14</f>
        <v>0</v>
      </c>
      <c r="E14" s="38"/>
      <c r="F14" s="38"/>
    </row>
    <row r="15" customFormat="false" ht="15" hidden="false" customHeight="false" outlineLevel="0" collapsed="false">
      <c r="A15" s="36" t="s">
        <v>294</v>
      </c>
      <c r="B15" s="20" t="n">
        <f aca="false">SUMIFS(스냅샷!$C$2:$C$3000,스냅샷!$A$2:$A$3000,B$3,스냅샷!$E$2:$E$3000,"현금성",스냅샷!$G$2:$G$3000,"즉시",스냅샷!$F$2:$F$3000,설정!$B$5)</f>
        <v>0</v>
      </c>
      <c r="C15" s="20" t="n">
        <f aca="false">SUMIFS(스냅샷!$C$2:$C$3000,스냅샷!$A$2:$A$3000,C$3,스냅샷!$E$2:$E$3000,"현금성",스냅샷!$G$2:$G$3000,"즉시",스냅샷!$F$2:$F$3000,설정!$B$5)</f>
        <v>0</v>
      </c>
      <c r="D15" s="20" t="n">
        <f aca="false">B15-C15</f>
        <v>0</v>
      </c>
      <c r="E15" s="38" t="n">
        <f aca="false">IF(C15=0,0,D15/ABS(C15))</f>
        <v>0</v>
      </c>
      <c r="F15" s="38" t="n">
        <f aca="false">IF($B$9=0,0,B15/$B$9)</f>
        <v>0</v>
      </c>
    </row>
    <row r="16" customFormat="false" ht="15" hidden="false" customHeight="false" outlineLevel="0" collapsed="false">
      <c r="A16" s="36" t="s">
        <v>295</v>
      </c>
      <c r="B16" s="20" t="n">
        <f aca="false">B15-SUMIFS(스냅샷!$C$2:$C$3000,스냅샷!$A$2:$A$3000,B$3,스냅샷!$E$2:$E$3000,"부채",스냅샷!$G$2:$G$3000,"즉시",스냅샷!$F$2:$F$3000,설정!$B$5)</f>
        <v>0</v>
      </c>
      <c r="C16" s="20" t="n">
        <f aca="false">C15-SUMIFS(스냅샷!$C$2:$C$3000,스냅샷!$A$2:$A$3000,C$3,스냅샷!$E$2:$E$3000,"부채",스냅샷!$G$2:$G$3000,"즉시",스냅샷!$F$2:$F$3000,설정!$B$5)</f>
        <v>0</v>
      </c>
      <c r="D16" s="20" t="n">
        <f aca="false">B16-C16</f>
        <v>0</v>
      </c>
      <c r="E16" s="38" t="n">
        <f aca="false">IF(C16=0,0,D16/ABS(C16))</f>
        <v>0</v>
      </c>
      <c r="F16" s="38" t="n">
        <f aca="false">IF($B$9=0,0,B16/$B$9)</f>
        <v>0</v>
      </c>
    </row>
    <row r="18" customFormat="false" ht="15" hidden="false" customHeight="false" outlineLevel="0" collapsed="false">
      <c r="A18" s="43" t="s">
        <v>296</v>
      </c>
      <c r="B18" s="44"/>
      <c r="C18" s="44"/>
      <c r="D18" s="44"/>
      <c r="E18" s="44"/>
      <c r="F18" s="44"/>
    </row>
    <row r="19" customFormat="false" ht="15" hidden="false" customHeight="false" outlineLevel="0" collapsed="false">
      <c r="A19" s="36" t="s">
        <v>297</v>
      </c>
      <c r="B19" s="20" t="n">
        <f aca="false">SUMIFS(스냅샷!$C$2:$C$3000,스냅샷!$A$2:$A$3000,$B$3,스냅샷!$G$2:$G$3000,"즉시",스냅샷!$E$2:$E$3000,"&lt;&gt;부채",스냅샷!$F$2:$F$3000,설정!$B$5)</f>
        <v>0</v>
      </c>
      <c r="F19" s="38" t="n">
        <f aca="false">IF($B$9=0,0,B19/$B$9)</f>
        <v>0</v>
      </c>
    </row>
    <row r="20" customFormat="false" ht="15" hidden="false" customHeight="false" outlineLevel="0" collapsed="false">
      <c r="A20" s="46" t="s">
        <v>298</v>
      </c>
      <c r="B20" s="20" t="n">
        <f aca="false">SUMIFS(스냅샷!$C$2:$C$3000,스냅샷!$A$2:$A$3000,$B$3,스냅샷!$G$2:$G$3000,"1년내",스냅샷!$E$2:$E$3000,"&lt;&gt;부채",스냅샷!$F$2:$F$3000,설정!$B$5)</f>
        <v>0</v>
      </c>
      <c r="F20" s="38" t="n">
        <f aca="false">IF($B$9=0,0,B20/$B$9)</f>
        <v>0</v>
      </c>
    </row>
    <row r="21" customFormat="false" ht="15" hidden="false" customHeight="false" outlineLevel="0" collapsed="false">
      <c r="A21" s="36" t="s">
        <v>299</v>
      </c>
      <c r="B21" s="20" t="n">
        <f aca="false">SUMIFS(스냅샷!$C$2:$C$3000,스냅샷!$A$2:$A$3000,$B$3,스냅샷!$G$2:$G$3000,"장기",스냅샷!$E$2:$E$3000,"&lt;&gt;부채",스냅샷!$F$2:$F$3000,설정!$B$5)</f>
        <v>0</v>
      </c>
      <c r="F21" s="38" t="n">
        <f aca="false">IF($B$9=0,0,B21/$B$9)</f>
        <v>0</v>
      </c>
    </row>
    <row r="22" customFormat="false" ht="15" hidden="false" customHeight="false" outlineLevel="0" collapsed="false">
      <c r="A22" s="43" t="s">
        <v>300</v>
      </c>
      <c r="B22" s="44"/>
      <c r="C22" s="44"/>
      <c r="D22" s="44"/>
      <c r="E22" s="44"/>
      <c r="F22" s="44"/>
    </row>
    <row r="23" customFormat="false" ht="15" hidden="false" customHeight="false" outlineLevel="0" collapsed="false">
      <c r="A23" s="32" t="s">
        <v>19</v>
      </c>
      <c r="B23" s="32" t="s">
        <v>20</v>
      </c>
      <c r="C23" s="32" t="s">
        <v>21</v>
      </c>
      <c r="D23" s="32" t="s">
        <v>7</v>
      </c>
      <c r="E23" s="32" t="s">
        <v>301</v>
      </c>
      <c r="F23" s="32" t="s">
        <v>92</v>
      </c>
    </row>
    <row r="24" customFormat="false" ht="15" hidden="false" customHeight="false" outlineLevel="0" collapsed="false">
      <c r="A24" s="36" t="s">
        <v>183</v>
      </c>
      <c r="B24" s="20" t="n">
        <f aca="false">SUMIFS(스냅샷!$C$2:$C$3000,스냅샷!$A$2:$A$3000,설정!$B$3,스냅샷!$F$2:$F$3000,"본인",스냅샷!$E$2:$E$3000,"&lt;&gt;부채")</f>
        <v>0</v>
      </c>
      <c r="C24" s="20" t="n">
        <f aca="false">SUMIFS(스냅샷!$C$2:$C$3000,스냅샷!$A$2:$A$3000,설정!$B$3,스냅샷!$F$2:$F$3000,"본인",스냅샷!$E$2:$E$3000,"부채")</f>
        <v>0</v>
      </c>
      <c r="D24" s="20" t="n">
        <f aca="false">B24-C24</f>
        <v>0</v>
      </c>
      <c r="E24" s="20" t="n">
        <f aca="false">SUMIFS(스냅샷!$C$2:$C$3000,스냅샷!$A$2:$A$3000,설정!$B$3,스냅샷!$F$2:$F$3000,"본인",스냅샷!$E$2:$E$3000,"투자")+SUMIFS(스냅샷!$C$2:$C$3000,스냅샷!$A$2:$A$3000,설정!$B$3,스냅샷!$F$2:$F$3000,"본인",스냅샷!$E$2:$E$3000,"연금")</f>
        <v>0</v>
      </c>
      <c r="F24" s="20" t="n">
        <f aca="false">SUMIFS(스냅샷!$C$2:$C$3000,스냅샷!$A$2:$A$3000,설정!$B$3,스냅샷!$F$2:$F$3000,"본인",스냅샷!$E$2:$E$3000,"현금성")</f>
        <v>0</v>
      </c>
    </row>
    <row r="25" customFormat="false" ht="15" hidden="false" customHeight="false" outlineLevel="0" collapsed="false">
      <c r="A25" s="36" t="s">
        <v>184</v>
      </c>
      <c r="B25" s="20" t="n">
        <f aca="false">SUMIFS(스냅샷!$C$2:$C$3000,스냅샷!$A$2:$A$3000,설정!$B$3,스냅샷!$F$2:$F$3000,"배우자",스냅샷!$E$2:$E$3000,"&lt;&gt;부채")</f>
        <v>0</v>
      </c>
      <c r="C25" s="20" t="n">
        <f aca="false">SUMIFS(스냅샷!$C$2:$C$3000,스냅샷!$A$2:$A$3000,설정!$B$3,스냅샷!$F$2:$F$3000,"배우자",스냅샷!$E$2:$E$3000,"부채")</f>
        <v>0</v>
      </c>
      <c r="D25" s="20" t="n">
        <f aca="false">B25-C25</f>
        <v>0</v>
      </c>
      <c r="E25" s="20" t="n">
        <f aca="false">SUMIFS(스냅샷!$C$2:$C$3000,스냅샷!$A$2:$A$3000,설정!$B$3,스냅샷!$F$2:$F$3000,"배우자",스냅샷!$E$2:$E$3000,"투자")+SUMIFS(스냅샷!$C$2:$C$3000,스냅샷!$A$2:$A$3000,설정!$B$3,스냅샷!$F$2:$F$3000,"배우자",스냅샷!$E$2:$E$3000,"연금")</f>
        <v>0</v>
      </c>
      <c r="F25" s="20" t="n">
        <f aca="false">SUMIFS(스냅샷!$C$2:$C$3000,스냅샷!$A$2:$A$3000,설정!$B$3,스냅샷!$F$2:$F$3000,"배우자",스냅샷!$E$2:$E$3000,"현금성")</f>
        <v>0</v>
      </c>
    </row>
    <row r="26" customFormat="false" ht="15" hidden="false" customHeight="false" outlineLevel="0" collapsed="false">
      <c r="A26" s="36" t="s">
        <v>164</v>
      </c>
      <c r="B26" s="20" t="n">
        <f aca="false">SUMIFS(스냅샷!$C$2:$C$3000,스냅샷!$A$2:$A$3000,설정!$B$3,스냅샷!$F$2:$F$3000,"공동",스냅샷!$E$2:$E$3000,"&lt;&gt;부채")</f>
        <v>0</v>
      </c>
      <c r="C26" s="20" t="n">
        <f aca="false">SUMIFS(스냅샷!$C$2:$C$3000,스냅샷!$A$2:$A$3000,설정!$B$3,스냅샷!$F$2:$F$3000,"공동",스냅샷!$E$2:$E$3000,"부채")</f>
        <v>0</v>
      </c>
      <c r="D26" s="20" t="n">
        <f aca="false">B26-C26</f>
        <v>0</v>
      </c>
      <c r="E26" s="20" t="n">
        <f aca="false">SUMIFS(스냅샷!$C$2:$C$3000,스냅샷!$A$2:$A$3000,설정!$B$3,스냅샷!$F$2:$F$3000,"공동",스냅샷!$E$2:$E$3000,"투자")+SUMIFS(스냅샷!$C$2:$C$3000,스냅샷!$A$2:$A$3000,설정!$B$3,스냅샷!$F$2:$F$3000,"공동",스냅샷!$E$2:$E$3000,"연금")</f>
        <v>0</v>
      </c>
      <c r="F26" s="20" t="n">
        <f aca="false">SUMIFS(스냅샷!$C$2:$C$3000,스냅샷!$A$2:$A$3000,설정!$B$3,스냅샷!$F$2:$F$3000,"공동",스냅샷!$E$2:$E$3000,"현금성")</f>
        <v>0</v>
      </c>
    </row>
    <row r="27" customFormat="false" ht="15" hidden="false" customHeight="false" outlineLevel="0" collapsed="false">
      <c r="A27" s="40" t="s">
        <v>94</v>
      </c>
      <c r="B27" s="42" t="n">
        <f aca="false">SUM(B24:B26)</f>
        <v>0</v>
      </c>
      <c r="C27" s="42" t="n">
        <f aca="false">SUM(C24:C26)</f>
        <v>0</v>
      </c>
      <c r="D27" s="42" t="n">
        <f aca="false">SUM(D24:D26)</f>
        <v>0</v>
      </c>
      <c r="E27" s="42" t="n">
        <f aca="false">SUM(E24:E26)</f>
        <v>0</v>
      </c>
      <c r="F27" s="42" t="n">
        <f aca="false">SUM(F24:F26)</f>
        <v>0</v>
      </c>
    </row>
    <row r="29" customFormat="false" ht="15" hidden="false" customHeight="false" outlineLevel="0" collapsed="false">
      <c r="A29" s="43" t="s">
        <v>302</v>
      </c>
      <c r="B29" s="44"/>
      <c r="C29" s="44"/>
      <c r="D29" s="44"/>
      <c r="E29" s="44"/>
      <c r="F29" s="44"/>
    </row>
    <row r="30" customFormat="false" ht="15" hidden="false" customHeight="false" outlineLevel="0" collapsed="false">
      <c r="A30" s="32" t="s">
        <v>59</v>
      </c>
      <c r="B30" s="32" t="s">
        <v>303</v>
      </c>
      <c r="C30" s="32" t="s">
        <v>304</v>
      </c>
      <c r="D30" s="32" t="s">
        <v>7</v>
      </c>
      <c r="E30" s="32" t="s">
        <v>301</v>
      </c>
      <c r="F30" s="32" t="s">
        <v>92</v>
      </c>
    </row>
    <row r="31" customFormat="false" ht="15" hidden="false" customHeight="false" outlineLevel="0" collapsed="false">
      <c r="A31" s="19" t="str">
        <f aca="false">TEXT(EDATE(DATEVALUE(설정!$B$3&amp;"-01"),-11),"yyyy-mm")</f>
        <v>2025-10</v>
      </c>
      <c r="B31" s="20" t="n">
        <f aca="false">SUMIFS(스냅샷!$C$2:$C$3000,스냅샷!$A$2:$A$3000,$A31,스냅샷!$F$2:$F$3000,설정!$B$5,스냅샷!$E$2:$E$3000,"&lt;&gt;부채")</f>
        <v>0</v>
      </c>
      <c r="C31" s="20" t="n">
        <f aca="false">SUMIFS(스냅샷!$C$2:$C$3000,스냅샷!$A$2:$A$3000,$A31,스냅샷!$F$2:$F$3000,설정!$B$5,스냅샷!$E$2:$E$3000,"부채")</f>
        <v>0</v>
      </c>
      <c r="D31" s="20" t="n">
        <f aca="false">B31-C31</f>
        <v>0</v>
      </c>
      <c r="E31" s="20" t="n">
        <f aca="false">SUMIFS(스냅샷!$C$2:$C$3000,스냅샷!$A$2:$A$3000,$A31,스냅샷!$F$2:$F$3000,설정!$B$5,스냅샷!$E$2:$E$3000,"투자")+SUMIFS(스냅샷!$C$2:$C$3000,스냅샷!$A$2:$A$3000,$A31,스냅샷!$F$2:$F$3000,설정!$B$5,스냅샷!$E$2:$E$3000,"연금")</f>
        <v>0</v>
      </c>
      <c r="F31" s="20" t="n">
        <f aca="false">SUMIFS(스냅샷!$C$2:$C$3000,스냅샷!$A$2:$A$3000,$A31,스냅샷!$F$2:$F$3000,설정!$B$5,스냅샷!$E$2:$E$3000,"현금성")</f>
        <v>0</v>
      </c>
    </row>
    <row r="32" customFormat="false" ht="15" hidden="false" customHeight="false" outlineLevel="0" collapsed="false">
      <c r="A32" s="19" t="str">
        <f aca="false">TEXT(EDATE(DATEVALUE(설정!$B$3&amp;"-01"),-10),"yyyy-mm")</f>
        <v>2025-11</v>
      </c>
      <c r="B32" s="20" t="n">
        <f aca="false">SUMIFS(스냅샷!$C$2:$C$3000,스냅샷!$A$2:$A$3000,$A32,스냅샷!$F$2:$F$3000,설정!$B$5,스냅샷!$E$2:$E$3000,"&lt;&gt;부채")</f>
        <v>0</v>
      </c>
      <c r="C32" s="20" t="n">
        <f aca="false">SUMIFS(스냅샷!$C$2:$C$3000,스냅샷!$A$2:$A$3000,$A32,스냅샷!$F$2:$F$3000,설정!$B$5,스냅샷!$E$2:$E$3000,"부채")</f>
        <v>0</v>
      </c>
      <c r="D32" s="20" t="n">
        <f aca="false">B32-C32</f>
        <v>0</v>
      </c>
      <c r="E32" s="20" t="n">
        <f aca="false">SUMIFS(스냅샷!$C$2:$C$3000,스냅샷!$A$2:$A$3000,$A32,스냅샷!$F$2:$F$3000,설정!$B$5,스냅샷!$E$2:$E$3000,"투자")+SUMIFS(스냅샷!$C$2:$C$3000,스냅샷!$A$2:$A$3000,$A32,스냅샷!$F$2:$F$3000,설정!$B$5,스냅샷!$E$2:$E$3000,"연금")</f>
        <v>0</v>
      </c>
      <c r="F32" s="20" t="n">
        <f aca="false">SUMIFS(스냅샷!$C$2:$C$3000,스냅샷!$A$2:$A$3000,$A32,스냅샷!$F$2:$F$3000,설정!$B$5,스냅샷!$E$2:$E$3000,"현금성")</f>
        <v>0</v>
      </c>
    </row>
    <row r="33" customFormat="false" ht="15" hidden="false" customHeight="false" outlineLevel="0" collapsed="false">
      <c r="A33" s="19" t="str">
        <f aca="false">TEXT(EDATE(DATEVALUE(설정!$B$3&amp;"-01"),-9),"yyyy-mm")</f>
        <v>2025-12</v>
      </c>
      <c r="B33" s="20" t="n">
        <f aca="false">SUMIFS(스냅샷!$C$2:$C$3000,스냅샷!$A$2:$A$3000,$A33,스냅샷!$F$2:$F$3000,설정!$B$5,스냅샷!$E$2:$E$3000,"&lt;&gt;부채")</f>
        <v>0</v>
      </c>
      <c r="C33" s="20" t="n">
        <f aca="false">SUMIFS(스냅샷!$C$2:$C$3000,스냅샷!$A$2:$A$3000,$A33,스냅샷!$F$2:$F$3000,설정!$B$5,스냅샷!$E$2:$E$3000,"부채")</f>
        <v>0</v>
      </c>
      <c r="D33" s="20" t="n">
        <f aca="false">B33-C33</f>
        <v>0</v>
      </c>
      <c r="E33" s="20" t="n">
        <f aca="false">SUMIFS(스냅샷!$C$2:$C$3000,스냅샷!$A$2:$A$3000,$A33,스냅샷!$F$2:$F$3000,설정!$B$5,스냅샷!$E$2:$E$3000,"투자")+SUMIFS(스냅샷!$C$2:$C$3000,스냅샷!$A$2:$A$3000,$A33,스냅샷!$F$2:$F$3000,설정!$B$5,스냅샷!$E$2:$E$3000,"연금")</f>
        <v>0</v>
      </c>
      <c r="F33" s="20" t="n">
        <f aca="false">SUMIFS(스냅샷!$C$2:$C$3000,스냅샷!$A$2:$A$3000,$A33,스냅샷!$F$2:$F$3000,설정!$B$5,스냅샷!$E$2:$E$3000,"현금성")</f>
        <v>0</v>
      </c>
    </row>
    <row r="34" customFormat="false" ht="15" hidden="false" customHeight="false" outlineLevel="0" collapsed="false">
      <c r="A34" s="19" t="str">
        <f aca="false">TEXT(EDATE(DATEVALUE(설정!$B$3&amp;"-01"),-8),"yyyy-mm")</f>
        <v>2026-01</v>
      </c>
      <c r="B34" s="20" t="n">
        <f aca="false">SUMIFS(스냅샷!$C$2:$C$3000,스냅샷!$A$2:$A$3000,$A34,스냅샷!$F$2:$F$3000,설정!$B$5,스냅샷!$E$2:$E$3000,"&lt;&gt;부채")</f>
        <v>0</v>
      </c>
      <c r="C34" s="20" t="n">
        <f aca="false">SUMIFS(스냅샷!$C$2:$C$3000,스냅샷!$A$2:$A$3000,$A34,스냅샷!$F$2:$F$3000,설정!$B$5,스냅샷!$E$2:$E$3000,"부채")</f>
        <v>0</v>
      </c>
      <c r="D34" s="20" t="n">
        <f aca="false">B34-C34</f>
        <v>0</v>
      </c>
      <c r="E34" s="20" t="n">
        <f aca="false">SUMIFS(스냅샷!$C$2:$C$3000,스냅샷!$A$2:$A$3000,$A34,스냅샷!$F$2:$F$3000,설정!$B$5,스냅샷!$E$2:$E$3000,"투자")+SUMIFS(스냅샷!$C$2:$C$3000,스냅샷!$A$2:$A$3000,$A34,스냅샷!$F$2:$F$3000,설정!$B$5,스냅샷!$E$2:$E$3000,"연금")</f>
        <v>0</v>
      </c>
      <c r="F34" s="20" t="n">
        <f aca="false">SUMIFS(스냅샷!$C$2:$C$3000,스냅샷!$A$2:$A$3000,$A34,스냅샷!$F$2:$F$3000,설정!$B$5,스냅샷!$E$2:$E$3000,"현금성")</f>
        <v>0</v>
      </c>
    </row>
    <row r="35" customFormat="false" ht="15" hidden="false" customHeight="false" outlineLevel="0" collapsed="false">
      <c r="A35" s="19" t="str">
        <f aca="false">TEXT(EDATE(DATEVALUE(설정!$B$3&amp;"-01"),-7),"yyyy-mm")</f>
        <v>2026-02</v>
      </c>
      <c r="B35" s="20" t="n">
        <f aca="false">SUMIFS(스냅샷!$C$2:$C$3000,스냅샷!$A$2:$A$3000,$A35,스냅샷!$F$2:$F$3000,설정!$B$5,스냅샷!$E$2:$E$3000,"&lt;&gt;부채")</f>
        <v>0</v>
      </c>
      <c r="C35" s="20" t="n">
        <f aca="false">SUMIFS(스냅샷!$C$2:$C$3000,스냅샷!$A$2:$A$3000,$A35,스냅샷!$F$2:$F$3000,설정!$B$5,스냅샷!$E$2:$E$3000,"부채")</f>
        <v>0</v>
      </c>
      <c r="D35" s="20" t="n">
        <f aca="false">B35-C35</f>
        <v>0</v>
      </c>
      <c r="E35" s="20" t="n">
        <f aca="false">SUMIFS(스냅샷!$C$2:$C$3000,스냅샷!$A$2:$A$3000,$A35,스냅샷!$F$2:$F$3000,설정!$B$5,스냅샷!$E$2:$E$3000,"투자")+SUMIFS(스냅샷!$C$2:$C$3000,스냅샷!$A$2:$A$3000,$A35,스냅샷!$F$2:$F$3000,설정!$B$5,스냅샷!$E$2:$E$3000,"연금")</f>
        <v>0</v>
      </c>
      <c r="F35" s="20" t="n">
        <f aca="false">SUMIFS(스냅샷!$C$2:$C$3000,스냅샷!$A$2:$A$3000,$A35,스냅샷!$F$2:$F$3000,설정!$B$5,스냅샷!$E$2:$E$3000,"현금성")</f>
        <v>0</v>
      </c>
    </row>
    <row r="36" customFormat="false" ht="15" hidden="false" customHeight="false" outlineLevel="0" collapsed="false">
      <c r="A36" s="19" t="str">
        <f aca="false">TEXT(EDATE(DATEVALUE(설정!$B$3&amp;"-01"),-6),"yyyy-mm")</f>
        <v>2026-03</v>
      </c>
      <c r="B36" s="20" t="n">
        <f aca="false">SUMIFS(스냅샷!$C$2:$C$3000,스냅샷!$A$2:$A$3000,$A36,스냅샷!$F$2:$F$3000,설정!$B$5,스냅샷!$E$2:$E$3000,"&lt;&gt;부채")</f>
        <v>0</v>
      </c>
      <c r="C36" s="20" t="n">
        <f aca="false">SUMIFS(스냅샷!$C$2:$C$3000,스냅샷!$A$2:$A$3000,$A36,스냅샷!$F$2:$F$3000,설정!$B$5,스냅샷!$E$2:$E$3000,"부채")</f>
        <v>0</v>
      </c>
      <c r="D36" s="20" t="n">
        <f aca="false">B36-C36</f>
        <v>0</v>
      </c>
      <c r="E36" s="20" t="n">
        <f aca="false">SUMIFS(스냅샷!$C$2:$C$3000,스냅샷!$A$2:$A$3000,$A36,스냅샷!$F$2:$F$3000,설정!$B$5,스냅샷!$E$2:$E$3000,"투자")+SUMIFS(스냅샷!$C$2:$C$3000,스냅샷!$A$2:$A$3000,$A36,스냅샷!$F$2:$F$3000,설정!$B$5,스냅샷!$E$2:$E$3000,"연금")</f>
        <v>0</v>
      </c>
      <c r="F36" s="20" t="n">
        <f aca="false">SUMIFS(스냅샷!$C$2:$C$3000,스냅샷!$A$2:$A$3000,$A36,스냅샷!$F$2:$F$3000,설정!$B$5,스냅샷!$E$2:$E$3000,"현금성")</f>
        <v>0</v>
      </c>
    </row>
    <row r="37" customFormat="false" ht="15" hidden="false" customHeight="false" outlineLevel="0" collapsed="false">
      <c r="A37" s="19" t="str">
        <f aca="false">TEXT(EDATE(DATEVALUE(설정!$B$3&amp;"-01"),-5),"yyyy-mm")</f>
        <v>2026-04</v>
      </c>
      <c r="B37" s="20" t="n">
        <f aca="false">SUMIFS(스냅샷!$C$2:$C$3000,스냅샷!$A$2:$A$3000,$A37,스냅샷!$F$2:$F$3000,설정!$B$5,스냅샷!$E$2:$E$3000,"&lt;&gt;부채")</f>
        <v>0</v>
      </c>
      <c r="C37" s="20" t="n">
        <f aca="false">SUMIFS(스냅샷!$C$2:$C$3000,스냅샷!$A$2:$A$3000,$A37,스냅샷!$F$2:$F$3000,설정!$B$5,스냅샷!$E$2:$E$3000,"부채")</f>
        <v>0</v>
      </c>
      <c r="D37" s="20" t="n">
        <f aca="false">B37-C37</f>
        <v>0</v>
      </c>
      <c r="E37" s="20" t="n">
        <f aca="false">SUMIFS(스냅샷!$C$2:$C$3000,스냅샷!$A$2:$A$3000,$A37,스냅샷!$F$2:$F$3000,설정!$B$5,스냅샷!$E$2:$E$3000,"투자")+SUMIFS(스냅샷!$C$2:$C$3000,스냅샷!$A$2:$A$3000,$A37,스냅샷!$F$2:$F$3000,설정!$B$5,스냅샷!$E$2:$E$3000,"연금")</f>
        <v>0</v>
      </c>
      <c r="F37" s="20" t="n">
        <f aca="false">SUMIFS(스냅샷!$C$2:$C$3000,스냅샷!$A$2:$A$3000,$A37,스냅샷!$F$2:$F$3000,설정!$B$5,스냅샷!$E$2:$E$3000,"현금성")</f>
        <v>0</v>
      </c>
    </row>
    <row r="38" customFormat="false" ht="15" hidden="false" customHeight="false" outlineLevel="0" collapsed="false">
      <c r="A38" s="19" t="str">
        <f aca="false">TEXT(EDATE(DATEVALUE(설정!$B$3&amp;"-01"),-4),"yyyy-mm")</f>
        <v>2026-05</v>
      </c>
      <c r="B38" s="20" t="n">
        <f aca="false">SUMIFS(스냅샷!$C$2:$C$3000,스냅샷!$A$2:$A$3000,$A38,스냅샷!$F$2:$F$3000,설정!$B$5,스냅샷!$E$2:$E$3000,"&lt;&gt;부채")</f>
        <v>0</v>
      </c>
      <c r="C38" s="20" t="n">
        <f aca="false">SUMIFS(스냅샷!$C$2:$C$3000,스냅샷!$A$2:$A$3000,$A38,스냅샷!$F$2:$F$3000,설정!$B$5,스냅샷!$E$2:$E$3000,"부채")</f>
        <v>0</v>
      </c>
      <c r="D38" s="20" t="n">
        <f aca="false">B38-C38</f>
        <v>0</v>
      </c>
      <c r="E38" s="20" t="n">
        <f aca="false">SUMIFS(스냅샷!$C$2:$C$3000,스냅샷!$A$2:$A$3000,$A38,스냅샷!$F$2:$F$3000,설정!$B$5,스냅샷!$E$2:$E$3000,"투자")+SUMIFS(스냅샷!$C$2:$C$3000,스냅샷!$A$2:$A$3000,$A38,스냅샷!$F$2:$F$3000,설정!$B$5,스냅샷!$E$2:$E$3000,"연금")</f>
        <v>0</v>
      </c>
      <c r="F38" s="20" t="n">
        <f aca="false">SUMIFS(스냅샷!$C$2:$C$3000,스냅샷!$A$2:$A$3000,$A38,스냅샷!$F$2:$F$3000,설정!$B$5,스냅샷!$E$2:$E$3000,"현금성")</f>
        <v>0</v>
      </c>
    </row>
    <row r="39" customFormat="false" ht="15" hidden="false" customHeight="false" outlineLevel="0" collapsed="false">
      <c r="A39" s="19" t="str">
        <f aca="false">TEXT(EDATE(DATEVALUE(설정!$B$3&amp;"-01"),-3),"yyyy-mm")</f>
        <v>2026-06</v>
      </c>
      <c r="B39" s="20" t="n">
        <f aca="false">SUMIFS(스냅샷!$C$2:$C$3000,스냅샷!$A$2:$A$3000,$A39,스냅샷!$F$2:$F$3000,설정!$B$5,스냅샷!$E$2:$E$3000,"&lt;&gt;부채")</f>
        <v>0</v>
      </c>
      <c r="C39" s="20" t="n">
        <f aca="false">SUMIFS(스냅샷!$C$2:$C$3000,스냅샷!$A$2:$A$3000,$A39,스냅샷!$F$2:$F$3000,설정!$B$5,스냅샷!$E$2:$E$3000,"부채")</f>
        <v>0</v>
      </c>
      <c r="D39" s="20" t="n">
        <f aca="false">B39-C39</f>
        <v>0</v>
      </c>
      <c r="E39" s="20" t="n">
        <f aca="false">SUMIFS(스냅샷!$C$2:$C$3000,스냅샷!$A$2:$A$3000,$A39,스냅샷!$F$2:$F$3000,설정!$B$5,스냅샷!$E$2:$E$3000,"투자")+SUMIFS(스냅샷!$C$2:$C$3000,스냅샷!$A$2:$A$3000,$A39,스냅샷!$F$2:$F$3000,설정!$B$5,스냅샷!$E$2:$E$3000,"연금")</f>
        <v>0</v>
      </c>
      <c r="F39" s="20" t="n">
        <f aca="false">SUMIFS(스냅샷!$C$2:$C$3000,스냅샷!$A$2:$A$3000,$A39,스냅샷!$F$2:$F$3000,설정!$B$5,스냅샷!$E$2:$E$3000,"현금성")</f>
        <v>0</v>
      </c>
    </row>
    <row r="40" customFormat="false" ht="15" hidden="false" customHeight="false" outlineLevel="0" collapsed="false">
      <c r="A40" s="19" t="str">
        <f aca="false">TEXT(EDATE(DATEVALUE(설정!$B$3&amp;"-01"),-2),"yyyy-mm")</f>
        <v>2026-07</v>
      </c>
      <c r="B40" s="20" t="n">
        <f aca="false">SUMIFS(스냅샷!$C$2:$C$3000,스냅샷!$A$2:$A$3000,$A40,스냅샷!$F$2:$F$3000,설정!$B$5,스냅샷!$E$2:$E$3000,"&lt;&gt;부채")</f>
        <v>0</v>
      </c>
      <c r="C40" s="20" t="n">
        <f aca="false">SUMIFS(스냅샷!$C$2:$C$3000,스냅샷!$A$2:$A$3000,$A40,스냅샷!$F$2:$F$3000,설정!$B$5,스냅샷!$E$2:$E$3000,"부채")</f>
        <v>0</v>
      </c>
      <c r="D40" s="20" t="n">
        <f aca="false">B40-C40</f>
        <v>0</v>
      </c>
      <c r="E40" s="20" t="n">
        <f aca="false">SUMIFS(스냅샷!$C$2:$C$3000,스냅샷!$A$2:$A$3000,$A40,스냅샷!$F$2:$F$3000,설정!$B$5,스냅샷!$E$2:$E$3000,"투자")+SUMIFS(스냅샷!$C$2:$C$3000,스냅샷!$A$2:$A$3000,$A40,스냅샷!$F$2:$F$3000,설정!$B$5,스냅샷!$E$2:$E$3000,"연금")</f>
        <v>0</v>
      </c>
      <c r="F40" s="20" t="n">
        <f aca="false">SUMIFS(스냅샷!$C$2:$C$3000,스냅샷!$A$2:$A$3000,$A40,스냅샷!$F$2:$F$3000,설정!$B$5,스냅샷!$E$2:$E$3000,"현금성")</f>
        <v>0</v>
      </c>
    </row>
    <row r="41" customFormat="false" ht="15" hidden="false" customHeight="false" outlineLevel="0" collapsed="false">
      <c r="A41" s="19" t="str">
        <f aca="false">TEXT(EDATE(DATEVALUE(설정!$B$3&amp;"-01"),-1),"yyyy-mm")</f>
        <v>2026-08</v>
      </c>
      <c r="B41" s="20" t="n">
        <f aca="false">SUMIFS(스냅샷!$C$2:$C$3000,스냅샷!$A$2:$A$3000,$A41,스냅샷!$F$2:$F$3000,설정!$B$5,스냅샷!$E$2:$E$3000,"&lt;&gt;부채")</f>
        <v>0</v>
      </c>
      <c r="C41" s="20" t="n">
        <f aca="false">SUMIFS(스냅샷!$C$2:$C$3000,스냅샷!$A$2:$A$3000,$A41,스냅샷!$F$2:$F$3000,설정!$B$5,스냅샷!$E$2:$E$3000,"부채")</f>
        <v>0</v>
      </c>
      <c r="D41" s="20" t="n">
        <f aca="false">B41-C41</f>
        <v>0</v>
      </c>
      <c r="E41" s="20" t="n">
        <f aca="false">SUMIFS(스냅샷!$C$2:$C$3000,스냅샷!$A$2:$A$3000,$A41,스냅샷!$F$2:$F$3000,설정!$B$5,스냅샷!$E$2:$E$3000,"투자")+SUMIFS(스냅샷!$C$2:$C$3000,스냅샷!$A$2:$A$3000,$A41,스냅샷!$F$2:$F$3000,설정!$B$5,스냅샷!$E$2:$E$3000,"연금")</f>
        <v>0</v>
      </c>
      <c r="F41" s="20" t="n">
        <f aca="false">SUMIFS(스냅샷!$C$2:$C$3000,스냅샷!$A$2:$A$3000,$A41,스냅샷!$F$2:$F$3000,설정!$B$5,스냅샷!$E$2:$E$3000,"현금성")</f>
        <v>0</v>
      </c>
    </row>
    <row r="42" customFormat="false" ht="15" hidden="false" customHeight="false" outlineLevel="0" collapsed="false">
      <c r="A42" s="19" t="str">
        <f aca="false">TEXT(EDATE(DATEVALUE(설정!$B$3&amp;"-01"),0),"yyyy-mm")</f>
        <v>2026-09</v>
      </c>
      <c r="B42" s="20" t="n">
        <f aca="false">SUMIFS(스냅샷!$C$2:$C$3000,스냅샷!$A$2:$A$3000,$A42,스냅샷!$F$2:$F$3000,설정!$B$5,스냅샷!$E$2:$E$3000,"&lt;&gt;부채")</f>
        <v>0</v>
      </c>
      <c r="C42" s="20" t="n">
        <f aca="false">SUMIFS(스냅샷!$C$2:$C$3000,스냅샷!$A$2:$A$3000,$A42,스냅샷!$F$2:$F$3000,설정!$B$5,스냅샷!$E$2:$E$3000,"부채")</f>
        <v>0</v>
      </c>
      <c r="D42" s="20" t="n">
        <f aca="false">B42-C42</f>
        <v>0</v>
      </c>
      <c r="E42" s="20" t="n">
        <f aca="false">SUMIFS(스냅샷!$C$2:$C$3000,스냅샷!$A$2:$A$3000,$A42,스냅샷!$F$2:$F$3000,설정!$B$5,스냅샷!$E$2:$E$3000,"투자")+SUMIFS(스냅샷!$C$2:$C$3000,스냅샷!$A$2:$A$3000,$A42,스냅샷!$F$2:$F$3000,설정!$B$5,스냅샷!$E$2:$E$3000,"연금")</f>
        <v>0</v>
      </c>
      <c r="F42" s="20" t="n">
        <f aca="false">SUMIFS(스냅샷!$C$2:$C$3000,스냅샷!$A$2:$A$3000,$A42,스냅샷!$F$2:$F$3000,설정!$B$5,스냅샷!$E$2:$E$3000,"현금성")</f>
        <v>0</v>
      </c>
    </row>
    <row r="44" customFormat="false" ht="15" hidden="false" customHeight="false" outlineLevel="0" collapsed="false">
      <c r="A44" s="43" t="s">
        <v>305</v>
      </c>
      <c r="B44" s="44"/>
      <c r="C44" s="44"/>
      <c r="D44" s="44"/>
      <c r="E44" s="44"/>
      <c r="F44" s="44"/>
      <c r="G44" s="44"/>
    </row>
    <row r="45" customFormat="false" ht="15" hidden="false" customHeight="false" outlineLevel="0" collapsed="false">
      <c r="A45" s="32" t="s">
        <v>71</v>
      </c>
      <c r="B45" s="32" t="s">
        <v>72</v>
      </c>
      <c r="C45" s="32" t="s">
        <v>73</v>
      </c>
      <c r="D45" s="32" t="s">
        <v>74</v>
      </c>
      <c r="E45" s="32" t="s">
        <v>306</v>
      </c>
      <c r="F45" s="32" t="s">
        <v>307</v>
      </c>
      <c r="G45" s="32" t="s">
        <v>280</v>
      </c>
    </row>
    <row r="46" customFormat="false" ht="15" hidden="false" customHeight="false" outlineLevel="0" collapsed="false">
      <c r="A46" s="46" t="str">
        <f aca="false">IF(계좌!$A2="","",계좌!A2)</f>
        <v/>
      </c>
      <c r="B46" s="46" t="str">
        <f aca="false">IF(계좌!$A2="","",계좌!B2)</f>
        <v/>
      </c>
      <c r="C46" s="46" t="str">
        <f aca="false">IF(계좌!$A2="","",계좌!D2)</f>
        <v/>
      </c>
      <c r="D46" s="46" t="str">
        <f aca="false">IF(계좌!$A2="","",계좌!E2)</f>
        <v/>
      </c>
      <c r="E46" s="20" t="str">
        <f aca="false">IF(A46="","",SUMIFS(스냅샷!$C$2:$C$3000,스냅샷!$A$2:$A$3000,설정!$B$3,스냅샷!$B$2:$B$3000,A46))</f>
        <v/>
      </c>
      <c r="F46" s="20" t="str">
        <f aca="false">IF(A46="","",SUMIFS(스냅샷!$C$2:$C$3000,스냅샷!$A$2:$A$3000,설정!$B$6,스냅샷!$B$2:$B$3000,A46))</f>
        <v/>
      </c>
      <c r="G46" s="20" t="str">
        <f aca="false">IF(A46="","",E46-F46)</f>
        <v/>
      </c>
    </row>
    <row r="47" customFormat="false" ht="15" hidden="false" customHeight="false" outlineLevel="0" collapsed="false">
      <c r="A47" s="46" t="str">
        <f aca="false">IF(계좌!$A3="","",계좌!A3)</f>
        <v/>
      </c>
      <c r="B47" s="46" t="str">
        <f aca="false">IF(계좌!$A3="","",계좌!B3)</f>
        <v/>
      </c>
      <c r="C47" s="46" t="str">
        <f aca="false">IF(계좌!$A3="","",계좌!D3)</f>
        <v/>
      </c>
      <c r="D47" s="46" t="str">
        <f aca="false">IF(계좌!$A3="","",계좌!E3)</f>
        <v/>
      </c>
      <c r="E47" s="20" t="str">
        <f aca="false">IF(A47="","",SUMIFS(스냅샷!$C$2:$C$3000,스냅샷!$A$2:$A$3000,설정!$B$3,스냅샷!$B$2:$B$3000,A47))</f>
        <v/>
      </c>
      <c r="F47" s="20" t="str">
        <f aca="false">IF(A47="","",SUMIFS(스냅샷!$C$2:$C$3000,스냅샷!$A$2:$A$3000,설정!$B$6,스냅샷!$B$2:$B$3000,A47))</f>
        <v/>
      </c>
      <c r="G47" s="20" t="str">
        <f aca="false">IF(A47="","",E47-F47)</f>
        <v/>
      </c>
    </row>
    <row r="48" customFormat="false" ht="15" hidden="false" customHeight="false" outlineLevel="0" collapsed="false">
      <c r="A48" s="46" t="str">
        <f aca="false">IF(계좌!$A4="","",계좌!A4)</f>
        <v/>
      </c>
      <c r="B48" s="46" t="str">
        <f aca="false">IF(계좌!$A4="","",계좌!B4)</f>
        <v/>
      </c>
      <c r="C48" s="46" t="str">
        <f aca="false">IF(계좌!$A4="","",계좌!D4)</f>
        <v/>
      </c>
      <c r="D48" s="46" t="str">
        <f aca="false">IF(계좌!$A4="","",계좌!E4)</f>
        <v/>
      </c>
      <c r="E48" s="20" t="str">
        <f aca="false">IF(A48="","",SUMIFS(스냅샷!$C$2:$C$3000,스냅샷!$A$2:$A$3000,설정!$B$3,스냅샷!$B$2:$B$3000,A48))</f>
        <v/>
      </c>
      <c r="F48" s="20" t="str">
        <f aca="false">IF(A48="","",SUMIFS(스냅샷!$C$2:$C$3000,스냅샷!$A$2:$A$3000,설정!$B$6,스냅샷!$B$2:$B$3000,A48))</f>
        <v/>
      </c>
      <c r="G48" s="20" t="str">
        <f aca="false">IF(A48="","",E48-F48)</f>
        <v/>
      </c>
    </row>
    <row r="49" customFormat="false" ht="15" hidden="false" customHeight="false" outlineLevel="0" collapsed="false">
      <c r="A49" s="46" t="str">
        <f aca="false">IF(계좌!$A5="","",계좌!A5)</f>
        <v/>
      </c>
      <c r="B49" s="46" t="str">
        <f aca="false">IF(계좌!$A5="","",계좌!B5)</f>
        <v/>
      </c>
      <c r="C49" s="46" t="str">
        <f aca="false">IF(계좌!$A5="","",계좌!D5)</f>
        <v/>
      </c>
      <c r="D49" s="46" t="str">
        <f aca="false">IF(계좌!$A5="","",계좌!E5)</f>
        <v/>
      </c>
      <c r="E49" s="20" t="str">
        <f aca="false">IF(A49="","",SUMIFS(스냅샷!$C$2:$C$3000,스냅샷!$A$2:$A$3000,설정!$B$3,스냅샷!$B$2:$B$3000,A49))</f>
        <v/>
      </c>
      <c r="F49" s="20" t="str">
        <f aca="false">IF(A49="","",SUMIFS(스냅샷!$C$2:$C$3000,스냅샷!$A$2:$A$3000,설정!$B$6,스냅샷!$B$2:$B$3000,A49))</f>
        <v/>
      </c>
      <c r="G49" s="20" t="str">
        <f aca="false">IF(A49="","",E49-F49)</f>
        <v/>
      </c>
    </row>
    <row r="50" customFormat="false" ht="15" hidden="false" customHeight="false" outlineLevel="0" collapsed="false">
      <c r="A50" s="46" t="str">
        <f aca="false">IF(계좌!$A6="","",계좌!A6)</f>
        <v/>
      </c>
      <c r="B50" s="46" t="str">
        <f aca="false">IF(계좌!$A6="","",계좌!B6)</f>
        <v/>
      </c>
      <c r="C50" s="46" t="str">
        <f aca="false">IF(계좌!$A6="","",계좌!D6)</f>
        <v/>
      </c>
      <c r="D50" s="46" t="str">
        <f aca="false">IF(계좌!$A6="","",계좌!E6)</f>
        <v/>
      </c>
      <c r="E50" s="20" t="str">
        <f aca="false">IF(A50="","",SUMIFS(스냅샷!$C$2:$C$3000,스냅샷!$A$2:$A$3000,설정!$B$3,스냅샷!$B$2:$B$3000,A50))</f>
        <v/>
      </c>
      <c r="F50" s="20" t="str">
        <f aca="false">IF(A50="","",SUMIFS(스냅샷!$C$2:$C$3000,스냅샷!$A$2:$A$3000,설정!$B$6,스냅샷!$B$2:$B$3000,A50))</f>
        <v/>
      </c>
      <c r="G50" s="20" t="str">
        <f aca="false">IF(A50="","",E50-F50)</f>
        <v/>
      </c>
    </row>
    <row r="51" customFormat="false" ht="15" hidden="false" customHeight="false" outlineLevel="0" collapsed="false">
      <c r="A51" s="46" t="str">
        <f aca="false">IF(계좌!$A7="","",계좌!A7)</f>
        <v/>
      </c>
      <c r="B51" s="46" t="str">
        <f aca="false">IF(계좌!$A7="","",계좌!B7)</f>
        <v/>
      </c>
      <c r="C51" s="46" t="str">
        <f aca="false">IF(계좌!$A7="","",계좌!D7)</f>
        <v/>
      </c>
      <c r="D51" s="46" t="str">
        <f aca="false">IF(계좌!$A7="","",계좌!E7)</f>
        <v/>
      </c>
      <c r="E51" s="20" t="str">
        <f aca="false">IF(A51="","",SUMIFS(스냅샷!$C$2:$C$3000,스냅샷!$A$2:$A$3000,설정!$B$3,스냅샷!$B$2:$B$3000,A51))</f>
        <v/>
      </c>
      <c r="F51" s="20" t="str">
        <f aca="false">IF(A51="","",SUMIFS(스냅샷!$C$2:$C$3000,스냅샷!$A$2:$A$3000,설정!$B$6,스냅샷!$B$2:$B$3000,A51))</f>
        <v/>
      </c>
      <c r="G51" s="20" t="str">
        <f aca="false">IF(A51="","",E51-F51)</f>
        <v/>
      </c>
    </row>
    <row r="52" customFormat="false" ht="15" hidden="false" customHeight="false" outlineLevel="0" collapsed="false">
      <c r="A52" s="46" t="str">
        <f aca="false">IF(계좌!$A8="","",계좌!A8)</f>
        <v/>
      </c>
      <c r="B52" s="46" t="str">
        <f aca="false">IF(계좌!$A8="","",계좌!B8)</f>
        <v/>
      </c>
      <c r="C52" s="46" t="str">
        <f aca="false">IF(계좌!$A8="","",계좌!D8)</f>
        <v/>
      </c>
      <c r="D52" s="46" t="str">
        <f aca="false">IF(계좌!$A8="","",계좌!E8)</f>
        <v/>
      </c>
      <c r="E52" s="20" t="str">
        <f aca="false">IF(A52="","",SUMIFS(스냅샷!$C$2:$C$3000,스냅샷!$A$2:$A$3000,설정!$B$3,스냅샷!$B$2:$B$3000,A52))</f>
        <v/>
      </c>
      <c r="F52" s="20" t="str">
        <f aca="false">IF(A52="","",SUMIFS(스냅샷!$C$2:$C$3000,스냅샷!$A$2:$A$3000,설정!$B$6,스냅샷!$B$2:$B$3000,A52))</f>
        <v/>
      </c>
      <c r="G52" s="20" t="str">
        <f aca="false">IF(A52="","",E52-F52)</f>
        <v/>
      </c>
    </row>
    <row r="53" customFormat="false" ht="15" hidden="false" customHeight="false" outlineLevel="0" collapsed="false">
      <c r="A53" s="46" t="str">
        <f aca="false">IF(계좌!$A9="","",계좌!A9)</f>
        <v/>
      </c>
      <c r="B53" s="46" t="str">
        <f aca="false">IF(계좌!$A9="","",계좌!B9)</f>
        <v/>
      </c>
      <c r="C53" s="46" t="str">
        <f aca="false">IF(계좌!$A9="","",계좌!D9)</f>
        <v/>
      </c>
      <c r="D53" s="46" t="str">
        <f aca="false">IF(계좌!$A9="","",계좌!E9)</f>
        <v/>
      </c>
      <c r="E53" s="20" t="str">
        <f aca="false">IF(A53="","",SUMIFS(스냅샷!$C$2:$C$3000,스냅샷!$A$2:$A$3000,설정!$B$3,스냅샷!$B$2:$B$3000,A53))</f>
        <v/>
      </c>
      <c r="F53" s="20" t="str">
        <f aca="false">IF(A53="","",SUMIFS(스냅샷!$C$2:$C$3000,스냅샷!$A$2:$A$3000,설정!$B$6,스냅샷!$B$2:$B$3000,A53))</f>
        <v/>
      </c>
      <c r="G53" s="20" t="str">
        <f aca="false">IF(A53="","",E53-F53)</f>
        <v/>
      </c>
    </row>
    <row r="54" customFormat="false" ht="15" hidden="false" customHeight="false" outlineLevel="0" collapsed="false">
      <c r="A54" s="46" t="str">
        <f aca="false">IF(계좌!$A10="","",계좌!A10)</f>
        <v/>
      </c>
      <c r="B54" s="46" t="str">
        <f aca="false">IF(계좌!$A10="","",계좌!B10)</f>
        <v/>
      </c>
      <c r="C54" s="46" t="str">
        <f aca="false">IF(계좌!$A10="","",계좌!D10)</f>
        <v/>
      </c>
      <c r="D54" s="46" t="str">
        <f aca="false">IF(계좌!$A10="","",계좌!E10)</f>
        <v/>
      </c>
      <c r="E54" s="20" t="str">
        <f aca="false">IF(A54="","",SUMIFS(스냅샷!$C$2:$C$3000,스냅샷!$A$2:$A$3000,설정!$B$3,스냅샷!$B$2:$B$3000,A54))</f>
        <v/>
      </c>
      <c r="F54" s="20" t="str">
        <f aca="false">IF(A54="","",SUMIFS(스냅샷!$C$2:$C$3000,스냅샷!$A$2:$A$3000,설정!$B$6,스냅샷!$B$2:$B$3000,A54))</f>
        <v/>
      </c>
      <c r="G54" s="20" t="str">
        <f aca="false">IF(A54="","",E54-F54)</f>
        <v/>
      </c>
    </row>
    <row r="55" customFormat="false" ht="15" hidden="false" customHeight="false" outlineLevel="0" collapsed="false">
      <c r="A55" s="46" t="str">
        <f aca="false">IF(계좌!$A11="","",계좌!A11)</f>
        <v/>
      </c>
      <c r="B55" s="46" t="str">
        <f aca="false">IF(계좌!$A11="","",계좌!B11)</f>
        <v/>
      </c>
      <c r="C55" s="46" t="str">
        <f aca="false">IF(계좌!$A11="","",계좌!D11)</f>
        <v/>
      </c>
      <c r="D55" s="46" t="str">
        <f aca="false">IF(계좌!$A11="","",계좌!E11)</f>
        <v/>
      </c>
      <c r="E55" s="20" t="str">
        <f aca="false">IF(A55="","",SUMIFS(스냅샷!$C$2:$C$3000,스냅샷!$A$2:$A$3000,설정!$B$3,스냅샷!$B$2:$B$3000,A55))</f>
        <v/>
      </c>
      <c r="F55" s="20" t="str">
        <f aca="false">IF(A55="","",SUMIFS(스냅샷!$C$2:$C$3000,스냅샷!$A$2:$A$3000,설정!$B$6,스냅샷!$B$2:$B$3000,A55))</f>
        <v/>
      </c>
      <c r="G55" s="20" t="str">
        <f aca="false">IF(A55="","",E55-F55)</f>
        <v/>
      </c>
    </row>
    <row r="56" customFormat="false" ht="15" hidden="false" customHeight="false" outlineLevel="0" collapsed="false">
      <c r="A56" s="46" t="str">
        <f aca="false">IF(계좌!$A12="","",계좌!A12)</f>
        <v/>
      </c>
      <c r="B56" s="46" t="str">
        <f aca="false">IF(계좌!$A12="","",계좌!B12)</f>
        <v/>
      </c>
      <c r="C56" s="46" t="str">
        <f aca="false">IF(계좌!$A12="","",계좌!D12)</f>
        <v/>
      </c>
      <c r="D56" s="46" t="str">
        <f aca="false">IF(계좌!$A12="","",계좌!E12)</f>
        <v/>
      </c>
      <c r="E56" s="20" t="str">
        <f aca="false">IF(A56="","",SUMIFS(스냅샷!$C$2:$C$3000,스냅샷!$A$2:$A$3000,설정!$B$3,스냅샷!$B$2:$B$3000,A56))</f>
        <v/>
      </c>
      <c r="F56" s="20" t="str">
        <f aca="false">IF(A56="","",SUMIFS(스냅샷!$C$2:$C$3000,스냅샷!$A$2:$A$3000,설정!$B$6,스냅샷!$B$2:$B$3000,A56))</f>
        <v/>
      </c>
      <c r="G56" s="20" t="str">
        <f aca="false">IF(A56="","",E56-F56)</f>
        <v/>
      </c>
    </row>
    <row r="57" customFormat="false" ht="15" hidden="false" customHeight="false" outlineLevel="0" collapsed="false">
      <c r="A57" s="46" t="str">
        <f aca="false">IF(계좌!$A13="","",계좌!A13)</f>
        <v/>
      </c>
      <c r="B57" s="46" t="str">
        <f aca="false">IF(계좌!$A13="","",계좌!B13)</f>
        <v/>
      </c>
      <c r="C57" s="46" t="str">
        <f aca="false">IF(계좌!$A13="","",계좌!D13)</f>
        <v/>
      </c>
      <c r="D57" s="46" t="str">
        <f aca="false">IF(계좌!$A13="","",계좌!E13)</f>
        <v/>
      </c>
      <c r="E57" s="20" t="str">
        <f aca="false">IF(A57="","",SUMIFS(스냅샷!$C$2:$C$3000,스냅샷!$A$2:$A$3000,설정!$B$3,스냅샷!$B$2:$B$3000,A57))</f>
        <v/>
      </c>
      <c r="F57" s="20" t="str">
        <f aca="false">IF(A57="","",SUMIFS(스냅샷!$C$2:$C$3000,스냅샷!$A$2:$A$3000,설정!$B$6,스냅샷!$B$2:$B$3000,A57))</f>
        <v/>
      </c>
      <c r="G57" s="20" t="str">
        <f aca="false">IF(A57="","",E57-F57)</f>
        <v/>
      </c>
    </row>
    <row r="58" customFormat="false" ht="15" hidden="false" customHeight="false" outlineLevel="0" collapsed="false">
      <c r="A58" s="46" t="str">
        <f aca="false">IF(계좌!$A14="","",계좌!A14)</f>
        <v/>
      </c>
      <c r="B58" s="46" t="str">
        <f aca="false">IF(계좌!$A14="","",계좌!B14)</f>
        <v/>
      </c>
      <c r="C58" s="46" t="str">
        <f aca="false">IF(계좌!$A14="","",계좌!D14)</f>
        <v/>
      </c>
      <c r="D58" s="46" t="str">
        <f aca="false">IF(계좌!$A14="","",계좌!E14)</f>
        <v/>
      </c>
      <c r="E58" s="20" t="str">
        <f aca="false">IF(A58="","",SUMIFS(스냅샷!$C$2:$C$3000,스냅샷!$A$2:$A$3000,설정!$B$3,스냅샷!$B$2:$B$3000,A58))</f>
        <v/>
      </c>
      <c r="F58" s="20" t="str">
        <f aca="false">IF(A58="","",SUMIFS(스냅샷!$C$2:$C$3000,스냅샷!$A$2:$A$3000,설정!$B$6,스냅샷!$B$2:$B$3000,A58))</f>
        <v/>
      </c>
      <c r="G58" s="20" t="str">
        <f aca="false">IF(A58="","",E58-F58)</f>
        <v/>
      </c>
    </row>
    <row r="59" customFormat="false" ht="15" hidden="false" customHeight="false" outlineLevel="0" collapsed="false">
      <c r="A59" s="46" t="str">
        <f aca="false">IF(계좌!$A15="","",계좌!A15)</f>
        <v/>
      </c>
      <c r="B59" s="46" t="str">
        <f aca="false">IF(계좌!$A15="","",계좌!B15)</f>
        <v/>
      </c>
      <c r="C59" s="46" t="str">
        <f aca="false">IF(계좌!$A15="","",계좌!D15)</f>
        <v/>
      </c>
      <c r="D59" s="46" t="str">
        <f aca="false">IF(계좌!$A15="","",계좌!E15)</f>
        <v/>
      </c>
      <c r="E59" s="20" t="str">
        <f aca="false">IF(A59="","",SUMIFS(스냅샷!$C$2:$C$3000,스냅샷!$A$2:$A$3000,설정!$B$3,스냅샷!$B$2:$B$3000,A59))</f>
        <v/>
      </c>
      <c r="F59" s="20" t="str">
        <f aca="false">IF(A59="","",SUMIFS(스냅샷!$C$2:$C$3000,스냅샷!$A$2:$A$3000,설정!$B$6,스냅샷!$B$2:$B$3000,A59))</f>
        <v/>
      </c>
      <c r="G59" s="20" t="str">
        <f aca="false">IF(A59="","",E59-F59)</f>
        <v/>
      </c>
    </row>
    <row r="60" customFormat="false" ht="15" hidden="false" customHeight="false" outlineLevel="0" collapsed="false">
      <c r="A60" s="46" t="str">
        <f aca="false">IF(계좌!$A16="","",계좌!A16)</f>
        <v/>
      </c>
      <c r="B60" s="46" t="str">
        <f aca="false">IF(계좌!$A16="","",계좌!B16)</f>
        <v/>
      </c>
      <c r="C60" s="46" t="str">
        <f aca="false">IF(계좌!$A16="","",계좌!D16)</f>
        <v/>
      </c>
      <c r="D60" s="46" t="str">
        <f aca="false">IF(계좌!$A16="","",계좌!E16)</f>
        <v/>
      </c>
      <c r="E60" s="20" t="str">
        <f aca="false">IF(A60="","",SUMIFS(스냅샷!$C$2:$C$3000,스냅샷!$A$2:$A$3000,설정!$B$3,스냅샷!$B$2:$B$3000,A60))</f>
        <v/>
      </c>
      <c r="F60" s="20" t="str">
        <f aca="false">IF(A60="","",SUMIFS(스냅샷!$C$2:$C$3000,스냅샷!$A$2:$A$3000,설정!$B$6,스냅샷!$B$2:$B$3000,A60))</f>
        <v/>
      </c>
      <c r="G60" s="20" t="str">
        <f aca="false">IF(A60="","",E60-F60)</f>
        <v/>
      </c>
    </row>
    <row r="61" customFormat="false" ht="15" hidden="false" customHeight="false" outlineLevel="0" collapsed="false">
      <c r="A61" s="46" t="str">
        <f aca="false">IF(계좌!$A17="","",계좌!A17)</f>
        <v/>
      </c>
      <c r="B61" s="46" t="str">
        <f aca="false">IF(계좌!$A17="","",계좌!B17)</f>
        <v/>
      </c>
      <c r="C61" s="46" t="str">
        <f aca="false">IF(계좌!$A17="","",계좌!D17)</f>
        <v/>
      </c>
      <c r="D61" s="46" t="str">
        <f aca="false">IF(계좌!$A17="","",계좌!E17)</f>
        <v/>
      </c>
      <c r="E61" s="20" t="str">
        <f aca="false">IF(A61="","",SUMIFS(스냅샷!$C$2:$C$3000,스냅샷!$A$2:$A$3000,설정!$B$3,스냅샷!$B$2:$B$3000,A61))</f>
        <v/>
      </c>
      <c r="F61" s="20" t="str">
        <f aca="false">IF(A61="","",SUMIFS(스냅샷!$C$2:$C$3000,스냅샷!$A$2:$A$3000,설정!$B$6,스냅샷!$B$2:$B$3000,A61))</f>
        <v/>
      </c>
      <c r="G61" s="20" t="str">
        <f aca="false">IF(A61="","",E61-F61)</f>
        <v/>
      </c>
    </row>
    <row r="62" customFormat="false" ht="15" hidden="false" customHeight="false" outlineLevel="0" collapsed="false">
      <c r="A62" s="46" t="str">
        <f aca="false">IF(계좌!$A18="","",계좌!A18)</f>
        <v/>
      </c>
      <c r="B62" s="46" t="str">
        <f aca="false">IF(계좌!$A18="","",계좌!B18)</f>
        <v/>
      </c>
      <c r="C62" s="46" t="str">
        <f aca="false">IF(계좌!$A18="","",계좌!D18)</f>
        <v/>
      </c>
      <c r="D62" s="46" t="str">
        <f aca="false">IF(계좌!$A18="","",계좌!E18)</f>
        <v/>
      </c>
      <c r="E62" s="20" t="str">
        <f aca="false">IF(A62="","",SUMIFS(스냅샷!$C$2:$C$3000,스냅샷!$A$2:$A$3000,설정!$B$3,스냅샷!$B$2:$B$3000,A62))</f>
        <v/>
      </c>
      <c r="F62" s="20" t="str">
        <f aca="false">IF(A62="","",SUMIFS(스냅샷!$C$2:$C$3000,스냅샷!$A$2:$A$3000,설정!$B$6,스냅샷!$B$2:$B$3000,A62))</f>
        <v/>
      </c>
      <c r="G62" s="20" t="str">
        <f aca="false">IF(A62="","",E62-F62)</f>
        <v/>
      </c>
    </row>
    <row r="63" customFormat="false" ht="15" hidden="false" customHeight="false" outlineLevel="0" collapsed="false">
      <c r="A63" s="46" t="str">
        <f aca="false">IF(계좌!$A19="","",계좌!A19)</f>
        <v/>
      </c>
      <c r="B63" s="46" t="str">
        <f aca="false">IF(계좌!$A19="","",계좌!B19)</f>
        <v/>
      </c>
      <c r="C63" s="46" t="str">
        <f aca="false">IF(계좌!$A19="","",계좌!D19)</f>
        <v/>
      </c>
      <c r="D63" s="46" t="str">
        <f aca="false">IF(계좌!$A19="","",계좌!E19)</f>
        <v/>
      </c>
      <c r="E63" s="20" t="str">
        <f aca="false">IF(A63="","",SUMIFS(스냅샷!$C$2:$C$3000,스냅샷!$A$2:$A$3000,설정!$B$3,스냅샷!$B$2:$B$3000,A63))</f>
        <v/>
      </c>
      <c r="F63" s="20" t="str">
        <f aca="false">IF(A63="","",SUMIFS(스냅샷!$C$2:$C$3000,스냅샷!$A$2:$A$3000,설정!$B$6,스냅샷!$B$2:$B$3000,A63))</f>
        <v/>
      </c>
      <c r="G63" s="20" t="str">
        <f aca="false">IF(A63="","",E63-F63)</f>
        <v/>
      </c>
    </row>
    <row r="64" customFormat="false" ht="15" hidden="false" customHeight="false" outlineLevel="0" collapsed="false">
      <c r="A64" s="46" t="str">
        <f aca="false">IF(계좌!$A20="","",계좌!A20)</f>
        <v/>
      </c>
      <c r="B64" s="46" t="str">
        <f aca="false">IF(계좌!$A20="","",계좌!B20)</f>
        <v/>
      </c>
      <c r="C64" s="46" t="str">
        <f aca="false">IF(계좌!$A20="","",계좌!D20)</f>
        <v/>
      </c>
      <c r="D64" s="46" t="str">
        <f aca="false">IF(계좌!$A20="","",계좌!E20)</f>
        <v/>
      </c>
      <c r="E64" s="20" t="str">
        <f aca="false">IF(A64="","",SUMIFS(스냅샷!$C$2:$C$3000,스냅샷!$A$2:$A$3000,설정!$B$3,스냅샷!$B$2:$B$3000,A64))</f>
        <v/>
      </c>
      <c r="F64" s="20" t="str">
        <f aca="false">IF(A64="","",SUMIFS(스냅샷!$C$2:$C$3000,스냅샷!$A$2:$A$3000,설정!$B$6,스냅샷!$B$2:$B$3000,A64))</f>
        <v/>
      </c>
      <c r="G64" s="20" t="str">
        <f aca="false">IF(A64="","",E64-F64)</f>
        <v/>
      </c>
    </row>
    <row r="65" customFormat="false" ht="15" hidden="false" customHeight="false" outlineLevel="0" collapsed="false">
      <c r="A65" s="46" t="str">
        <f aca="false">IF(계좌!$A21="","",계좌!A21)</f>
        <v/>
      </c>
      <c r="B65" s="46" t="str">
        <f aca="false">IF(계좌!$A21="","",계좌!B21)</f>
        <v/>
      </c>
      <c r="C65" s="46" t="str">
        <f aca="false">IF(계좌!$A21="","",계좌!D21)</f>
        <v/>
      </c>
      <c r="D65" s="46" t="str">
        <f aca="false">IF(계좌!$A21="","",계좌!E21)</f>
        <v/>
      </c>
      <c r="E65" s="20" t="str">
        <f aca="false">IF(A65="","",SUMIFS(스냅샷!$C$2:$C$3000,스냅샷!$A$2:$A$3000,설정!$B$3,스냅샷!$B$2:$B$3000,A65))</f>
        <v/>
      </c>
      <c r="F65" s="20" t="str">
        <f aca="false">IF(A65="","",SUMIFS(스냅샷!$C$2:$C$3000,스냅샷!$A$2:$A$3000,설정!$B$6,스냅샷!$B$2:$B$3000,A65))</f>
        <v/>
      </c>
      <c r="G65" s="20" t="str">
        <f aca="false">IF(A65="","",E65-F65)</f>
        <v/>
      </c>
    </row>
    <row r="66" customFormat="false" ht="15" hidden="false" customHeight="false" outlineLevel="0" collapsed="false">
      <c r="A66" s="46" t="str">
        <f aca="false">IF(계좌!$A22="","",계좌!A22)</f>
        <v/>
      </c>
      <c r="B66" s="46" t="str">
        <f aca="false">IF(계좌!$A22="","",계좌!B22)</f>
        <v/>
      </c>
      <c r="C66" s="46" t="str">
        <f aca="false">IF(계좌!$A22="","",계좌!D22)</f>
        <v/>
      </c>
      <c r="D66" s="46" t="str">
        <f aca="false">IF(계좌!$A22="","",계좌!E22)</f>
        <v/>
      </c>
      <c r="E66" s="20" t="str">
        <f aca="false">IF(A66="","",SUMIFS(스냅샷!$C$2:$C$3000,스냅샷!$A$2:$A$3000,설정!$B$3,스냅샷!$B$2:$B$3000,A66))</f>
        <v/>
      </c>
      <c r="F66" s="20" t="str">
        <f aca="false">IF(A66="","",SUMIFS(스냅샷!$C$2:$C$3000,스냅샷!$A$2:$A$3000,설정!$B$6,스냅샷!$B$2:$B$3000,A66))</f>
        <v/>
      </c>
      <c r="G66" s="20" t="str">
        <f aca="false">IF(A66="","",E66-F66)</f>
        <v/>
      </c>
    </row>
    <row r="67" customFormat="false" ht="15" hidden="false" customHeight="false" outlineLevel="0" collapsed="false">
      <c r="A67" s="46" t="str">
        <f aca="false">IF(계좌!$A23="","",계좌!A23)</f>
        <v/>
      </c>
      <c r="B67" s="46" t="str">
        <f aca="false">IF(계좌!$A23="","",계좌!B23)</f>
        <v/>
      </c>
      <c r="C67" s="46" t="str">
        <f aca="false">IF(계좌!$A23="","",계좌!D23)</f>
        <v/>
      </c>
      <c r="D67" s="46" t="str">
        <f aca="false">IF(계좌!$A23="","",계좌!E23)</f>
        <v/>
      </c>
      <c r="E67" s="20" t="str">
        <f aca="false">IF(A67="","",SUMIFS(스냅샷!$C$2:$C$3000,스냅샷!$A$2:$A$3000,설정!$B$3,스냅샷!$B$2:$B$3000,A67))</f>
        <v/>
      </c>
      <c r="F67" s="20" t="str">
        <f aca="false">IF(A67="","",SUMIFS(스냅샷!$C$2:$C$3000,스냅샷!$A$2:$A$3000,설정!$B$6,스냅샷!$B$2:$B$3000,A67))</f>
        <v/>
      </c>
      <c r="G67" s="20" t="str">
        <f aca="false">IF(A67="","",E67-F67)</f>
        <v/>
      </c>
    </row>
    <row r="68" customFormat="false" ht="15" hidden="false" customHeight="false" outlineLevel="0" collapsed="false">
      <c r="A68" s="46" t="str">
        <f aca="false">IF(계좌!$A24="","",계좌!A24)</f>
        <v/>
      </c>
      <c r="B68" s="46" t="str">
        <f aca="false">IF(계좌!$A24="","",계좌!B24)</f>
        <v/>
      </c>
      <c r="C68" s="46" t="str">
        <f aca="false">IF(계좌!$A24="","",계좌!D24)</f>
        <v/>
      </c>
      <c r="D68" s="46" t="str">
        <f aca="false">IF(계좌!$A24="","",계좌!E24)</f>
        <v/>
      </c>
      <c r="E68" s="20" t="str">
        <f aca="false">IF(A68="","",SUMIFS(스냅샷!$C$2:$C$3000,스냅샷!$A$2:$A$3000,설정!$B$3,스냅샷!$B$2:$B$3000,A68))</f>
        <v/>
      </c>
      <c r="F68" s="20" t="str">
        <f aca="false">IF(A68="","",SUMIFS(스냅샷!$C$2:$C$3000,스냅샷!$A$2:$A$3000,설정!$B$6,스냅샷!$B$2:$B$3000,A68))</f>
        <v/>
      </c>
      <c r="G68" s="20" t="str">
        <f aca="false">IF(A68="","",E68-F68)</f>
        <v/>
      </c>
    </row>
    <row r="69" customFormat="false" ht="15" hidden="false" customHeight="false" outlineLevel="0" collapsed="false">
      <c r="A69" s="46" t="str">
        <f aca="false">IF(계좌!$A25="","",계좌!A25)</f>
        <v/>
      </c>
      <c r="B69" s="46" t="str">
        <f aca="false">IF(계좌!$A25="","",계좌!B25)</f>
        <v/>
      </c>
      <c r="C69" s="46" t="str">
        <f aca="false">IF(계좌!$A25="","",계좌!D25)</f>
        <v/>
      </c>
      <c r="D69" s="46" t="str">
        <f aca="false">IF(계좌!$A25="","",계좌!E25)</f>
        <v/>
      </c>
      <c r="E69" s="20" t="str">
        <f aca="false">IF(A69="","",SUMIFS(스냅샷!$C$2:$C$3000,스냅샷!$A$2:$A$3000,설정!$B$3,스냅샷!$B$2:$B$3000,A69))</f>
        <v/>
      </c>
      <c r="F69" s="20" t="str">
        <f aca="false">IF(A69="","",SUMIFS(스냅샷!$C$2:$C$3000,스냅샷!$A$2:$A$3000,설정!$B$6,스냅샷!$B$2:$B$3000,A69))</f>
        <v/>
      </c>
      <c r="G69" s="20" t="str">
        <f aca="false">IF(A69="","",E69-F69)</f>
        <v/>
      </c>
    </row>
    <row r="70" customFormat="false" ht="15" hidden="false" customHeight="false" outlineLevel="0" collapsed="false">
      <c r="A70" s="46" t="str">
        <f aca="false">IF(계좌!$A26="","",계좌!A26)</f>
        <v/>
      </c>
      <c r="B70" s="46" t="str">
        <f aca="false">IF(계좌!$A26="","",계좌!B26)</f>
        <v/>
      </c>
      <c r="C70" s="46" t="str">
        <f aca="false">IF(계좌!$A26="","",계좌!D26)</f>
        <v/>
      </c>
      <c r="D70" s="46" t="str">
        <f aca="false">IF(계좌!$A26="","",계좌!E26)</f>
        <v/>
      </c>
      <c r="E70" s="20" t="str">
        <f aca="false">IF(A70="","",SUMIFS(스냅샷!$C$2:$C$3000,스냅샷!$A$2:$A$3000,설정!$B$3,스냅샷!$B$2:$B$3000,A70))</f>
        <v/>
      </c>
      <c r="F70" s="20" t="str">
        <f aca="false">IF(A70="","",SUMIFS(스냅샷!$C$2:$C$3000,스냅샷!$A$2:$A$3000,설정!$B$6,스냅샷!$B$2:$B$3000,A70))</f>
        <v/>
      </c>
      <c r="G70" s="20" t="str">
        <f aca="false">IF(A70="","",E70-F70)</f>
        <v/>
      </c>
    </row>
    <row r="71" customFormat="false" ht="15" hidden="false" customHeight="false" outlineLevel="0" collapsed="false">
      <c r="A71" s="46" t="str">
        <f aca="false">IF(계좌!$A27="","",계좌!A27)</f>
        <v/>
      </c>
      <c r="B71" s="46" t="str">
        <f aca="false">IF(계좌!$A27="","",계좌!B27)</f>
        <v/>
      </c>
      <c r="C71" s="46" t="str">
        <f aca="false">IF(계좌!$A27="","",계좌!D27)</f>
        <v/>
      </c>
      <c r="D71" s="46" t="str">
        <f aca="false">IF(계좌!$A27="","",계좌!E27)</f>
        <v/>
      </c>
      <c r="E71" s="20" t="str">
        <f aca="false">IF(A71="","",SUMIFS(스냅샷!$C$2:$C$3000,스냅샷!$A$2:$A$3000,설정!$B$3,스냅샷!$B$2:$B$3000,A71))</f>
        <v/>
      </c>
      <c r="F71" s="20" t="str">
        <f aca="false">IF(A71="","",SUMIFS(스냅샷!$C$2:$C$3000,스냅샷!$A$2:$A$3000,설정!$B$6,스냅샷!$B$2:$B$3000,A71))</f>
        <v/>
      </c>
      <c r="G71" s="20" t="str">
        <f aca="false">IF(A71="","",E71-F71)</f>
        <v/>
      </c>
    </row>
    <row r="72" customFormat="false" ht="15" hidden="false" customHeight="false" outlineLevel="0" collapsed="false">
      <c r="A72" s="46" t="str">
        <f aca="false">IF(계좌!$A28="","",계좌!A28)</f>
        <v/>
      </c>
      <c r="B72" s="46" t="str">
        <f aca="false">IF(계좌!$A28="","",계좌!B28)</f>
        <v/>
      </c>
      <c r="C72" s="46" t="str">
        <f aca="false">IF(계좌!$A28="","",계좌!D28)</f>
        <v/>
      </c>
      <c r="D72" s="46" t="str">
        <f aca="false">IF(계좌!$A28="","",계좌!E28)</f>
        <v/>
      </c>
      <c r="E72" s="20" t="str">
        <f aca="false">IF(A72="","",SUMIFS(스냅샷!$C$2:$C$3000,스냅샷!$A$2:$A$3000,설정!$B$3,스냅샷!$B$2:$B$3000,A72))</f>
        <v/>
      </c>
      <c r="F72" s="20" t="str">
        <f aca="false">IF(A72="","",SUMIFS(스냅샷!$C$2:$C$3000,스냅샷!$A$2:$A$3000,설정!$B$6,스냅샷!$B$2:$B$3000,A72))</f>
        <v/>
      </c>
      <c r="G72" s="20" t="str">
        <f aca="false">IF(A72="","",E72-F72)</f>
        <v/>
      </c>
    </row>
    <row r="73" customFormat="false" ht="15" hidden="false" customHeight="false" outlineLevel="0" collapsed="false">
      <c r="A73" s="46" t="str">
        <f aca="false">IF(계좌!$A29="","",계좌!A29)</f>
        <v/>
      </c>
      <c r="B73" s="46" t="str">
        <f aca="false">IF(계좌!$A29="","",계좌!B29)</f>
        <v/>
      </c>
      <c r="C73" s="46" t="str">
        <f aca="false">IF(계좌!$A29="","",계좌!D29)</f>
        <v/>
      </c>
      <c r="D73" s="46" t="str">
        <f aca="false">IF(계좌!$A29="","",계좌!E29)</f>
        <v/>
      </c>
      <c r="E73" s="20" t="str">
        <f aca="false">IF(A73="","",SUMIFS(스냅샷!$C$2:$C$3000,스냅샷!$A$2:$A$3000,설정!$B$3,스냅샷!$B$2:$B$3000,A73))</f>
        <v/>
      </c>
      <c r="F73" s="20" t="str">
        <f aca="false">IF(A73="","",SUMIFS(스냅샷!$C$2:$C$3000,스냅샷!$A$2:$A$3000,설정!$B$6,스냅샷!$B$2:$B$3000,A73))</f>
        <v/>
      </c>
      <c r="G73" s="20" t="str">
        <f aca="false">IF(A73="","",E73-F73)</f>
        <v/>
      </c>
    </row>
    <row r="74" customFormat="false" ht="15" hidden="false" customHeight="false" outlineLevel="0" collapsed="false">
      <c r="A74" s="46" t="str">
        <f aca="false">IF(계좌!$A30="","",계좌!A30)</f>
        <v/>
      </c>
      <c r="B74" s="46" t="str">
        <f aca="false">IF(계좌!$A30="","",계좌!B30)</f>
        <v/>
      </c>
      <c r="C74" s="46" t="str">
        <f aca="false">IF(계좌!$A30="","",계좌!D30)</f>
        <v/>
      </c>
      <c r="D74" s="46" t="str">
        <f aca="false">IF(계좌!$A30="","",계좌!E30)</f>
        <v/>
      </c>
      <c r="E74" s="20" t="str">
        <f aca="false">IF(A74="","",SUMIFS(스냅샷!$C$2:$C$3000,스냅샷!$A$2:$A$3000,설정!$B$3,스냅샷!$B$2:$B$3000,A74))</f>
        <v/>
      </c>
      <c r="F74" s="20" t="str">
        <f aca="false">IF(A74="","",SUMIFS(스냅샷!$C$2:$C$3000,스냅샷!$A$2:$A$3000,설정!$B$6,스냅샷!$B$2:$B$3000,A74))</f>
        <v/>
      </c>
      <c r="G74" s="20" t="str">
        <f aca="false">IF(A74="","",E74-F74)</f>
        <v/>
      </c>
    </row>
    <row r="75" customFormat="false" ht="15" hidden="false" customHeight="false" outlineLevel="0" collapsed="false">
      <c r="A75" s="46" t="str">
        <f aca="false">IF(계좌!$A31="","",계좌!A31)</f>
        <v/>
      </c>
      <c r="B75" s="46" t="str">
        <f aca="false">IF(계좌!$A31="","",계좌!B31)</f>
        <v/>
      </c>
      <c r="C75" s="46" t="str">
        <f aca="false">IF(계좌!$A31="","",계좌!D31)</f>
        <v/>
      </c>
      <c r="D75" s="46" t="str">
        <f aca="false">IF(계좌!$A31="","",계좌!E31)</f>
        <v/>
      </c>
      <c r="E75" s="20" t="str">
        <f aca="false">IF(A75="","",SUMIFS(스냅샷!$C$2:$C$3000,스냅샷!$A$2:$A$3000,설정!$B$3,스냅샷!$B$2:$B$3000,A75))</f>
        <v/>
      </c>
      <c r="F75" s="20" t="str">
        <f aca="false">IF(A75="","",SUMIFS(스냅샷!$C$2:$C$3000,스냅샷!$A$2:$A$3000,설정!$B$6,스냅샷!$B$2:$B$3000,A75))</f>
        <v/>
      </c>
      <c r="G75" s="20" t="str">
        <f aca="false">IF(A75="","",E75-F75)</f>
        <v/>
      </c>
    </row>
    <row r="76" customFormat="false" ht="15" hidden="false" customHeight="false" outlineLevel="0" collapsed="false">
      <c r="A76" s="46" t="str">
        <f aca="false">IF(계좌!$A32="","",계좌!A32)</f>
        <v/>
      </c>
      <c r="B76" s="46" t="str">
        <f aca="false">IF(계좌!$A32="","",계좌!B32)</f>
        <v/>
      </c>
      <c r="C76" s="46" t="str">
        <f aca="false">IF(계좌!$A32="","",계좌!D32)</f>
        <v/>
      </c>
      <c r="D76" s="46" t="str">
        <f aca="false">IF(계좌!$A32="","",계좌!E32)</f>
        <v/>
      </c>
      <c r="E76" s="20" t="str">
        <f aca="false">IF(A76="","",SUMIFS(스냅샷!$C$2:$C$3000,스냅샷!$A$2:$A$3000,설정!$B$3,스냅샷!$B$2:$B$3000,A76))</f>
        <v/>
      </c>
      <c r="F76" s="20" t="str">
        <f aca="false">IF(A76="","",SUMIFS(스냅샷!$C$2:$C$3000,스냅샷!$A$2:$A$3000,설정!$B$6,스냅샷!$B$2:$B$3000,A76))</f>
        <v/>
      </c>
      <c r="G76" s="20" t="str">
        <f aca="false">IF(A76="","",E76-F76)</f>
        <v/>
      </c>
    </row>
    <row r="77" customFormat="false" ht="15" hidden="false" customHeight="false" outlineLevel="0" collapsed="false">
      <c r="A77" s="46" t="str">
        <f aca="false">IF(계좌!$A33="","",계좌!A33)</f>
        <v/>
      </c>
      <c r="B77" s="46" t="str">
        <f aca="false">IF(계좌!$A33="","",계좌!B33)</f>
        <v/>
      </c>
      <c r="C77" s="46" t="str">
        <f aca="false">IF(계좌!$A33="","",계좌!D33)</f>
        <v/>
      </c>
      <c r="D77" s="46" t="str">
        <f aca="false">IF(계좌!$A33="","",계좌!E33)</f>
        <v/>
      </c>
      <c r="E77" s="20" t="str">
        <f aca="false">IF(A77="","",SUMIFS(스냅샷!$C$2:$C$3000,스냅샷!$A$2:$A$3000,설정!$B$3,스냅샷!$B$2:$B$3000,A77))</f>
        <v/>
      </c>
      <c r="F77" s="20" t="str">
        <f aca="false">IF(A77="","",SUMIFS(스냅샷!$C$2:$C$3000,스냅샷!$A$2:$A$3000,설정!$B$6,스냅샷!$B$2:$B$3000,A77))</f>
        <v/>
      </c>
      <c r="G77" s="20" t="str">
        <f aca="false">IF(A77="","",E77-F77)</f>
        <v/>
      </c>
    </row>
    <row r="78" customFormat="false" ht="15" hidden="false" customHeight="false" outlineLevel="0" collapsed="false">
      <c r="A78" s="46" t="str">
        <f aca="false">IF(계좌!$A34="","",계좌!A34)</f>
        <v/>
      </c>
      <c r="B78" s="46" t="str">
        <f aca="false">IF(계좌!$A34="","",계좌!B34)</f>
        <v/>
      </c>
      <c r="C78" s="46" t="str">
        <f aca="false">IF(계좌!$A34="","",계좌!D34)</f>
        <v/>
      </c>
      <c r="D78" s="46" t="str">
        <f aca="false">IF(계좌!$A34="","",계좌!E34)</f>
        <v/>
      </c>
      <c r="E78" s="20" t="str">
        <f aca="false">IF(A78="","",SUMIFS(스냅샷!$C$2:$C$3000,스냅샷!$A$2:$A$3000,설정!$B$3,스냅샷!$B$2:$B$3000,A78))</f>
        <v/>
      </c>
      <c r="F78" s="20" t="str">
        <f aca="false">IF(A78="","",SUMIFS(스냅샷!$C$2:$C$3000,스냅샷!$A$2:$A$3000,설정!$B$6,스냅샷!$B$2:$B$3000,A78))</f>
        <v/>
      </c>
      <c r="G78" s="20" t="str">
        <f aca="false">IF(A78="","",E78-F78)</f>
        <v/>
      </c>
    </row>
    <row r="79" customFormat="false" ht="15" hidden="false" customHeight="false" outlineLevel="0" collapsed="false">
      <c r="A79" s="46" t="str">
        <f aca="false">IF(계좌!$A35="","",계좌!A35)</f>
        <v/>
      </c>
      <c r="B79" s="46" t="str">
        <f aca="false">IF(계좌!$A35="","",계좌!B35)</f>
        <v/>
      </c>
      <c r="C79" s="46" t="str">
        <f aca="false">IF(계좌!$A35="","",계좌!D35)</f>
        <v/>
      </c>
      <c r="D79" s="46" t="str">
        <f aca="false">IF(계좌!$A35="","",계좌!E35)</f>
        <v/>
      </c>
      <c r="E79" s="20" t="str">
        <f aca="false">IF(A79="","",SUMIFS(스냅샷!$C$2:$C$3000,스냅샷!$A$2:$A$3000,설정!$B$3,스냅샷!$B$2:$B$3000,A79))</f>
        <v/>
      </c>
      <c r="F79" s="20" t="str">
        <f aca="false">IF(A79="","",SUMIFS(스냅샷!$C$2:$C$3000,스냅샷!$A$2:$A$3000,설정!$B$6,스냅샷!$B$2:$B$3000,A79))</f>
        <v/>
      </c>
      <c r="G79" s="20" t="str">
        <f aca="false">IF(A79="","",E79-F79)</f>
        <v/>
      </c>
    </row>
    <row r="80" customFormat="false" ht="15" hidden="false" customHeight="false" outlineLevel="0" collapsed="false">
      <c r="A80" s="46" t="str">
        <f aca="false">IF(계좌!$A36="","",계좌!A36)</f>
        <v/>
      </c>
      <c r="B80" s="46" t="str">
        <f aca="false">IF(계좌!$A36="","",계좌!B36)</f>
        <v/>
      </c>
      <c r="C80" s="46" t="str">
        <f aca="false">IF(계좌!$A36="","",계좌!D36)</f>
        <v/>
      </c>
      <c r="D80" s="46" t="str">
        <f aca="false">IF(계좌!$A36="","",계좌!E36)</f>
        <v/>
      </c>
      <c r="E80" s="20" t="str">
        <f aca="false">IF(A80="","",SUMIFS(스냅샷!$C$2:$C$3000,스냅샷!$A$2:$A$3000,설정!$B$3,스냅샷!$B$2:$B$3000,A80))</f>
        <v/>
      </c>
      <c r="F80" s="20" t="str">
        <f aca="false">IF(A80="","",SUMIFS(스냅샷!$C$2:$C$3000,스냅샷!$A$2:$A$3000,설정!$B$6,스냅샷!$B$2:$B$3000,A80))</f>
        <v/>
      </c>
      <c r="G80" s="20" t="str">
        <f aca="false">IF(A80="","",E80-F80)</f>
        <v/>
      </c>
    </row>
    <row r="81" customFormat="false" ht="15" hidden="false" customHeight="false" outlineLevel="0" collapsed="false">
      <c r="A81" s="46" t="str">
        <f aca="false">IF(계좌!$A37="","",계좌!A37)</f>
        <v/>
      </c>
      <c r="B81" s="46" t="str">
        <f aca="false">IF(계좌!$A37="","",계좌!B37)</f>
        <v/>
      </c>
      <c r="C81" s="46" t="str">
        <f aca="false">IF(계좌!$A37="","",계좌!D37)</f>
        <v/>
      </c>
      <c r="D81" s="46" t="str">
        <f aca="false">IF(계좌!$A37="","",계좌!E37)</f>
        <v/>
      </c>
      <c r="E81" s="20" t="str">
        <f aca="false">IF(A81="","",SUMIFS(스냅샷!$C$2:$C$3000,스냅샷!$A$2:$A$3000,설정!$B$3,스냅샷!$B$2:$B$3000,A81))</f>
        <v/>
      </c>
      <c r="F81" s="20" t="str">
        <f aca="false">IF(A81="","",SUMIFS(스냅샷!$C$2:$C$3000,스냅샷!$A$2:$A$3000,설정!$B$6,스냅샷!$B$2:$B$3000,A81))</f>
        <v/>
      </c>
      <c r="G81" s="20" t="str">
        <f aca="false">IF(A81="","",E81-F81)</f>
        <v/>
      </c>
    </row>
    <row r="82" customFormat="false" ht="15" hidden="false" customHeight="false" outlineLevel="0" collapsed="false">
      <c r="A82" s="46" t="str">
        <f aca="false">IF(계좌!$A38="","",계좌!A38)</f>
        <v/>
      </c>
      <c r="B82" s="46" t="str">
        <f aca="false">IF(계좌!$A38="","",계좌!B38)</f>
        <v/>
      </c>
      <c r="C82" s="46" t="str">
        <f aca="false">IF(계좌!$A38="","",계좌!D38)</f>
        <v/>
      </c>
      <c r="D82" s="46" t="str">
        <f aca="false">IF(계좌!$A38="","",계좌!E38)</f>
        <v/>
      </c>
      <c r="E82" s="20" t="str">
        <f aca="false">IF(A82="","",SUMIFS(스냅샷!$C$2:$C$3000,스냅샷!$A$2:$A$3000,설정!$B$3,스냅샷!$B$2:$B$3000,A82))</f>
        <v/>
      </c>
      <c r="F82" s="20" t="str">
        <f aca="false">IF(A82="","",SUMIFS(스냅샷!$C$2:$C$3000,스냅샷!$A$2:$A$3000,설정!$B$6,스냅샷!$B$2:$B$3000,A82))</f>
        <v/>
      </c>
      <c r="G82" s="20" t="str">
        <f aca="false">IF(A82="","",E82-F82)</f>
        <v/>
      </c>
    </row>
    <row r="83" customFormat="false" ht="15" hidden="false" customHeight="false" outlineLevel="0" collapsed="false">
      <c r="A83" s="46" t="str">
        <f aca="false">IF(계좌!$A39="","",계좌!A39)</f>
        <v/>
      </c>
      <c r="B83" s="46" t="str">
        <f aca="false">IF(계좌!$A39="","",계좌!B39)</f>
        <v/>
      </c>
      <c r="C83" s="46" t="str">
        <f aca="false">IF(계좌!$A39="","",계좌!D39)</f>
        <v/>
      </c>
      <c r="D83" s="46" t="str">
        <f aca="false">IF(계좌!$A39="","",계좌!E39)</f>
        <v/>
      </c>
      <c r="E83" s="20" t="str">
        <f aca="false">IF(A83="","",SUMIFS(스냅샷!$C$2:$C$3000,스냅샷!$A$2:$A$3000,설정!$B$3,스냅샷!$B$2:$B$3000,A83))</f>
        <v/>
      </c>
      <c r="F83" s="20" t="str">
        <f aca="false">IF(A83="","",SUMIFS(스냅샷!$C$2:$C$3000,스냅샷!$A$2:$A$3000,설정!$B$6,스냅샷!$B$2:$B$3000,A83))</f>
        <v/>
      </c>
      <c r="G83" s="20" t="str">
        <f aca="false">IF(A83="","",E83-F83)</f>
        <v/>
      </c>
    </row>
    <row r="84" customFormat="false" ht="15" hidden="false" customHeight="false" outlineLevel="0" collapsed="false">
      <c r="A84" s="46" t="str">
        <f aca="false">IF(계좌!$A40="","",계좌!A40)</f>
        <v/>
      </c>
      <c r="B84" s="46" t="str">
        <f aca="false">IF(계좌!$A40="","",계좌!B40)</f>
        <v/>
      </c>
      <c r="C84" s="46" t="str">
        <f aca="false">IF(계좌!$A40="","",계좌!D40)</f>
        <v/>
      </c>
      <c r="D84" s="46" t="str">
        <f aca="false">IF(계좌!$A40="","",계좌!E40)</f>
        <v/>
      </c>
      <c r="E84" s="20" t="str">
        <f aca="false">IF(A84="","",SUMIFS(스냅샷!$C$2:$C$3000,스냅샷!$A$2:$A$3000,설정!$B$3,스냅샷!$B$2:$B$3000,A84))</f>
        <v/>
      </c>
      <c r="F84" s="20" t="str">
        <f aca="false">IF(A84="","",SUMIFS(스냅샷!$C$2:$C$3000,스냅샷!$A$2:$A$3000,설정!$B$6,스냅샷!$B$2:$B$3000,A84))</f>
        <v/>
      </c>
      <c r="G84" s="20" t="str">
        <f aca="false">IF(A84="","",E84-F84)</f>
        <v/>
      </c>
    </row>
    <row r="85" customFormat="false" ht="15" hidden="false" customHeight="false" outlineLevel="0" collapsed="false">
      <c r="A85" s="46" t="str">
        <f aca="false">IF(계좌!$A41="","",계좌!A41)</f>
        <v/>
      </c>
      <c r="B85" s="46" t="str">
        <f aca="false">IF(계좌!$A41="","",계좌!B41)</f>
        <v/>
      </c>
      <c r="C85" s="46" t="str">
        <f aca="false">IF(계좌!$A41="","",계좌!D41)</f>
        <v/>
      </c>
      <c r="D85" s="46" t="str">
        <f aca="false">IF(계좌!$A41="","",계좌!E41)</f>
        <v/>
      </c>
      <c r="E85" s="20" t="str">
        <f aca="false">IF(A85="","",SUMIFS(스냅샷!$C$2:$C$3000,스냅샷!$A$2:$A$3000,설정!$B$3,스냅샷!$B$2:$B$3000,A85))</f>
        <v/>
      </c>
      <c r="F85" s="20" t="str">
        <f aca="false">IF(A85="","",SUMIFS(스냅샷!$C$2:$C$3000,스냅샷!$A$2:$A$3000,설정!$B$6,스냅샷!$B$2:$B$3000,A85))</f>
        <v/>
      </c>
      <c r="G85" s="20" t="str">
        <f aca="false">IF(A85="","",E85-F85)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20.85" hidden="false" customHeight="false" outlineLevel="0" collapsed="false">
      <c r="A1" s="34" t="s">
        <v>308</v>
      </c>
    </row>
    <row r="2" customFormat="false" ht="15" hidden="false" customHeight="false" outlineLevel="0" collapsed="false">
      <c r="A2" s="33" t="s">
        <v>309</v>
      </c>
    </row>
    <row r="3" customFormat="false" ht="15" hidden="false" customHeight="false" outlineLevel="0" collapsed="false">
      <c r="A3" s="43" t="s">
        <v>310</v>
      </c>
      <c r="B3" s="44"/>
    </row>
    <row r="4" customFormat="false" ht="15" hidden="false" customHeight="false" outlineLevel="0" collapsed="false">
      <c r="A4" s="36" t="s">
        <v>311</v>
      </c>
      <c r="B4" s="20" t="n">
        <f aca="false">재무상태표!B16</f>
        <v>0</v>
      </c>
    </row>
    <row r="5" customFormat="false" ht="15" hidden="false" customHeight="false" outlineLevel="0" collapsed="false">
      <c r="A5" s="36" t="s">
        <v>312</v>
      </c>
      <c r="B5" s="20" t="n">
        <f aca="false">(손익!N5+손익!N7+손익!N8)/12</f>
        <v>0</v>
      </c>
    </row>
    <row r="6" customFormat="false" ht="15" hidden="false" customHeight="false" outlineLevel="0" collapsed="false">
      <c r="A6" s="36" t="s">
        <v>313</v>
      </c>
      <c r="B6" s="20" t="n">
        <f aca="false">(손익!N17+손익!N27)/12</f>
        <v>0</v>
      </c>
    </row>
    <row r="7" customFormat="false" ht="15" hidden="false" customHeight="false" outlineLevel="0" collapsed="false">
      <c r="A7" s="36" t="s">
        <v>314</v>
      </c>
      <c r="B7" s="20" t="n">
        <f aca="false">손익!P44</f>
        <v>0</v>
      </c>
    </row>
    <row r="8" customFormat="false" ht="15" hidden="false" customHeight="false" outlineLevel="0" collapsed="false">
      <c r="A8" s="36" t="s">
        <v>315</v>
      </c>
      <c r="B8" s="20" t="n">
        <f aca="false">설정!$B$18</f>
        <v>3000000</v>
      </c>
    </row>
    <row r="10" customFormat="false" ht="15" hidden="false" customHeight="false" outlineLevel="0" collapsed="false">
      <c r="A10" s="32" t="s">
        <v>59</v>
      </c>
      <c r="B10" s="32" t="s">
        <v>316</v>
      </c>
      <c r="C10" s="32" t="s">
        <v>317</v>
      </c>
      <c r="D10" s="32" t="s">
        <v>318</v>
      </c>
      <c r="E10" s="32" t="s">
        <v>319</v>
      </c>
      <c r="F10" s="32" t="s">
        <v>320</v>
      </c>
      <c r="G10" s="32" t="s">
        <v>321</v>
      </c>
      <c r="H10" s="32" t="s">
        <v>322</v>
      </c>
      <c r="I10" s="32" t="s">
        <v>25</v>
      </c>
      <c r="J10" s="35" t="s">
        <v>87</v>
      </c>
    </row>
    <row r="11" customFormat="false" ht="15" hidden="false" customHeight="false" outlineLevel="0" collapsed="false">
      <c r="A11" s="19" t="str">
        <f aca="false">TEXT(EDATE(DATEVALUE(설정!$B$3&amp;"-01"),1),"yyyy-mm")</f>
        <v>2026-10</v>
      </c>
      <c r="B11" s="20" t="n">
        <f aca="false">$B$5</f>
        <v>0</v>
      </c>
      <c r="C11" s="20" t="n">
        <f aca="false">SUMIFS(일정!$D$4:$D$63,일정!$F$4:$F$63,A11,일정!$C$4:$C$63,"유입",일정!$E$4:$E$63,설정!$B$5)</f>
        <v>0</v>
      </c>
      <c r="D11" s="20" t="n">
        <f aca="false">$B$6</f>
        <v>0</v>
      </c>
      <c r="E11" s="20" t="n">
        <f aca="false">$B$7</f>
        <v>0</v>
      </c>
      <c r="F11" s="20" t="n">
        <f aca="false">SUMIFS(일정!$D$4:$D$63,일정!$F$4:$F$63,A11,일정!$C$4:$C$63,"유출",일정!$E$4:$E$63,설정!$B$5)</f>
        <v>0</v>
      </c>
      <c r="G11" s="20" t="n">
        <f aca="false">B11+C11-D11-E11-F11</f>
        <v>0</v>
      </c>
      <c r="H11" s="21" t="n">
        <f aca="false">$B$4+G11</f>
        <v>0</v>
      </c>
      <c r="I11" s="24" t="str">
        <f aca="false">IF(H11&lt;$B$8,"🔴 부족","✅ 정상")</f>
        <v>🔴 부족</v>
      </c>
      <c r="J11" s="39" t="str">
        <f aca="false">IF(H11&lt;$B$8,A11&amp;" "&amp;TEXT(H11,"#,##0")&amp;"원","")</f>
        <v>2026-10 0원</v>
      </c>
    </row>
    <row r="12" customFormat="false" ht="15" hidden="false" customHeight="false" outlineLevel="0" collapsed="false">
      <c r="A12" s="19" t="str">
        <f aca="false">TEXT(EDATE(DATEVALUE(설정!$B$3&amp;"-01"),2),"yyyy-mm")</f>
        <v>2026-11</v>
      </c>
      <c r="B12" s="20" t="n">
        <f aca="false">$B$5</f>
        <v>0</v>
      </c>
      <c r="C12" s="20" t="n">
        <f aca="false">SUMIFS(일정!$D$4:$D$63,일정!$F$4:$F$63,A12,일정!$C$4:$C$63,"유입",일정!$E$4:$E$63,설정!$B$5)</f>
        <v>0</v>
      </c>
      <c r="D12" s="20" t="n">
        <f aca="false">$B$6</f>
        <v>0</v>
      </c>
      <c r="E12" s="20" t="n">
        <f aca="false">$B$7</f>
        <v>0</v>
      </c>
      <c r="F12" s="20" t="n">
        <f aca="false">SUMIFS(일정!$D$4:$D$63,일정!$F$4:$F$63,A12,일정!$C$4:$C$63,"유출",일정!$E$4:$E$63,설정!$B$5)</f>
        <v>0</v>
      </c>
      <c r="G12" s="20" t="n">
        <f aca="false">B12+C12-D12-E12-F12</f>
        <v>0</v>
      </c>
      <c r="H12" s="21" t="n">
        <f aca="false">H11+G12</f>
        <v>0</v>
      </c>
      <c r="I12" s="24" t="str">
        <f aca="false">IF(H12&lt;$B$8,"🔴 부족","✅ 정상")</f>
        <v>🔴 부족</v>
      </c>
      <c r="J12" s="39" t="str">
        <f aca="false">IF(H12&lt;$B$8,A12&amp;" "&amp;TEXT(H12,"#,##0")&amp;"원","")</f>
        <v>2026-11 0원</v>
      </c>
    </row>
    <row r="13" customFormat="false" ht="15" hidden="false" customHeight="false" outlineLevel="0" collapsed="false">
      <c r="A13" s="19" t="str">
        <f aca="false">TEXT(EDATE(DATEVALUE(설정!$B$3&amp;"-01"),3),"yyyy-mm")</f>
        <v>2026-12</v>
      </c>
      <c r="B13" s="20" t="n">
        <f aca="false">$B$5</f>
        <v>0</v>
      </c>
      <c r="C13" s="20" t="n">
        <f aca="false">SUMIFS(일정!$D$4:$D$63,일정!$F$4:$F$63,A13,일정!$C$4:$C$63,"유입",일정!$E$4:$E$63,설정!$B$5)</f>
        <v>0</v>
      </c>
      <c r="D13" s="20" t="n">
        <f aca="false">$B$6</f>
        <v>0</v>
      </c>
      <c r="E13" s="20" t="n">
        <f aca="false">$B$7</f>
        <v>0</v>
      </c>
      <c r="F13" s="20" t="n">
        <f aca="false">SUMIFS(일정!$D$4:$D$63,일정!$F$4:$F$63,A13,일정!$C$4:$C$63,"유출",일정!$E$4:$E$63,설정!$B$5)</f>
        <v>0</v>
      </c>
      <c r="G13" s="20" t="n">
        <f aca="false">B13+C13-D13-E13-F13</f>
        <v>0</v>
      </c>
      <c r="H13" s="21" t="n">
        <f aca="false">H12+G13</f>
        <v>0</v>
      </c>
      <c r="I13" s="24" t="str">
        <f aca="false">IF(H13&lt;$B$8,"🔴 부족","✅ 정상")</f>
        <v>🔴 부족</v>
      </c>
      <c r="J13" s="39" t="str">
        <f aca="false">IF(H13&lt;$B$8,A13&amp;" "&amp;TEXT(H13,"#,##0")&amp;"원","")</f>
        <v>2026-12 0원</v>
      </c>
    </row>
    <row r="14" customFormat="false" ht="15" hidden="false" customHeight="false" outlineLevel="0" collapsed="false">
      <c r="A14" s="19" t="str">
        <f aca="false">TEXT(EDATE(DATEVALUE(설정!$B$3&amp;"-01"),4),"yyyy-mm")</f>
        <v>2027-01</v>
      </c>
      <c r="B14" s="20" t="n">
        <f aca="false">$B$5</f>
        <v>0</v>
      </c>
      <c r="C14" s="20" t="n">
        <f aca="false">SUMIFS(일정!$D$4:$D$63,일정!$F$4:$F$63,A14,일정!$C$4:$C$63,"유입",일정!$E$4:$E$63,설정!$B$5)</f>
        <v>0</v>
      </c>
      <c r="D14" s="20" t="n">
        <f aca="false">$B$6</f>
        <v>0</v>
      </c>
      <c r="E14" s="20" t="n">
        <f aca="false">$B$7</f>
        <v>0</v>
      </c>
      <c r="F14" s="20" t="n">
        <f aca="false">SUMIFS(일정!$D$4:$D$63,일정!$F$4:$F$63,A14,일정!$C$4:$C$63,"유출",일정!$E$4:$E$63,설정!$B$5)</f>
        <v>0</v>
      </c>
      <c r="G14" s="20" t="n">
        <f aca="false">B14+C14-D14-E14-F14</f>
        <v>0</v>
      </c>
      <c r="H14" s="21" t="n">
        <f aca="false">H13+G14</f>
        <v>0</v>
      </c>
      <c r="I14" s="24" t="str">
        <f aca="false">IF(H14&lt;$B$8,"🔴 부족","✅ 정상")</f>
        <v>🔴 부족</v>
      </c>
      <c r="J14" s="39" t="str">
        <f aca="false">IF(H14&lt;$B$8,A14&amp;" "&amp;TEXT(H14,"#,##0")&amp;"원","")</f>
        <v>2027-01 0원</v>
      </c>
    </row>
    <row r="15" customFormat="false" ht="15" hidden="false" customHeight="false" outlineLevel="0" collapsed="false">
      <c r="A15" s="19" t="str">
        <f aca="false">TEXT(EDATE(DATEVALUE(설정!$B$3&amp;"-01"),5),"yyyy-mm")</f>
        <v>2027-02</v>
      </c>
      <c r="B15" s="20" t="n">
        <f aca="false">$B$5</f>
        <v>0</v>
      </c>
      <c r="C15" s="20" t="n">
        <f aca="false">SUMIFS(일정!$D$4:$D$63,일정!$F$4:$F$63,A15,일정!$C$4:$C$63,"유입",일정!$E$4:$E$63,설정!$B$5)</f>
        <v>0</v>
      </c>
      <c r="D15" s="20" t="n">
        <f aca="false">$B$6</f>
        <v>0</v>
      </c>
      <c r="E15" s="20" t="n">
        <f aca="false">$B$7</f>
        <v>0</v>
      </c>
      <c r="F15" s="20" t="n">
        <f aca="false">SUMIFS(일정!$D$4:$D$63,일정!$F$4:$F$63,A15,일정!$C$4:$C$63,"유출",일정!$E$4:$E$63,설정!$B$5)</f>
        <v>0</v>
      </c>
      <c r="G15" s="20" t="n">
        <f aca="false">B15+C15-D15-E15-F15</f>
        <v>0</v>
      </c>
      <c r="H15" s="21" t="n">
        <f aca="false">H14+G15</f>
        <v>0</v>
      </c>
      <c r="I15" s="24" t="str">
        <f aca="false">IF(H15&lt;$B$8,"🔴 부족","✅ 정상")</f>
        <v>🔴 부족</v>
      </c>
      <c r="J15" s="39" t="str">
        <f aca="false">IF(H15&lt;$B$8,A15&amp;" "&amp;TEXT(H15,"#,##0")&amp;"원","")</f>
        <v>2027-02 0원</v>
      </c>
    </row>
    <row r="16" customFormat="false" ht="15" hidden="false" customHeight="false" outlineLevel="0" collapsed="false">
      <c r="A16" s="19" t="str">
        <f aca="false">TEXT(EDATE(DATEVALUE(설정!$B$3&amp;"-01"),6),"yyyy-mm")</f>
        <v>2027-03</v>
      </c>
      <c r="B16" s="20" t="n">
        <f aca="false">$B$5</f>
        <v>0</v>
      </c>
      <c r="C16" s="20" t="n">
        <f aca="false">SUMIFS(일정!$D$4:$D$63,일정!$F$4:$F$63,A16,일정!$C$4:$C$63,"유입",일정!$E$4:$E$63,설정!$B$5)</f>
        <v>0</v>
      </c>
      <c r="D16" s="20" t="n">
        <f aca="false">$B$6</f>
        <v>0</v>
      </c>
      <c r="E16" s="20" t="n">
        <f aca="false">$B$7</f>
        <v>0</v>
      </c>
      <c r="F16" s="20" t="n">
        <f aca="false">SUMIFS(일정!$D$4:$D$63,일정!$F$4:$F$63,A16,일정!$C$4:$C$63,"유출",일정!$E$4:$E$63,설정!$B$5)</f>
        <v>0</v>
      </c>
      <c r="G16" s="20" t="n">
        <f aca="false">B16+C16-D16-E16-F16</f>
        <v>0</v>
      </c>
      <c r="H16" s="21" t="n">
        <f aca="false">H15+G16</f>
        <v>0</v>
      </c>
      <c r="I16" s="24" t="str">
        <f aca="false">IF(H16&lt;$B$8,"🔴 부족","✅ 정상")</f>
        <v>🔴 부족</v>
      </c>
      <c r="J16" s="39" t="str">
        <f aca="false">IF(H16&lt;$B$8,A16&amp;" "&amp;TEXT(H16,"#,##0")&amp;"원","")</f>
        <v>2027-03 0원</v>
      </c>
    </row>
  </sheetData>
  <conditionalFormatting sqref="I11:I16">
    <cfRule type="expression" priority="2" aboveAverage="0" equalAverage="0" bottom="0" percent="0" rank="0" text="" dxfId="0">
      <formula>OR(ISNUMBER(SEARCH("초과",I11)),ISNUMBER(SEARCH("부족",I11)),ISNUMBER(SEARCH("공백",I11)))</formula>
    </cfRule>
    <cfRule type="expression" priority="3" aboveAverage="0" equalAverage="0" bottom="0" percent="0" rank="0" text="" dxfId="1">
      <formula>OR(ISNUMBER(SEARCH("주의",I11)),ISNUMBER(SEARCH("미달",I11)),ISNUMBER(SEARCH("지연",I11)),ISNUMBER(SEARCH("리밸런싱",I11)),ISNUMBER(SEARCH("감소",I11)))</formula>
    </cfRule>
    <cfRule type="expression" priority="4" aboveAverage="0" equalAverage="0" bottom="0" percent="0" rank="0" text="" dxfId="2">
      <formula>OR(ISNUMBER(SEARCH("양호",I11)),ISNUMBER(SEARCH("달성",I11)),ISNUMBER(SEARCH("순항",I11)),ISNUMBER(SEARCH("정상",I11)),ISNUMBER(SEARCH("증가",I11)),ISNUMBER(SEARCH("보장",I11)),ISNUMBER(SEARCH("적정",I11)))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12" min="5" style="0" width="11"/>
  </cols>
  <sheetData>
    <row r="1" customFormat="false" ht="19.7" hidden="false" customHeight="false" outlineLevel="0" collapsed="false">
      <c r="A1" s="34" t="s">
        <v>323</v>
      </c>
    </row>
    <row r="2" customFormat="false" ht="15" hidden="false" customHeight="false" outlineLevel="0" collapsed="false">
      <c r="A2" s="32" t="s">
        <v>106</v>
      </c>
      <c r="B2" s="32" t="s">
        <v>324</v>
      </c>
      <c r="C2" s="32" t="s">
        <v>325</v>
      </c>
      <c r="E2" s="32" t="s">
        <v>19</v>
      </c>
      <c r="F2" s="32" t="s">
        <v>3</v>
      </c>
      <c r="G2" s="32" t="s">
        <v>326</v>
      </c>
      <c r="H2" s="32" t="s">
        <v>75</v>
      </c>
      <c r="I2" s="32" t="s">
        <v>81</v>
      </c>
      <c r="J2" s="32" t="s">
        <v>327</v>
      </c>
      <c r="K2" s="32" t="s">
        <v>328</v>
      </c>
      <c r="L2" s="32" t="s">
        <v>329</v>
      </c>
    </row>
    <row r="3" customFormat="false" ht="15" hidden="false" customHeight="false" outlineLevel="0" collapsed="false">
      <c r="A3" s="36" t="s">
        <v>306</v>
      </c>
      <c r="B3" s="46" t="str">
        <f aca="false">IF(ISNUMBER(대시보드!$C$4),TEXT(대시보드!$C$4,"yyyy-mm"),TRIM(대시보드!$C$4))</f>
        <v>2026-09</v>
      </c>
      <c r="C3" s="64" t="s">
        <v>330</v>
      </c>
      <c r="E3" s="36" t="s">
        <v>183</v>
      </c>
      <c r="F3" s="36" t="s">
        <v>4</v>
      </c>
      <c r="G3" s="36" t="s">
        <v>92</v>
      </c>
      <c r="H3" s="36" t="s">
        <v>331</v>
      </c>
      <c r="I3" s="36" t="s">
        <v>89</v>
      </c>
      <c r="J3" s="36" t="s">
        <v>59</v>
      </c>
      <c r="K3" s="36" t="s">
        <v>332</v>
      </c>
      <c r="L3" s="36" t="s">
        <v>183</v>
      </c>
    </row>
    <row r="4" customFormat="false" ht="15" hidden="false" customHeight="false" outlineLevel="0" collapsed="false">
      <c r="A4" s="36" t="s">
        <v>333</v>
      </c>
      <c r="B4" s="46" t="str">
        <f aca="false">대시보드!$E$4</f>
        <v>전체</v>
      </c>
      <c r="C4" s="64" t="s">
        <v>334</v>
      </c>
      <c r="E4" s="36" t="s">
        <v>184</v>
      </c>
      <c r="F4" s="36" t="s">
        <v>183</v>
      </c>
      <c r="G4" s="36" t="s">
        <v>335</v>
      </c>
      <c r="H4" s="46" t="s">
        <v>336</v>
      </c>
      <c r="I4" s="36" t="s">
        <v>90</v>
      </c>
      <c r="J4" s="36" t="s">
        <v>221</v>
      </c>
      <c r="K4" s="36" t="s">
        <v>337</v>
      </c>
      <c r="L4" s="36" t="s">
        <v>184</v>
      </c>
    </row>
    <row r="5" customFormat="false" ht="15" hidden="false" customHeight="false" outlineLevel="0" collapsed="false">
      <c r="A5" s="36" t="s">
        <v>338</v>
      </c>
      <c r="B5" s="46" t="str">
        <f aca="false">IF(B4="전체","*",B4)</f>
        <v>*</v>
      </c>
      <c r="C5" s="64" t="s">
        <v>339</v>
      </c>
      <c r="E5" s="36" t="s">
        <v>164</v>
      </c>
      <c r="F5" s="36" t="s">
        <v>184</v>
      </c>
      <c r="G5" s="36" t="s">
        <v>340</v>
      </c>
      <c r="H5" s="36" t="s">
        <v>341</v>
      </c>
      <c r="I5" s="36" t="s">
        <v>91</v>
      </c>
      <c r="K5" s="36" t="s">
        <v>195</v>
      </c>
      <c r="L5" s="36" t="s">
        <v>164</v>
      </c>
    </row>
    <row r="6" customFormat="false" ht="15" hidden="false" customHeight="false" outlineLevel="0" collapsed="false">
      <c r="A6" s="36" t="s">
        <v>307</v>
      </c>
      <c r="B6" s="46" t="str">
        <f aca="false">TEXT(EDATE(DATEVALUE(B3&amp;"-01"),-1),"yyyy-mm")</f>
        <v>2026-08</v>
      </c>
      <c r="C6" s="64" t="s">
        <v>342</v>
      </c>
      <c r="E6" s="36" t="s">
        <v>185</v>
      </c>
      <c r="F6" s="36" t="s">
        <v>164</v>
      </c>
      <c r="G6" s="36" t="s">
        <v>343</v>
      </c>
      <c r="I6" s="36" t="s">
        <v>92</v>
      </c>
    </row>
    <row r="7" customFormat="false" ht="15" hidden="false" customHeight="false" outlineLevel="0" collapsed="false">
      <c r="A7" s="36" t="s">
        <v>344</v>
      </c>
      <c r="B7" s="65" t="n">
        <f aca="false">VALUE(SUBSTITUTE(B3,"-",""))</f>
        <v>202609</v>
      </c>
      <c r="C7" s="64" t="s">
        <v>345</v>
      </c>
      <c r="G7" s="36" t="s">
        <v>346</v>
      </c>
      <c r="I7" s="36" t="s">
        <v>93</v>
      </c>
    </row>
    <row r="8" customFormat="false" ht="15" hidden="false" customHeight="false" outlineLevel="0" collapsed="false">
      <c r="A8" s="36" t="s">
        <v>347</v>
      </c>
      <c r="B8" s="65" t="n">
        <f aca="false">INT(B7/100)*100+1</f>
        <v>202601</v>
      </c>
      <c r="C8" s="64" t="s">
        <v>348</v>
      </c>
      <c r="G8" s="36" t="s">
        <v>21</v>
      </c>
    </row>
    <row r="9" customFormat="false" ht="15" hidden="false" customHeight="false" outlineLevel="0" collapsed="false">
      <c r="A9" s="36" t="s">
        <v>349</v>
      </c>
      <c r="B9" s="65" t="n">
        <f aca="false">MOD(B7,100)</f>
        <v>9</v>
      </c>
      <c r="C9" s="64" t="s">
        <v>350</v>
      </c>
    </row>
    <row r="10" customFormat="false" ht="15" hidden="false" customHeight="false" outlineLevel="0" collapsed="false">
      <c r="A10" s="36" t="s">
        <v>5</v>
      </c>
      <c r="B10" s="66" t="n">
        <f aca="true">TODAY()</f>
        <v>46306</v>
      </c>
      <c r="C10" s="64" t="s">
        <v>351</v>
      </c>
    </row>
    <row r="11" customFormat="false" ht="15" hidden="false" customHeight="false" outlineLevel="0" collapsed="false">
      <c r="A11" s="43" t="s">
        <v>352</v>
      </c>
      <c r="B11" s="44"/>
      <c r="C11" s="44"/>
    </row>
    <row r="12" customFormat="false" ht="15" hidden="false" customHeight="false" outlineLevel="0" collapsed="false">
      <c r="A12" s="36" t="s">
        <v>353</v>
      </c>
      <c r="B12" s="37" t="n">
        <v>0.3</v>
      </c>
      <c r="C12" s="39" t="s">
        <v>354</v>
      </c>
    </row>
    <row r="13" customFormat="false" ht="15" hidden="false" customHeight="false" outlineLevel="0" collapsed="false">
      <c r="A13" s="36" t="s">
        <v>355</v>
      </c>
      <c r="B13" s="67" t="n">
        <v>6</v>
      </c>
      <c r="C13" s="64" t="s">
        <v>356</v>
      </c>
    </row>
    <row r="14" customFormat="false" ht="15" hidden="false" customHeight="false" outlineLevel="0" collapsed="false">
      <c r="A14" s="36" t="s">
        <v>357</v>
      </c>
      <c r="B14" s="37" t="n">
        <v>0.4</v>
      </c>
      <c r="C14" s="64" t="s">
        <v>358</v>
      </c>
    </row>
    <row r="15" customFormat="false" ht="15" hidden="false" customHeight="false" outlineLevel="0" collapsed="false">
      <c r="A15" s="46" t="s">
        <v>359</v>
      </c>
      <c r="B15" s="37" t="n">
        <v>0.3</v>
      </c>
      <c r="C15" s="64" t="s">
        <v>360</v>
      </c>
    </row>
    <row r="16" customFormat="false" ht="15" hidden="false" customHeight="false" outlineLevel="0" collapsed="false">
      <c r="A16" s="36" t="s">
        <v>361</v>
      </c>
      <c r="B16" s="37" t="n">
        <v>0.05</v>
      </c>
      <c r="C16" s="64" t="s">
        <v>362</v>
      </c>
    </row>
    <row r="17" customFormat="false" ht="15" hidden="false" customHeight="false" outlineLevel="0" collapsed="false">
      <c r="A17" s="36" t="s">
        <v>363</v>
      </c>
      <c r="B17" s="20" t="n">
        <f aca="false">SUM(B26:B28)</f>
        <v>2200000</v>
      </c>
      <c r="C17" s="64" t="s">
        <v>364</v>
      </c>
    </row>
    <row r="18" customFormat="false" ht="15" hidden="false" customHeight="false" outlineLevel="0" collapsed="false">
      <c r="A18" s="36" t="s">
        <v>365</v>
      </c>
      <c r="B18" s="68" t="n">
        <v>3000000</v>
      </c>
      <c r="C18" s="64" t="s">
        <v>366</v>
      </c>
    </row>
    <row r="19" customFormat="false" ht="15" hidden="false" customHeight="false" outlineLevel="0" collapsed="false">
      <c r="A19" s="36" t="s">
        <v>367</v>
      </c>
      <c r="B19" s="69" t="n">
        <v>30</v>
      </c>
      <c r="C19" s="64" t="s">
        <v>368</v>
      </c>
    </row>
    <row r="20" customFormat="false" ht="15" hidden="false" customHeight="false" outlineLevel="0" collapsed="false">
      <c r="A20" s="36" t="s">
        <v>369</v>
      </c>
      <c r="B20" s="37" t="n">
        <v>0.05</v>
      </c>
      <c r="C20" s="64" t="s">
        <v>370</v>
      </c>
    </row>
    <row r="21" customFormat="false" ht="15" hidden="false" customHeight="false" outlineLevel="0" collapsed="false">
      <c r="A21" s="43" t="s">
        <v>371</v>
      </c>
      <c r="B21" s="44"/>
      <c r="C21" s="44"/>
    </row>
    <row r="22" customFormat="false" ht="15" hidden="false" customHeight="false" outlineLevel="0" collapsed="false">
      <c r="A22" s="36" t="s">
        <v>372</v>
      </c>
      <c r="B22" s="68" t="n">
        <v>9000000</v>
      </c>
      <c r="C22" s="64" t="s">
        <v>373</v>
      </c>
    </row>
    <row r="23" customFormat="false" ht="15" hidden="false" customHeight="false" outlineLevel="0" collapsed="false">
      <c r="A23" s="36" t="s">
        <v>374</v>
      </c>
      <c r="B23" s="68" t="n">
        <v>6000000</v>
      </c>
      <c r="C23" s="64" t="s">
        <v>375</v>
      </c>
    </row>
    <row r="24" customFormat="false" ht="15" hidden="false" customHeight="false" outlineLevel="0" collapsed="false">
      <c r="A24" s="46" t="s">
        <v>376</v>
      </c>
      <c r="B24" s="68" t="n">
        <v>20000000</v>
      </c>
      <c r="C24" s="39" t="s">
        <v>377</v>
      </c>
    </row>
    <row r="25" customFormat="false" ht="15" hidden="false" customHeight="false" outlineLevel="0" collapsed="false">
      <c r="A25" s="43" t="s">
        <v>378</v>
      </c>
      <c r="B25" s="44"/>
      <c r="C25" s="44"/>
    </row>
    <row r="26" customFormat="false" ht="15" hidden="false" customHeight="false" outlineLevel="0" collapsed="false">
      <c r="A26" s="36" t="s">
        <v>379</v>
      </c>
      <c r="B26" s="68" t="n">
        <v>1150000</v>
      </c>
      <c r="C26" s="64" t="s">
        <v>380</v>
      </c>
    </row>
    <row r="27" customFormat="false" ht="15" hidden="false" customHeight="false" outlineLevel="0" collapsed="false">
      <c r="A27" s="36" t="s">
        <v>381</v>
      </c>
      <c r="B27" s="68" t="n">
        <v>850000</v>
      </c>
      <c r="C27" s="64" t="s">
        <v>382</v>
      </c>
    </row>
    <row r="28" customFormat="false" ht="15" hidden="false" customHeight="false" outlineLevel="0" collapsed="false">
      <c r="A28" s="36" t="s">
        <v>383</v>
      </c>
      <c r="B28" s="68" t="n">
        <v>200000</v>
      </c>
      <c r="C28" s="64" t="s">
        <v>384</v>
      </c>
    </row>
    <row r="29" customFormat="false" ht="15" hidden="false" customHeight="false" outlineLevel="0" collapsed="false">
      <c r="A29" s="36" t="s">
        <v>385</v>
      </c>
      <c r="B29" s="20" t="n">
        <f aca="false">IF(B4="본인",B26,IF(B4="배우자",B27,IF(B4="공동",B28,B17)))</f>
        <v>2200000</v>
      </c>
      <c r="C29" s="64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1" t="s">
        <v>62</v>
      </c>
      <c r="B1" s="31" t="s">
        <v>63</v>
      </c>
      <c r="C1" s="31" t="s">
        <v>387</v>
      </c>
      <c r="D1" s="31" t="s">
        <v>325</v>
      </c>
    </row>
    <row r="2" customFormat="false" ht="15" hidden="false" customHeight="false" outlineLevel="0" collapsed="false">
      <c r="A2" s="56" t="s">
        <v>388</v>
      </c>
      <c r="B2" s="56" t="s">
        <v>389</v>
      </c>
      <c r="C2" s="45" t="s">
        <v>390</v>
      </c>
      <c r="D2" s="64"/>
    </row>
    <row r="3" customFormat="false" ht="15" hidden="false" customHeight="false" outlineLevel="0" collapsed="false">
      <c r="A3" s="56" t="s">
        <v>391</v>
      </c>
      <c r="B3" s="56" t="s">
        <v>389</v>
      </c>
      <c r="C3" s="45" t="s">
        <v>390</v>
      </c>
      <c r="D3" s="64"/>
    </row>
    <row r="4" customFormat="false" ht="15" hidden="false" customHeight="false" outlineLevel="0" collapsed="false">
      <c r="A4" s="56" t="s">
        <v>392</v>
      </c>
      <c r="B4" s="56" t="s">
        <v>389</v>
      </c>
      <c r="C4" s="45" t="s">
        <v>390</v>
      </c>
      <c r="D4" s="64"/>
    </row>
    <row r="5" customFormat="false" ht="15" hidden="false" customHeight="false" outlineLevel="0" collapsed="false">
      <c r="A5" s="56" t="s">
        <v>393</v>
      </c>
      <c r="B5" s="56" t="s">
        <v>389</v>
      </c>
      <c r="C5" s="45" t="s">
        <v>390</v>
      </c>
      <c r="D5" s="64"/>
    </row>
    <row r="6" customFormat="false" ht="15" hidden="false" customHeight="false" outlineLevel="0" collapsed="false">
      <c r="A6" s="56" t="s">
        <v>206</v>
      </c>
      <c r="B6" s="56" t="s">
        <v>394</v>
      </c>
      <c r="C6" s="45" t="s">
        <v>395</v>
      </c>
      <c r="D6" s="64"/>
    </row>
    <row r="7" customFormat="false" ht="15" hidden="false" customHeight="false" outlineLevel="0" collapsed="false">
      <c r="A7" s="56" t="s">
        <v>207</v>
      </c>
      <c r="B7" s="56" t="s">
        <v>394</v>
      </c>
      <c r="C7" s="45" t="s">
        <v>395</v>
      </c>
      <c r="D7" s="64"/>
    </row>
    <row r="8" customFormat="false" ht="15" hidden="false" customHeight="false" outlineLevel="0" collapsed="false">
      <c r="A8" s="56" t="s">
        <v>208</v>
      </c>
      <c r="B8" s="56" t="s">
        <v>394</v>
      </c>
      <c r="C8" s="45" t="s">
        <v>395</v>
      </c>
      <c r="D8" s="64"/>
    </row>
    <row r="9" customFormat="false" ht="15" hidden="false" customHeight="false" outlineLevel="0" collapsed="false">
      <c r="A9" s="56" t="s">
        <v>209</v>
      </c>
      <c r="B9" s="56" t="s">
        <v>394</v>
      </c>
      <c r="C9" s="45" t="s">
        <v>395</v>
      </c>
      <c r="D9" s="64"/>
    </row>
    <row r="10" customFormat="false" ht="15" hidden="false" customHeight="false" outlineLevel="0" collapsed="false">
      <c r="A10" s="56" t="s">
        <v>210</v>
      </c>
      <c r="B10" s="56" t="s">
        <v>394</v>
      </c>
      <c r="C10" s="45" t="s">
        <v>395</v>
      </c>
      <c r="D10" s="64"/>
    </row>
    <row r="11" customFormat="false" ht="15" hidden="false" customHeight="false" outlineLevel="0" collapsed="false">
      <c r="A11" s="56" t="s">
        <v>211</v>
      </c>
      <c r="B11" s="56" t="s">
        <v>394</v>
      </c>
      <c r="C11" s="45" t="s">
        <v>390</v>
      </c>
      <c r="D11" s="64"/>
    </row>
    <row r="12" customFormat="false" ht="15" hidden="false" customHeight="false" outlineLevel="0" collapsed="false">
      <c r="A12" s="56" t="s">
        <v>212</v>
      </c>
      <c r="B12" s="56" t="s">
        <v>396</v>
      </c>
      <c r="C12" s="45" t="s">
        <v>395</v>
      </c>
      <c r="D12" s="64"/>
    </row>
    <row r="13" customFormat="false" ht="15" hidden="false" customHeight="false" outlineLevel="0" collapsed="false">
      <c r="A13" s="56" t="s">
        <v>213</v>
      </c>
      <c r="B13" s="56" t="s">
        <v>396</v>
      </c>
      <c r="C13" s="45" t="s">
        <v>390</v>
      </c>
      <c r="D13" s="64"/>
    </row>
    <row r="14" customFormat="false" ht="15" hidden="false" customHeight="false" outlineLevel="0" collapsed="false">
      <c r="A14" s="56" t="s">
        <v>214</v>
      </c>
      <c r="B14" s="56" t="s">
        <v>396</v>
      </c>
      <c r="C14" s="45" t="s">
        <v>395</v>
      </c>
      <c r="D14" s="64"/>
    </row>
    <row r="15" customFormat="false" ht="15" hidden="false" customHeight="false" outlineLevel="0" collapsed="false">
      <c r="A15" s="56" t="s">
        <v>215</v>
      </c>
      <c r="B15" s="56" t="s">
        <v>396</v>
      </c>
      <c r="C15" s="45" t="s">
        <v>395</v>
      </c>
      <c r="D15" s="64"/>
    </row>
    <row r="16" customFormat="false" ht="15" hidden="false" customHeight="false" outlineLevel="0" collapsed="false">
      <c r="A16" s="56" t="s">
        <v>216</v>
      </c>
      <c r="B16" s="56" t="s">
        <v>396</v>
      </c>
      <c r="C16" s="45" t="s">
        <v>390</v>
      </c>
      <c r="D16" s="64"/>
    </row>
    <row r="17" customFormat="false" ht="15" hidden="false" customHeight="false" outlineLevel="0" collapsed="false">
      <c r="A17" s="56" t="s">
        <v>217</v>
      </c>
      <c r="B17" s="56" t="s">
        <v>396</v>
      </c>
      <c r="C17" s="45" t="s">
        <v>395</v>
      </c>
      <c r="D17" s="64"/>
    </row>
    <row r="18" customFormat="false" ht="15" hidden="false" customHeight="false" outlineLevel="0" collapsed="false">
      <c r="A18" s="56" t="s">
        <v>218</v>
      </c>
      <c r="B18" s="56" t="s">
        <v>396</v>
      </c>
      <c r="C18" s="45" t="s">
        <v>390</v>
      </c>
      <c r="D18" s="64"/>
    </row>
    <row r="19" customFormat="false" ht="15" hidden="false" customHeight="false" outlineLevel="0" collapsed="false">
      <c r="A19" s="56" t="s">
        <v>219</v>
      </c>
      <c r="B19" s="56" t="s">
        <v>396</v>
      </c>
      <c r="C19" s="45" t="s">
        <v>390</v>
      </c>
      <c r="D19" s="64"/>
    </row>
    <row r="20" customFormat="false" ht="15" hidden="false" customHeight="false" outlineLevel="0" collapsed="false">
      <c r="A20" s="56" t="s">
        <v>220</v>
      </c>
      <c r="B20" s="56" t="s">
        <v>397</v>
      </c>
      <c r="C20" s="45" t="s">
        <v>390</v>
      </c>
      <c r="D20" s="64" t="s">
        <v>398</v>
      </c>
    </row>
    <row r="21" customFormat="false" ht="15" hidden="false" customHeight="false" outlineLevel="0" collapsed="false">
      <c r="A21" s="56" t="s">
        <v>222</v>
      </c>
      <c r="B21" s="56" t="s">
        <v>397</v>
      </c>
      <c r="C21" s="45" t="s">
        <v>390</v>
      </c>
      <c r="D21" s="64" t="s">
        <v>398</v>
      </c>
    </row>
    <row r="22" customFormat="false" ht="15" hidden="false" customHeight="false" outlineLevel="0" collapsed="false">
      <c r="A22" s="56" t="s">
        <v>223</v>
      </c>
      <c r="B22" s="56" t="s">
        <v>397</v>
      </c>
      <c r="C22" s="45" t="s">
        <v>395</v>
      </c>
      <c r="D22" s="64" t="s">
        <v>398</v>
      </c>
    </row>
    <row r="23" customFormat="false" ht="15" hidden="false" customHeight="false" outlineLevel="0" collapsed="false">
      <c r="A23" s="56" t="s">
        <v>224</v>
      </c>
      <c r="B23" s="56" t="s">
        <v>397</v>
      </c>
      <c r="C23" s="45" t="s">
        <v>390</v>
      </c>
      <c r="D23" s="64" t="s">
        <v>398</v>
      </c>
    </row>
    <row r="24" customFormat="false" ht="15" hidden="false" customHeight="false" outlineLevel="0" collapsed="false">
      <c r="A24" s="56" t="s">
        <v>399</v>
      </c>
      <c r="B24" s="56" t="s">
        <v>319</v>
      </c>
      <c r="C24" s="45" t="s">
        <v>390</v>
      </c>
      <c r="D24" s="64" t="s">
        <v>400</v>
      </c>
    </row>
    <row r="25" customFormat="false" ht="15" hidden="false" customHeight="false" outlineLevel="0" collapsed="false">
      <c r="A25" s="56" t="s">
        <v>401</v>
      </c>
      <c r="B25" s="56" t="s">
        <v>319</v>
      </c>
      <c r="C25" s="45" t="s">
        <v>390</v>
      </c>
      <c r="D25" s="64" t="s">
        <v>400</v>
      </c>
    </row>
    <row r="26" customFormat="false" ht="15" hidden="false" customHeight="false" outlineLevel="0" collapsed="false">
      <c r="A26" s="56" t="s">
        <v>402</v>
      </c>
      <c r="B26" s="56" t="s">
        <v>319</v>
      </c>
      <c r="C26" s="45" t="s">
        <v>390</v>
      </c>
      <c r="D26" s="64" t="s">
        <v>400</v>
      </c>
    </row>
    <row r="27" customFormat="false" ht="15" hidden="false" customHeight="false" outlineLevel="0" collapsed="false">
      <c r="A27" s="56" t="s">
        <v>403</v>
      </c>
      <c r="B27" s="56" t="s">
        <v>319</v>
      </c>
      <c r="C27" s="45" t="s">
        <v>390</v>
      </c>
      <c r="D27" s="64" t="s">
        <v>400</v>
      </c>
    </row>
  </sheetData>
  <dataValidations count="2">
    <dataValidation allowBlank="true" error="목록에서 선택하세요." errorStyle="stop" errorTitle="입력 확인" operator="between" showDropDown="false" showErrorMessage="false" showInputMessage="false" sqref="B2:B200" type="list">
      <formula1>"소득,고정비,변동비,비정기비,자본이동"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C2:C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1" t="s">
        <v>404</v>
      </c>
      <c r="B1" s="31" t="s">
        <v>62</v>
      </c>
      <c r="C1" s="31" t="s">
        <v>325</v>
      </c>
    </row>
    <row r="2" customFormat="false" ht="15" hidden="false" customHeight="false" outlineLevel="0" collapsed="false">
      <c r="A2" s="56" t="s">
        <v>388</v>
      </c>
      <c r="B2" s="56" t="s">
        <v>388</v>
      </c>
      <c r="C2" s="47" t="s">
        <v>405</v>
      </c>
    </row>
    <row r="3" customFormat="false" ht="15" hidden="false" customHeight="false" outlineLevel="0" collapsed="false">
      <c r="A3" s="56" t="s">
        <v>391</v>
      </c>
      <c r="B3" s="56" t="s">
        <v>391</v>
      </c>
    </row>
    <row r="4" customFormat="false" ht="15" hidden="false" customHeight="false" outlineLevel="0" collapsed="false">
      <c r="A4" s="56" t="s">
        <v>406</v>
      </c>
      <c r="B4" s="56" t="s">
        <v>391</v>
      </c>
    </row>
    <row r="5" customFormat="false" ht="15" hidden="false" customHeight="false" outlineLevel="0" collapsed="false">
      <c r="A5" s="56" t="s">
        <v>407</v>
      </c>
      <c r="B5" s="56" t="s">
        <v>207</v>
      </c>
    </row>
    <row r="6" customFormat="false" ht="15" hidden="false" customHeight="false" outlineLevel="0" collapsed="false">
      <c r="A6" s="56" t="s">
        <v>207</v>
      </c>
      <c r="B6" s="56" t="s">
        <v>207</v>
      </c>
    </row>
    <row r="7" customFormat="false" ht="15" hidden="false" customHeight="false" outlineLevel="0" collapsed="false">
      <c r="A7" s="56" t="s">
        <v>408</v>
      </c>
      <c r="B7" s="56" t="s">
        <v>392</v>
      </c>
    </row>
    <row r="8" customFormat="false" ht="15" hidden="false" customHeight="false" outlineLevel="0" collapsed="false">
      <c r="A8" s="56" t="s">
        <v>409</v>
      </c>
      <c r="B8" s="56" t="s">
        <v>392</v>
      </c>
    </row>
    <row r="9" customFormat="false" ht="15" hidden="false" customHeight="false" outlineLevel="0" collapsed="false">
      <c r="A9" s="56" t="s">
        <v>410</v>
      </c>
      <c r="B9" s="56" t="s">
        <v>393</v>
      </c>
    </row>
    <row r="10" customFormat="false" ht="15" hidden="false" customHeight="false" outlineLevel="0" collapsed="false">
      <c r="A10" s="56" t="s">
        <v>411</v>
      </c>
      <c r="B10" s="56" t="s">
        <v>206</v>
      </c>
    </row>
    <row r="11" customFormat="false" ht="15" hidden="false" customHeight="false" outlineLevel="0" collapsed="false">
      <c r="A11" s="56" t="s">
        <v>208</v>
      </c>
      <c r="B11" s="56" t="s">
        <v>208</v>
      </c>
    </row>
    <row r="12" customFormat="false" ht="15" hidden="false" customHeight="false" outlineLevel="0" collapsed="false">
      <c r="A12" s="56" t="s">
        <v>412</v>
      </c>
      <c r="B12" s="56" t="s">
        <v>208</v>
      </c>
    </row>
    <row r="13" customFormat="false" ht="15" hidden="false" customHeight="false" outlineLevel="0" collapsed="false">
      <c r="A13" s="45" t="s">
        <v>413</v>
      </c>
      <c r="B13" s="56" t="s">
        <v>209</v>
      </c>
    </row>
    <row r="14" customFormat="false" ht="15" hidden="false" customHeight="false" outlineLevel="0" collapsed="false">
      <c r="A14" s="45" t="s">
        <v>414</v>
      </c>
      <c r="B14" s="56" t="s">
        <v>209</v>
      </c>
    </row>
    <row r="15" customFormat="false" ht="15" hidden="false" customHeight="false" outlineLevel="0" collapsed="false">
      <c r="A15" s="45" t="s">
        <v>415</v>
      </c>
      <c r="B15" s="56" t="s">
        <v>209</v>
      </c>
    </row>
    <row r="16" customFormat="false" ht="15" hidden="false" customHeight="false" outlineLevel="0" collapsed="false">
      <c r="A16" s="56" t="s">
        <v>416</v>
      </c>
      <c r="B16" s="56" t="s">
        <v>209</v>
      </c>
    </row>
    <row r="17" customFormat="false" ht="15" hidden="false" customHeight="false" outlineLevel="0" collapsed="false">
      <c r="A17" s="56" t="s">
        <v>417</v>
      </c>
      <c r="B17" s="56" t="s">
        <v>210</v>
      </c>
    </row>
    <row r="18" customFormat="false" ht="15" hidden="false" customHeight="false" outlineLevel="0" collapsed="false">
      <c r="A18" s="56" t="s">
        <v>418</v>
      </c>
      <c r="B18" s="56" t="s">
        <v>210</v>
      </c>
    </row>
    <row r="19" customFormat="false" ht="15" hidden="false" customHeight="false" outlineLevel="0" collapsed="false">
      <c r="A19" s="56" t="s">
        <v>419</v>
      </c>
      <c r="B19" s="56" t="s">
        <v>211</v>
      </c>
    </row>
    <row r="20" customFormat="false" ht="15" hidden="false" customHeight="false" outlineLevel="0" collapsed="false">
      <c r="A20" s="56" t="s">
        <v>420</v>
      </c>
      <c r="B20" s="56" t="s">
        <v>211</v>
      </c>
    </row>
    <row r="21" customFormat="false" ht="15" hidden="false" customHeight="false" outlineLevel="0" collapsed="false">
      <c r="A21" s="56" t="s">
        <v>421</v>
      </c>
      <c r="B21" s="56" t="s">
        <v>211</v>
      </c>
    </row>
    <row r="22" customFormat="false" ht="15" hidden="false" customHeight="false" outlineLevel="0" collapsed="false">
      <c r="A22" s="56" t="s">
        <v>422</v>
      </c>
      <c r="B22" s="56" t="s">
        <v>211</v>
      </c>
    </row>
    <row r="23" customFormat="false" ht="15" hidden="false" customHeight="false" outlineLevel="0" collapsed="false">
      <c r="A23" s="56" t="s">
        <v>423</v>
      </c>
      <c r="B23" s="56" t="s">
        <v>212</v>
      </c>
    </row>
    <row r="24" customFormat="false" ht="15" hidden="false" customHeight="false" outlineLevel="0" collapsed="false">
      <c r="A24" s="56" t="s">
        <v>424</v>
      </c>
      <c r="B24" s="56" t="s">
        <v>212</v>
      </c>
    </row>
    <row r="25" customFormat="false" ht="15" hidden="false" customHeight="false" outlineLevel="0" collapsed="false">
      <c r="A25" s="56" t="s">
        <v>425</v>
      </c>
      <c r="B25" s="56" t="s">
        <v>212</v>
      </c>
    </row>
    <row r="26" customFormat="false" ht="15" hidden="false" customHeight="false" outlineLevel="0" collapsed="false">
      <c r="A26" s="56" t="s">
        <v>426</v>
      </c>
      <c r="B26" s="56" t="s">
        <v>212</v>
      </c>
    </row>
    <row r="27" customFormat="false" ht="15" hidden="false" customHeight="false" outlineLevel="0" collapsed="false">
      <c r="A27" s="56" t="s">
        <v>427</v>
      </c>
      <c r="B27" s="56" t="s">
        <v>212</v>
      </c>
    </row>
    <row r="28" customFormat="false" ht="15" hidden="false" customHeight="false" outlineLevel="0" collapsed="false">
      <c r="A28" s="56" t="s">
        <v>428</v>
      </c>
      <c r="B28" s="56" t="s">
        <v>212</v>
      </c>
    </row>
    <row r="29" customFormat="false" ht="15" hidden="false" customHeight="false" outlineLevel="0" collapsed="false">
      <c r="A29" s="56" t="s">
        <v>429</v>
      </c>
      <c r="B29" s="56" t="s">
        <v>212</v>
      </c>
    </row>
    <row r="30" customFormat="false" ht="15" hidden="false" customHeight="false" outlineLevel="0" collapsed="false">
      <c r="A30" s="56" t="s">
        <v>430</v>
      </c>
      <c r="B30" s="56" t="s">
        <v>213</v>
      </c>
    </row>
    <row r="31" customFormat="false" ht="15" hidden="false" customHeight="false" outlineLevel="0" collapsed="false">
      <c r="A31" s="56" t="s">
        <v>431</v>
      </c>
      <c r="B31" s="56" t="s">
        <v>213</v>
      </c>
    </row>
    <row r="32" customFormat="false" ht="15" hidden="false" customHeight="false" outlineLevel="0" collapsed="false">
      <c r="A32" s="56" t="s">
        <v>432</v>
      </c>
      <c r="B32" s="56" t="s">
        <v>213</v>
      </c>
    </row>
    <row r="33" customFormat="false" ht="15" hidden="false" customHeight="false" outlineLevel="0" collapsed="false">
      <c r="A33" s="56" t="s">
        <v>433</v>
      </c>
      <c r="B33" s="56" t="s">
        <v>213</v>
      </c>
    </row>
    <row r="34" customFormat="false" ht="15" hidden="false" customHeight="false" outlineLevel="0" collapsed="false">
      <c r="A34" s="56" t="s">
        <v>434</v>
      </c>
      <c r="B34" s="56" t="s">
        <v>213</v>
      </c>
    </row>
    <row r="35" customFormat="false" ht="15" hidden="false" customHeight="false" outlineLevel="0" collapsed="false">
      <c r="A35" s="56" t="s">
        <v>435</v>
      </c>
      <c r="B35" s="56" t="s">
        <v>213</v>
      </c>
    </row>
    <row r="36" customFormat="false" ht="15" hidden="false" customHeight="false" outlineLevel="0" collapsed="false">
      <c r="A36" s="56" t="s">
        <v>436</v>
      </c>
      <c r="B36" s="56" t="s">
        <v>214</v>
      </c>
    </row>
    <row r="37" customFormat="false" ht="15" hidden="false" customHeight="false" outlineLevel="0" collapsed="false">
      <c r="A37" s="56" t="s">
        <v>437</v>
      </c>
      <c r="B37" s="56" t="s">
        <v>214</v>
      </c>
    </row>
    <row r="38" customFormat="false" ht="15" hidden="false" customHeight="false" outlineLevel="0" collapsed="false">
      <c r="A38" s="56" t="s">
        <v>438</v>
      </c>
      <c r="B38" s="56" t="s">
        <v>215</v>
      </c>
    </row>
    <row r="39" customFormat="false" ht="15" hidden="false" customHeight="false" outlineLevel="0" collapsed="false">
      <c r="A39" s="56" t="s">
        <v>439</v>
      </c>
      <c r="B39" s="56" t="s">
        <v>215</v>
      </c>
    </row>
    <row r="40" customFormat="false" ht="15" hidden="false" customHeight="false" outlineLevel="0" collapsed="false">
      <c r="A40" s="56" t="s">
        <v>440</v>
      </c>
      <c r="B40" s="56" t="s">
        <v>215</v>
      </c>
    </row>
    <row r="41" customFormat="false" ht="15" hidden="false" customHeight="false" outlineLevel="0" collapsed="false">
      <c r="A41" s="56" t="s">
        <v>441</v>
      </c>
      <c r="B41" s="56" t="s">
        <v>215</v>
      </c>
    </row>
    <row r="42" customFormat="false" ht="15" hidden="false" customHeight="false" outlineLevel="0" collapsed="false">
      <c r="A42" s="56" t="s">
        <v>442</v>
      </c>
      <c r="B42" s="56" t="s">
        <v>215</v>
      </c>
    </row>
    <row r="43" customFormat="false" ht="15" hidden="false" customHeight="false" outlineLevel="0" collapsed="false">
      <c r="A43" s="56" t="s">
        <v>443</v>
      </c>
      <c r="B43" s="56" t="s">
        <v>216</v>
      </c>
    </row>
    <row r="44" customFormat="false" ht="15" hidden="false" customHeight="false" outlineLevel="0" collapsed="false">
      <c r="A44" s="56" t="s">
        <v>444</v>
      </c>
      <c r="B44" s="56" t="s">
        <v>216</v>
      </c>
    </row>
    <row r="45" customFormat="false" ht="15" hidden="false" customHeight="false" outlineLevel="0" collapsed="false">
      <c r="A45" s="56" t="s">
        <v>445</v>
      </c>
      <c r="B45" s="56" t="s">
        <v>216</v>
      </c>
    </row>
    <row r="46" customFormat="false" ht="15" hidden="false" customHeight="false" outlineLevel="0" collapsed="false">
      <c r="A46" s="56" t="s">
        <v>446</v>
      </c>
      <c r="B46" s="56" t="s">
        <v>217</v>
      </c>
    </row>
    <row r="47" customFormat="false" ht="15" hidden="false" customHeight="false" outlineLevel="0" collapsed="false">
      <c r="A47" s="56" t="s">
        <v>447</v>
      </c>
      <c r="B47" s="56" t="s">
        <v>217</v>
      </c>
    </row>
    <row r="48" customFormat="false" ht="15" hidden="false" customHeight="false" outlineLevel="0" collapsed="false">
      <c r="A48" s="56" t="s">
        <v>448</v>
      </c>
      <c r="B48" s="56" t="s">
        <v>217</v>
      </c>
    </row>
    <row r="49" customFormat="false" ht="15" hidden="false" customHeight="false" outlineLevel="0" collapsed="false">
      <c r="A49" s="56" t="s">
        <v>449</v>
      </c>
      <c r="B49" s="56" t="s">
        <v>217</v>
      </c>
    </row>
    <row r="50" customFormat="false" ht="15" hidden="false" customHeight="false" outlineLevel="0" collapsed="false">
      <c r="A50" s="45" t="s">
        <v>450</v>
      </c>
      <c r="B50" s="56" t="s">
        <v>218</v>
      </c>
    </row>
    <row r="51" customFormat="false" ht="15" hidden="false" customHeight="false" outlineLevel="0" collapsed="false">
      <c r="A51" s="56" t="s">
        <v>451</v>
      </c>
      <c r="B51" s="56" t="s">
        <v>218</v>
      </c>
    </row>
    <row r="52" customFormat="false" ht="15" hidden="false" customHeight="false" outlineLevel="0" collapsed="false">
      <c r="A52" s="56" t="s">
        <v>452</v>
      </c>
      <c r="B52" s="56" t="s">
        <v>218</v>
      </c>
    </row>
    <row r="53" customFormat="false" ht="15" hidden="false" customHeight="false" outlineLevel="0" collapsed="false">
      <c r="A53" s="56" t="s">
        <v>453</v>
      </c>
      <c r="B53" s="56" t="s">
        <v>218</v>
      </c>
    </row>
    <row r="54" customFormat="false" ht="15" hidden="false" customHeight="false" outlineLevel="0" collapsed="false">
      <c r="A54" s="56" t="s">
        <v>219</v>
      </c>
      <c r="B54" s="56" t="s">
        <v>219</v>
      </c>
    </row>
    <row r="55" customFormat="false" ht="15" hidden="false" customHeight="false" outlineLevel="0" collapsed="false">
      <c r="A55" s="56" t="s">
        <v>454</v>
      </c>
      <c r="B55" s="56" t="s">
        <v>220</v>
      </c>
    </row>
    <row r="56" customFormat="false" ht="15" hidden="false" customHeight="false" outlineLevel="0" collapsed="false">
      <c r="A56" s="56" t="s">
        <v>455</v>
      </c>
      <c r="B56" s="56" t="s">
        <v>220</v>
      </c>
    </row>
    <row r="57" customFormat="false" ht="15" hidden="false" customHeight="false" outlineLevel="0" collapsed="false">
      <c r="A57" s="56" t="s">
        <v>222</v>
      </c>
      <c r="B57" s="56" t="s">
        <v>222</v>
      </c>
    </row>
    <row r="58" customFormat="false" ht="15" hidden="false" customHeight="false" outlineLevel="0" collapsed="false">
      <c r="A58" s="56" t="s">
        <v>456</v>
      </c>
      <c r="B58" s="56" t="s">
        <v>222</v>
      </c>
    </row>
    <row r="59" customFormat="false" ht="15" hidden="false" customHeight="false" outlineLevel="0" collapsed="false">
      <c r="A59" s="56" t="s">
        <v>457</v>
      </c>
      <c r="B59" s="56" t="s">
        <v>222</v>
      </c>
    </row>
    <row r="60" customFormat="false" ht="15" hidden="false" customHeight="false" outlineLevel="0" collapsed="false">
      <c r="A60" s="56" t="s">
        <v>458</v>
      </c>
      <c r="B60" s="56" t="s">
        <v>223</v>
      </c>
    </row>
    <row r="61" customFormat="false" ht="15" hidden="false" customHeight="false" outlineLevel="0" collapsed="false">
      <c r="A61" s="56" t="s">
        <v>459</v>
      </c>
      <c r="B61" s="56" t="s">
        <v>223</v>
      </c>
    </row>
    <row r="62" customFormat="false" ht="15" hidden="false" customHeight="false" outlineLevel="0" collapsed="false">
      <c r="A62" s="56" t="s">
        <v>460</v>
      </c>
      <c r="B62" s="56" t="s">
        <v>223</v>
      </c>
    </row>
    <row r="63" customFormat="false" ht="15" hidden="false" customHeight="false" outlineLevel="0" collapsed="false">
      <c r="A63" s="56" t="s">
        <v>224</v>
      </c>
      <c r="B63" s="56" t="s">
        <v>224</v>
      </c>
    </row>
    <row r="64" customFormat="false" ht="15" hidden="false" customHeight="false" outlineLevel="0" collapsed="false">
      <c r="A64" s="56" t="s">
        <v>461</v>
      </c>
      <c r="B64" s="56" t="s">
        <v>224</v>
      </c>
    </row>
    <row r="65" customFormat="false" ht="15" hidden="false" customHeight="false" outlineLevel="0" collapsed="false">
      <c r="A65" s="56" t="s">
        <v>462</v>
      </c>
      <c r="B65" s="56" t="s">
        <v>224</v>
      </c>
    </row>
    <row r="66" customFormat="false" ht="15" hidden="false" customHeight="false" outlineLevel="0" collapsed="false">
      <c r="A66" s="56" t="s">
        <v>112</v>
      </c>
      <c r="B66" s="56" t="s">
        <v>401</v>
      </c>
    </row>
    <row r="67" customFormat="false" ht="15" hidden="false" customHeight="false" outlineLevel="0" collapsed="false">
      <c r="A67" s="45" t="s">
        <v>463</v>
      </c>
      <c r="B67" s="56" t="s">
        <v>401</v>
      </c>
    </row>
    <row r="68" customFormat="false" ht="15" hidden="false" customHeight="false" outlineLevel="0" collapsed="false">
      <c r="A68" s="45" t="s">
        <v>116</v>
      </c>
      <c r="B68" s="56" t="s">
        <v>399</v>
      </c>
    </row>
    <row r="69" customFormat="false" ht="15" hidden="false" customHeight="false" outlineLevel="0" collapsed="false">
      <c r="A69" s="56" t="s">
        <v>464</v>
      </c>
      <c r="B69" s="56" t="s">
        <v>399</v>
      </c>
    </row>
    <row r="70" customFormat="false" ht="15" hidden="false" customHeight="false" outlineLevel="0" collapsed="false">
      <c r="A70" s="56" t="s">
        <v>465</v>
      </c>
      <c r="B70" s="56" t="s">
        <v>402</v>
      </c>
    </row>
    <row r="71" customFormat="false" ht="15" hidden="false" customHeight="false" outlineLevel="0" collapsed="false">
      <c r="A71" s="56" t="s">
        <v>466</v>
      </c>
      <c r="B71" s="56" t="s">
        <v>402</v>
      </c>
    </row>
    <row r="72" customFormat="false" ht="15" hidden="false" customHeight="false" outlineLevel="0" collapsed="false">
      <c r="A72" s="56" t="s">
        <v>467</v>
      </c>
      <c r="B72" s="56" t="s">
        <v>403</v>
      </c>
    </row>
  </sheetData>
  <dataValidations count="1">
    <dataValidation allowBlank="true" error="목록에서 선택하세요." errorStyle="stop" errorTitle="입력 확인" operator="between" showDropDown="false" showErrorMessage="false" showInputMessage="false" sqref="B2:B500" type="list">
      <formula1>카테고리!$A$2:$A$200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2026-10-11T22:33:51Z</dcterms:created>
  <dc:creator>openpyxl</dc:creator>
  <dc:description/>
  <dc:language>en-US</dc:language>
  <cp:lastModifiedBy/>
  <dcterms:modified xsi:type="dcterms:W3CDTF">2026-10-11T22:33:58Z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